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6254ce3d34d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a37f43d9be4493e"/>
    <x:sheet xmlns:r="http://schemas.openxmlformats.org/officeDocument/2006/relationships" name="ALL EXERCISES" sheetId="2" r:id="R99bb0f54c5664af8"/>
    <x:sheet xmlns:r="http://schemas.openxmlformats.org/officeDocument/2006/relationships" name="HOME ONLY" sheetId="3" r:id="R5c1d4c77d76243d1"/>
    <x:sheet xmlns:r="http://schemas.openxmlformats.org/officeDocument/2006/relationships" name="GYM ONLY" sheetId="4" r:id="R7f67a5f9c2224354"/>
    <x:sheet xmlns:r="http://schemas.openxmlformats.org/officeDocument/2006/relationships" name="MUSCLE COVERAGE" sheetId="5" r:id="Rb89a916cd01246f0"/>
    <x:sheet xmlns:r="http://schemas.openxmlformats.org/officeDocument/2006/relationships" name="TENDON &amp; LIGAMENTS" sheetId="6" r:id="R660c4b81d2694ad5"/>
    <x:sheet xmlns:r="http://schemas.openxmlformats.org/officeDocument/2006/relationships" name="ANATOMY REFERENCE" sheetId="7" r:id="R52d1b22b2d2e4d02"/>
    <x:sheet xmlns:r="http://schemas.openxmlformats.org/officeDocument/2006/relationships" name="SOURCES &amp; LIMITS" sheetId="8" r:id="Rd2816679334246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D4F70"/>
      <x:name val="Carlito"/>
    </x:font>
    <x:font>
      <x:b/>
      <x:sz val="10"/>
      <x:color rgb="FFFFFFFF"/>
      <x:name val="Carlito"/>
    </x:font>
    <x:font>
      <x:sz val="11"/>
      <x:color rgb="FF243B53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2"/>
      <x:color rgb="FF243B53"/>
      <x:name val="Carlito"/>
    </x:font>
    <x:font>
      <x:b/>
      <x:sz val="20"/>
      <x:color rgb="FF0D4F70"/>
      <x:name val="Carlito"/>
    </x:font>
    <x:font>
      <x:b/>
      <x:sz val="12"/>
      <x:color rgb="FFFFFFFF"/>
      <x:name val="Carlito"/>
    </x:font>
    <x:font>
      <x:b/>
      <x:sz val="11"/>
      <x:color rgb="FF0D4F70"/>
      <x:name val="Carlito"/>
    </x:font>
    <x:font>
      <x:sz val="11"/>
      <x:color rgb="FF855A1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B42"/>
      </x:patternFill>
    </x:fill>
    <x:fill>
      <x:patternFill patternType="solid">
        <x:fgColor rgb="FFE9F3F5"/>
      </x:patternFill>
    </x:fill>
    <x:fill>
      <x:patternFill patternType="solid">
        <x:fgColor rgb="FF0F766E"/>
      </x:patternFill>
    </x:fill>
    <x:fill>
      <x:patternFill patternType="solid">
        <x:fgColor rgb="FFD9F0E9"/>
      </x:patternFill>
    </x:fill>
    <x:fill>
      <x:patternFill patternType="solid">
        <x:fgColor rgb="FFFFF2D7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9ae54a4a8b48c9" /><Relationship Type="http://schemas.openxmlformats.org/officeDocument/2006/relationships/theme" Target="/xl/theme/theme1.xml" Id="R0e94d03fd4ae464d" /><Relationship Type="http://schemas.openxmlformats.org/officeDocument/2006/relationships/sharedStrings" Target="/xl/sharedStrings.xml" Id="R984199f675084958" /><Relationship Type="http://schemas.openxmlformats.org/officeDocument/2006/relationships/worksheet" Target="/xl/worksheets/sheet1.xml" Id="Rba37f43d9be4493e" /><Relationship Type="http://schemas.openxmlformats.org/officeDocument/2006/relationships/worksheet" Target="/xl/worksheets/sheet2.xml" Id="R99bb0f54c5664af8" /><Relationship Type="http://schemas.openxmlformats.org/officeDocument/2006/relationships/worksheet" Target="/xl/worksheets/sheet3.xml" Id="R5c1d4c77d76243d1" /><Relationship Type="http://schemas.openxmlformats.org/officeDocument/2006/relationships/worksheet" Target="/xl/worksheets/sheet4.xml" Id="R7f67a5f9c2224354" /><Relationship Type="http://schemas.openxmlformats.org/officeDocument/2006/relationships/worksheet" Target="/xl/worksheets/sheet5.xml" Id="Rb89a916cd01246f0" /><Relationship Type="http://schemas.openxmlformats.org/officeDocument/2006/relationships/worksheet" Target="/xl/worksheets/sheet6.xml" Id="R660c4b81d2694ad5" /><Relationship Type="http://schemas.openxmlformats.org/officeDocument/2006/relationships/worksheet" Target="/xl/worksheets/sheet7.xml" Id="R52d1b22b2d2e4d02" /><Relationship Type="http://schemas.openxmlformats.org/officeDocument/2006/relationships/worksheet" Target="/xl/worksheets/sheet8.xml" Id="Rd28166793342462f" /></Relationships>
</file>

<file path=xl/tables/table1.xml><?xml version="1.0" encoding="utf-8"?>
<x:table xmlns:x="http://schemas.openxmlformats.org/spreadsheetml/2006/main" id="1" name="AllExercisesTbl" displayName="AllExercisesTbl" ref="A3:T379" headerRowCount="1" totalsRowCount="0" totalsRowShown="0">
  <x:tableColumns count="20">
    <x:tableColumn id="1" name="Exercise ID"/>
    <x:tableColumn id="2" name="Exercise / stretch"/>
    <x:tableColumn id="3" name="Body region"/>
    <x:tableColumn id="4" name="Home or Gym"/>
    <x:tableColumn id="5" name="Movement category"/>
    <x:tableColumn id="6" name="Primary muscles (active)"/>
    <x:tableColumn id="7" name="Assisting muscles (active)"/>
    <x:tableColumn id="8" name="Stabilizers (may fatigue)"/>
    <x:tableColumn id="9" name="Muscles lengthened / stretched"/>
    <x:tableColumn id="10" name="All named muscles involved"/>
    <x:tableColumn id="11" name="Tendons / fascia loaded or mobilized"/>
    <x:tableColumn id="12" name="Ligaments / retinacula: joint context ONLY"/>
    <x:tableColumn id="13" name="ALL muscle + tendon + ligament structures supported"/>
    <x:tableColumn id="14" name="Muscles LIKELY TO FATIGUE / activation note"/>
    <x:tableColumn id="15" name="How to perform"/>
    <x:tableColumn id="16" name="Equipment"/>
    <x:tableColumn id="17" name="Example dosage (not a prescription)"/>
    <x:tableColumn id="18" name="Safety / contraindication notes"/>
    <x:tableColumn id="19" name="Reference URL (background or example)"/>
    <x:tableColumn id="20" name="Mapping evidence lev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omeMovesTbl" displayName="HomeMovesTbl" ref="A3:T313" headerRowCount="1" totalsRowCount="0" totalsRowShown="0">
  <x:tableColumns count="20">
    <x:tableColumn id="1" name="Exercise ID"/>
    <x:tableColumn id="2" name="Exercise / stretch"/>
    <x:tableColumn id="3" name="Body region"/>
    <x:tableColumn id="4" name="Home or Gym"/>
    <x:tableColumn id="5" name="Movement category"/>
    <x:tableColumn id="6" name="Primary muscles (active)"/>
    <x:tableColumn id="7" name="Assisting muscles (active)"/>
    <x:tableColumn id="8" name="Stabilizers (may fatigue)"/>
    <x:tableColumn id="9" name="Muscles lengthened / stretched"/>
    <x:tableColumn id="10" name="All named muscles involved"/>
    <x:tableColumn id="11" name="Tendons / fascia loaded or mobilized"/>
    <x:tableColumn id="12" name="Ligaments / retinacula: joint context ONLY"/>
    <x:tableColumn id="13" name="ALL muscle + tendon + ligament structures supported"/>
    <x:tableColumn id="14" name="Muscles LIKELY TO FATIGUE / activation note"/>
    <x:tableColumn id="15" name="How to perform"/>
    <x:tableColumn id="16" name="Equipment"/>
    <x:tableColumn id="17" name="Example dosage (not a prescription)"/>
    <x:tableColumn id="18" name="Safety / contraindication notes"/>
    <x:tableColumn id="19" name="Reference URL (background or example)"/>
    <x:tableColumn id="20" name="Mapping evidence leve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ymMovesTbl" displayName="GymMovesTbl" ref="A3:T69" headerRowCount="1" totalsRowCount="0" totalsRowShown="0">
  <x:tableColumns count="20">
    <x:tableColumn id="1" name="Exercise ID"/>
    <x:tableColumn id="2" name="Exercise / stretch"/>
    <x:tableColumn id="3" name="Body region"/>
    <x:tableColumn id="4" name="Home or Gym"/>
    <x:tableColumn id="5" name="Movement category"/>
    <x:tableColumn id="6" name="Primary muscles (active)"/>
    <x:tableColumn id="7" name="Assisting muscles (active)"/>
    <x:tableColumn id="8" name="Stabilizers (may fatigue)"/>
    <x:tableColumn id="9" name="Muscles lengthened / stretched"/>
    <x:tableColumn id="10" name="All named muscles involved"/>
    <x:tableColumn id="11" name="Tendons / fascia loaded or mobilized"/>
    <x:tableColumn id="12" name="Ligaments / retinacula: joint context ONLY"/>
    <x:tableColumn id="13" name="ALL muscle + tendon + ligament structures supported"/>
    <x:tableColumn id="14" name="Muscles LIKELY TO FATIGUE / activation note"/>
    <x:tableColumn id="15" name="How to perform"/>
    <x:tableColumn id="16" name="Equipment"/>
    <x:tableColumn id="17" name="Example dosage (not a prescription)"/>
    <x:tableColumn id="18" name="Safety / contraindication notes"/>
    <x:tableColumn id="19" name="Reference URL (background or example)"/>
    <x:tableColumn id="20" name="Mapping evidence lev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uscleCoverageTbl" displayName="MuscleCoverageTbl" ref="A3:Q352" headerRowCount="1" totalsRowCount="0" totalsRowShown="0">
  <x:tableColumns count="17">
    <x:tableColumn id="1" name="Atlas muscle (EXACT NAME)"/>
    <x:tableColumn id="2" name="Atlas regional tab"/>
    <x:tableColumn id="3" name="Anatomical compartment"/>
    <x:tableColumn id="4" name="Innervation"/>
    <x:tableColumn id="5" name="Spinal roots / cranial nerve"/>
    <x:tableColumn id="6" name="Origin (from atlas)"/>
    <x:tableColumn id="7" name="Insertion (from atlas)"/>
    <x:tableColumn id="8" name="Tendon / aponeurosis (from atlas)"/>
    <x:tableColumn id="9" name="Ligament / retinaculum context (from atlas)"/>
    <x:tableColumn id="10" name="Fiber-type profile (atlas)"/>
    <x:tableColumn id="11" name="PRIMARY exercise IDs"/>
    <x:tableColumn id="12" name="SECONDARY exercise IDs"/>
    <x:tableColumn id="13" name="STABILIZER exercise IDs"/>
    <x:tableColumn id="14" name="STRETCH / lengthening IDs"/>
    <x:tableColumn id="15" name="Coverage classification"/>
    <x:tableColumn id="16" name="Representative exercises"/>
    <x:tableColumn id="17" name="Limits / important 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ructureGuideTbl" displayName="StructureGuideTbl" ref="A3:G49" headerRowCount="1" totalsRowCount="0" totalsRowShown="0">
  <x:tableColumns count="7">
    <x:tableColumn id="1" name="Structure"/>
    <x:tableColumn id="2" name="Class"/>
    <x:tableColumn id="3" name="Region"/>
    <x:tableColumn id="4" name="Anatomical role / supported motion"/>
    <x:tableColumn id="5" name="Related movement IDs"/>
    <x:tableColumn id="6" name="Related movement names"/>
    <x:tableColumn id="7" name="How to interpret support or loadi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tlasReferenceTbl" displayName="AtlasReferenceTbl" ref="A3:S352" headerRowCount="1" totalsRowCount="0" totalsRowShown="0">
  <x:tableColumns count="19">
    <x:tableColumn id="1" name="Muscle / distinct part"/>
    <x:tableColumn id="2" name="Anatomical compartment"/>
    <x:tableColumn id="3" name="Functional roles"/>
    <x:tableColumn id="4" name="Flexor?"/>
    <x:tableColumn id="5" name="Extensor?"/>
    <x:tableColumn id="6" name="Stabilizer?"/>
    <x:tableColumn id="7" name="Actions (including others)"/>
    <x:tableColumn id="8" name="Origin (proximal attachment)"/>
    <x:tableColumn id="9" name="Insertion (distal attachment)"/>
    <x:tableColumn id="10" name="Motor nerve / branch"/>
    <x:tableColumn id="11" name="Spinal roots or cranial nerve"/>
    <x:tableColumn id="12" name="Tendon / aponeurosis connection"/>
    <x:tableColumn id="13" name="Ligament / retinaculum relationship"/>
    <x:tableColumn id="14" name="Type I (slow) composition"/>
    <x:tableColumn id="15" name="Type II (fast) composition"/>
    <x:tableColumn id="16" name="Fiber profile"/>
    <x:tableColumn id="17" name="Fiber data caveat"/>
    <x:tableColumn id="18" name="Regional anatomy source URL"/>
    <x:tableColumn id="19" name="Fiber-type source 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earchSourcesTbl" displayName="ResearchSourcesTbl" ref="A3:E16" headerRowCount="1" totalsRowCount="0" totalsRowShown="0">
  <x:tableColumns count="5">
    <x:tableColumn id="1" name="Source / context"/>
    <x:tableColumn id="2" name="Source type"/>
    <x:tableColumn id="3" name="Plain-text URL"/>
    <x:tableColumn id="4" name="What it supports / cannot support"/>
    <x:tableColumn id="5" name="Evidence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af1f23c56d40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27c32560a640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fd893dcb6e4e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a15645f2724b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67f706013242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5fd8ee6d1d4a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01f9338d3c453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2" hidden="0" customWidth="1"/>
    <x:col min="5" max="5" width="14" hidden="0" customWidth="1"/>
    <x:col min="6" max="6" width="12" hidden="0" customWidth="1"/>
    <x:col min="7" max="7" width="14" hidden="0" customWidth="1"/>
    <x:col min="8" max="8" width="12" hidden="0" customWidth="1"/>
    <x:col min="9" max="9" width="14" hidden="0" customWidth="1"/>
    <x:col min="10" max="10" width="12" hidden="0" customWidth="1"/>
  </x:cols>
  <x:sheetData>
    <x:row r="1" ht="46" customHeight="1">
      <x:c r="A1" s="32" t="str">
        <x:v>MUSCLE × MOVEMENT EXERCISE ATLAS</x:v>
      </x:c>
      <x:c r="B1" s="32"/>
      <x:c r="C1" s="32"/>
      <x:c r="D1" s="32"/>
      <x:c r="E1" s="32"/>
      <x:c r="F1" s="32"/>
      <x:c r="G1" s="32"/>
      <x:c r="H1" s="32"/>
      <x:c r="I1" s="32"/>
      <x:c r="J1" s="32"/>
    </x:row>
    <x:row r="2" ht="32" customHeight="1">
      <x:c r="A2" s="34" t="str">
        <x:v>Search 376 movements with exact-name links to the 349-muscle reference; home + small-gym options</x:v>
      </x:c>
      <x:c r="B2" s="34"/>
      <x:c r="C2" s="34"/>
      <x:c r="D2" s="34"/>
      <x:c r="E2" s="34"/>
      <x:c r="F2" s="34"/>
      <x:c r="G2" s="34"/>
      <x:c r="H2" s="34"/>
      <x:c r="I2" s="34"/>
      <x:c r="J2" s="34"/>
    </x:row>
    <x:row r="4" ht="29" customHeight="1">
      <x:c r="A4" s="28" t="str">
        <x:v>EXERCISES</x:v>
      </x:c>
      <x:c r="C4" s="28" t="str">
        <x:v>AT HOME</x:v>
      </x:c>
      <x:c r="E4" s="28" t="str">
        <x:v>AT GYM</x:v>
      </x:c>
      <x:c r="G4" s="28" t="str">
        <x:v>MUSCLES LISTED</x:v>
      </x:c>
      <x:c r="I4" s="28" t="str">
        <x:v>NO SUITABLE DRILL</x:v>
      </x:c>
    </x:row>
    <x:row r="5" ht="43" customHeight="1">
      <x:c r="A5" s="37" t="n">
        <x:f>COUNTA('ALL EXERCISES'!A4:A379)</x:f>
        <x:v>376</x:v>
      </x:c>
      <x:c r="C5" s="37" t="n">
        <x:f>COUNTIF('ALL EXERCISES'!D4:D379,"Home")</x:f>
        <x:v>310</x:v>
      </x:c>
      <x:c r="E5" s="37" t="n">
        <x:f>COUNTIF('ALL EXERCISES'!D4:D379,"Gym")</x:f>
        <x:v>66</x:v>
      </x:c>
      <x:c r="G5" s="37" t="n">
        <x:f>COUNTA('MUSCLE COVERAGE'!A4:A352)</x:f>
        <x:v>349</x:v>
      </x:c>
      <x:c r="I5" s="37" t="n">
        <x:f>COUNTIF('MUSCLE COVERAGE'!O4:O352,"No suitable self-directed exercise")</x:f>
        <x:v>11</x:v>
      </x:c>
    </x:row>
    <x:row r="7" ht="28" customHeight="1">
      <x:c r="A7" s="40" t="str">
        <x:v>WORKBOOK MAP</x:v>
      </x:c>
      <x:c r="B7" s="40"/>
      <x:c r="C7" s="40"/>
      <x:c r="D7" s="40"/>
      <x:c r="E7" s="40"/>
      <x:c r="F7" s="40"/>
      <x:c r="G7" s="40"/>
      <x:c r="H7" s="40"/>
      <x:c r="I7" s="40"/>
      <x:c r="J7" s="40"/>
    </x:row>
    <x:row r="9" ht="43" customHeight="1">
      <x:c r="A9" s="43" t="str">
        <x:v>ALL EXERCISES</x:v>
      </x:c>
      <x:c r="B9" s="43"/>
      <x:c r="C9" s="43"/>
      <x:c r="D9" s="47" t="str">
        <x:v>Filter Home/Gym, body region or movement type; each movement has ONE ROW.</x:v>
      </x:c>
      <x:c r="E9" s="47"/>
      <x:c r="F9" s="47"/>
      <x:c r="G9" s="47"/>
      <x:c r="H9" s="47"/>
      <x:c r="I9" s="47"/>
      <x:c r="J9" s="47"/>
    </x:row>
    <x:row r="10" ht="43" customHeight="1">
      <x:c r="A10" s="43" t="str">
        <x:v>HOME ONLY</x:v>
      </x:c>
      <x:c r="B10" s="43"/>
      <x:c r="C10" s="43"/>
      <x:c r="D10" s="47" t="str">
        <x:v>Bodyweight, resistance band, household object, stretches, mobility, breathing and coordination.</x:v>
      </x:c>
      <x:c r="E10" s="47"/>
      <x:c r="F10" s="47"/>
      <x:c r="G10" s="47"/>
      <x:c r="H10" s="47"/>
      <x:c r="I10" s="47"/>
      <x:c r="J10" s="47"/>
    </x:row>
    <x:row r="11" ht="43" customHeight="1">
      <x:c r="A11" s="43" t="str">
        <x:v>GYM ONLY</x:v>
      </x:c>
      <x:c r="B11" s="43"/>
      <x:c r="C11" s="43"/>
      <x:c r="D11" s="47" t="str">
        <x:v>Small-gym dumbbells, cable machines, benches and optional common machines.</x:v>
      </x:c>
      <x:c r="E11" s="47"/>
      <x:c r="F11" s="47"/>
      <x:c r="G11" s="47"/>
      <x:c r="H11" s="47"/>
      <x:c r="I11" s="47"/>
      <x:c r="J11" s="47"/>
    </x:row>
    <x:row r="12" ht="43" customHeight="1">
      <x:c r="A12" s="43" t="str">
        <x:v>MUSCLE COVERAGE</x:v>
      </x:c>
      <x:c r="B12" s="43"/>
      <x:c r="C12" s="43"/>
      <x:c r="D12" s="47" t="str">
        <x:v>All 349 exact muscle labels and IDs of primary, secondary, stabilizing or stretching exercises.</x:v>
      </x:c>
      <x:c r="E12" s="47"/>
      <x:c r="F12" s="47"/>
      <x:c r="G12" s="47"/>
      <x:c r="H12" s="47"/>
      <x:c r="I12" s="47"/>
      <x:c r="J12" s="47"/>
    </x:row>
    <x:row r="13" ht="43" customHeight="1">
      <x:c r="A13" s="43" t="str">
        <x:v>TENDON &amp; LIGAMENTS</x:v>
      </x:c>
      <x:c r="B13" s="43"/>
      <x:c r="C13" s="43"/>
      <x:c r="D13" s="47" t="str">
        <x:v>Structures, links to movement IDs and clear notes about safe loading vs passive stability.</x:v>
      </x:c>
      <x:c r="E13" s="47"/>
      <x:c r="F13" s="47"/>
      <x:c r="G13" s="47"/>
      <x:c r="H13" s="47"/>
      <x:c r="I13" s="47"/>
      <x:c r="J13" s="47"/>
    </x:row>
    <x:row r="14" ht="43" customHeight="1">
      <x:c r="A14" s="43" t="str">
        <x:v>ANATOMY REFERENCE</x:v>
      </x:c>
      <x:c r="B14" s="43"/>
      <x:c r="C14" s="43"/>
      <x:c r="D14" s="47" t="str">
        <x:v>Origin, insertion, nerve and spinal roots from the uploaded original reference.</x:v>
      </x:c>
      <x:c r="E14" s="47"/>
      <x:c r="F14" s="47"/>
      <x:c r="G14" s="47"/>
      <x:c r="H14" s="47"/>
      <x:c r="I14" s="47"/>
      <x:c r="J14" s="47"/>
    </x:row>
    <x:row r="15" ht="43" customHeight="1">
      <x:c r="A15" s="43" t="str">
        <x:v>SOURCES &amp; LIMITS</x:v>
      </x:c>
      <x:c r="B15" s="43"/>
      <x:c r="C15" s="43"/>
      <x:c r="D15" s="47" t="str">
        <x:v>Clinical source URLs, anatomy mapping assumptions and safety cautions.</x:v>
      </x:c>
      <x:c r="E15" s="47"/>
      <x:c r="F15" s="47"/>
      <x:c r="G15" s="47"/>
      <x:c r="H15" s="47"/>
      <x:c r="I15" s="47"/>
      <x:c r="J15" s="47"/>
    </x:row>
    <x:row r="18" ht="28" customHeight="1">
      <x:c r="A18" s="40" t="str">
        <x:v>HOW TO READ THE EXERCISE COLUMNS</x:v>
      </x:c>
      <x:c r="B18" s="40"/>
      <x:c r="C18" s="40"/>
      <x:c r="D18" s="40"/>
      <x:c r="E18" s="40"/>
      <x:c r="F18" s="40"/>
      <x:c r="G18" s="40"/>
      <x:c r="H18" s="40"/>
      <x:c r="I18" s="40"/>
      <x:c r="J18" s="40"/>
    </x:row>
    <x:row r="20" ht="45" customHeight="1">
      <x:c r="A20" s="43" t="str">
        <x:v>Primary / assisting active muscles</x:v>
      </x:c>
      <x:c r="B20" s="43"/>
      <x:c r="C20" s="43"/>
      <x:c r="D20" s="47" t="str">
        <x:v>Contract during effort. Primary muscles are typical movers; assistants may also fatigue.</x:v>
      </x:c>
      <x:c r="E20" s="47"/>
      <x:c r="F20" s="47"/>
      <x:c r="G20" s="47"/>
      <x:c r="H20" s="47"/>
      <x:c r="I20" s="47"/>
      <x:c r="J20" s="47"/>
    </x:row>
    <x:row r="21" ht="45" customHeight="1">
      <x:c r="A21" s="43" t="str">
        <x:v>Stabilizers</x:v>
      </x:c>
      <x:c r="B21" s="43"/>
      <x:c r="C21" s="43"/>
      <x:c r="D21" s="47" t="str">
        <x:v>Co-contract to control position. Fatigue depends on load, posture and technique.</x:v>
      </x:c>
      <x:c r="E21" s="47"/>
      <x:c r="F21" s="47"/>
      <x:c r="G21" s="47"/>
      <x:c r="H21" s="47"/>
      <x:c r="I21" s="47"/>
      <x:c r="J21" s="47"/>
    </x:row>
    <x:row r="22" ht="45" customHeight="1">
      <x:c r="A22" s="43" t="str">
        <x:v>Stretched / lengthened</x:v>
      </x:c>
      <x:c r="B22" s="43"/>
      <x:c r="C22" s="43"/>
      <x:c r="D22" s="47" t="str">
        <x:v>Experience gentle muscle–tendon lengthening; NOT assumed to be strengthening or fatiguing.</x:v>
      </x:c>
      <x:c r="E22" s="47"/>
      <x:c r="F22" s="47"/>
      <x:c r="G22" s="47"/>
      <x:c r="H22" s="47"/>
      <x:c r="I22" s="47"/>
      <x:c r="J22" s="47"/>
    </x:row>
    <x:row r="23" ht="45" customHeight="1">
      <x:c r="A23" s="43" t="str">
        <x:v>Tendons / fascia</x:v>
      </x:c>
      <x:c r="B23" s="43"/>
      <x:c r="C23" s="43"/>
      <x:c r="D23" s="47" t="str">
        <x:v>Transmit or glide under muscle force, or may experience gentle tension; not all are isolated.</x:v>
      </x:c>
      <x:c r="E23" s="47"/>
      <x:c r="F23" s="47"/>
      <x:c r="G23" s="47"/>
      <x:c r="H23" s="47"/>
      <x:c r="I23" s="47"/>
      <x:c r="J23" s="47"/>
    </x:row>
    <x:row r="24" ht="45" customHeight="1">
      <x:c r="A24" s="43" t="str">
        <x:v>Ligaments / retinacula</x:v>
      </x:c>
      <x:c r="B24" s="43"/>
      <x:c r="C24" s="43"/>
      <x:c r="D24" s="47" t="str">
        <x:v>Passive connective-tissue restraints / nearby joint support. Never deliberately stretch ligaments.</x:v>
      </x:c>
      <x:c r="E24" s="47"/>
      <x:c r="F24" s="47"/>
      <x:c r="G24" s="47"/>
      <x:c r="H24" s="47"/>
      <x:c r="I24" s="47"/>
      <x:c r="J24" s="47"/>
    </x:row>
    <x:row r="25" ht="45" customHeight="1">
      <x:c r="A25" s="43" t="str">
        <x:v>ALL structures supported</x:v>
      </x:c>
      <x:c r="B25" s="43"/>
      <x:c r="C25" s="43"/>
      <x:c r="D25" s="47" t="str">
        <x:v>Union of the muscle roles and relevant tendon/ligament context; not an EMG-validated activation list.</x:v>
      </x:c>
      <x:c r="E25" s="47"/>
      <x:c r="F25" s="47"/>
      <x:c r="G25" s="47"/>
      <x:c r="H25" s="47"/>
      <x:c r="I25" s="47"/>
      <x:c r="J25" s="47"/>
    </x:row>
    <x:row r="26" ht="45" customHeight="1">
      <x:c r="A26" s="43" t="str">
        <x:v>Fatigue column</x:v>
      </x:c>
      <x:c r="B26" s="43"/>
      <x:c r="C26" s="43"/>
      <x:c r="D26" s="47" t="str">
        <x:v>Lists likely active muscles for strength; low-load functional tasks are clearly marked instead.</x:v>
      </x:c>
      <x:c r="E26" s="47"/>
      <x:c r="F26" s="47"/>
      <x:c r="G26" s="47"/>
      <x:c r="H26" s="47"/>
      <x:c r="I26" s="47"/>
      <x:c r="J26" s="47"/>
    </x:row>
    <x:row r="27" ht="45" customHeight="1">
      <x:c r="A27" s="43" t="str">
        <x:v>Coverage exceptions</x:v>
      </x:c>
      <x:c r="B27" s="43"/>
      <x:c r="C27" s="43"/>
      <x:c r="D27" s="47" t="str">
        <x:v>11 entries (small ear muscles, reflex muscles and variable anatomy) have NO defensible self-directed drill.</x:v>
      </x:c>
      <x:c r="E27" s="47"/>
      <x:c r="F27" s="47"/>
      <x:c r="G27" s="47"/>
      <x:c r="H27" s="47"/>
      <x:c r="I27" s="47"/>
      <x:c r="J27" s="47"/>
    </x:row>
    <x:row r="29" ht="38" customHeight="1">
      <x:c r="A29" s="52" t="str">
        <x:v>SAFETY: General educational material, not individual treatment. Never force joint/ligament stretching. Stop for sharp pain, neurologic symptoms, or unusual dizziness.</x:v>
      </x:c>
      <x:c r="B29" s="52"/>
      <x:c r="C29" s="52"/>
      <x:c r="D29" s="52"/>
      <x:c r="E29" s="52"/>
      <x:c r="F29" s="52"/>
      <x:c r="G29" s="52"/>
      <x:c r="H29" s="52"/>
      <x:c r="I29" s="52"/>
      <x:c r="J29" s="52"/>
    </x:row>
    <x:row r="30" ht="38" customHeight="1">
      <x:c r="A30" s="52" t="str">
        <x:v>Clinical swallowing exercises are intentionally excluded as self-directed gym/home workouts. Pelvic, ocular, facial and voice drills are low-load functional examples, not proven hypertrophy protocols.</x:v>
      </x:c>
      <x:c r="B30" s="52"/>
      <x:c r="C30" s="52"/>
      <x:c r="D30" s="52"/>
      <x:c r="E30" s="52"/>
      <x:c r="F30" s="52"/>
      <x:c r="G30" s="52"/>
      <x:c r="H30" s="52"/>
      <x:c r="I30" s="52"/>
      <x:c r="J30" s="52"/>
    </x:row>
    <x:row r="31" ht="38" customHeight="1">
      <x:c r="A31" s="52" t="str">
        <x:v>No single exercise activates every listed tiny fascicle selectively. Mappings are movement-anatomy estimates; the original atlas documents variable and absent muscles separately.</x:v>
      </x:c>
      <x:c r="B31" s="52"/>
      <x:c r="C31" s="52"/>
      <x:c r="D31" s="52"/>
      <x:c r="E31" s="52"/>
      <x:c r="F31" s="52"/>
      <x:c r="G31" s="52"/>
      <x:c r="H31" s="52"/>
      <x:c r="I31" s="52"/>
      <x:c r="J31" s="52"/>
    </x:row>
  </x:sheetData>
  <x:mergeCells>
    <x:mergeCell ref="A1:J1"/>
    <x:mergeCell ref="A2:J2"/>
    <x:mergeCell ref="A7:J7"/>
    <x:mergeCell ref="A9:C9"/>
    <x:mergeCell ref="D9:J9"/>
    <x:mergeCell ref="A10:C10"/>
    <x:mergeCell ref="D10:J10"/>
    <x:mergeCell ref="A11:C11"/>
    <x:mergeCell ref="D11:J11"/>
    <x:mergeCell ref="A12:C12"/>
    <x:mergeCell ref="D12:J12"/>
    <x:mergeCell ref="A13:C13"/>
    <x:mergeCell ref="D13:J13"/>
    <x:mergeCell ref="A14:C14"/>
    <x:mergeCell ref="D14:J14"/>
    <x:mergeCell ref="A15:C15"/>
    <x:mergeCell ref="D15:J15"/>
    <x:mergeCell ref="A18:J18"/>
    <x:mergeCell ref="A20:C20"/>
    <x:mergeCell ref="D20:J20"/>
    <x:mergeCell ref="A21:C21"/>
    <x:mergeCell ref="D21:J21"/>
    <x:mergeCell ref="A22:C22"/>
    <x:mergeCell ref="D22:J22"/>
    <x:mergeCell ref="A23:C23"/>
    <x:mergeCell ref="D23:J23"/>
    <x:mergeCell ref="A24:C24"/>
    <x:mergeCell ref="D24:J24"/>
    <x:mergeCell ref="A25:C25"/>
    <x:mergeCell ref="D25:J25"/>
    <x:mergeCell ref="A26:C26"/>
    <x:mergeCell ref="D26:J26"/>
    <x:mergeCell ref="A27:C27"/>
    <x:mergeCell ref="D27:J27"/>
    <x:mergeCell ref="A29:J29"/>
    <x:mergeCell ref="A30:J30"/>
    <x:mergeCell ref="A31:J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40" hidden="0" customWidth="1"/>
    <x:col min="3" max="3" width="22" hidden="0" customWidth="1"/>
    <x:col min="4" max="4" width="15" hidden="0" customWidth="1"/>
    <x:col min="5" max="5" width="24" hidden="0" customWidth="1"/>
    <x:col min="6" max="6" width="43" hidden="0" customWidth="1"/>
    <x:col min="7" max="7" width="43" hidden="0" customWidth="1"/>
    <x:col min="8" max="8" width="44" hidden="0" customWidth="1"/>
    <x:col min="9" max="9" width="43" hidden="0" customWidth="1"/>
    <x:col min="10" max="10" width="48" hidden="0" customWidth="1"/>
    <x:col min="11" max="11" width="46" hidden="0" customWidth="1"/>
    <x:col min="12" max="12" width="45" hidden="0" customWidth="1"/>
    <x:col min="13" max="13" width="54" hidden="0" customWidth="1"/>
    <x:col min="14" max="14" width="50" hidden="0" customWidth="1"/>
    <x:col min="15" max="15" width="52" hidden="0" customWidth="1"/>
    <x:col min="16" max="16" width="26" hidden="0" customWidth="1"/>
    <x:col min="17" max="17" width="30" hidden="0" customWidth="1"/>
    <x:col min="18" max="18" width="52" hidden="0" customWidth="1"/>
    <x:col min="19" max="19" width="42" hidden="0" customWidth="1"/>
    <x:col min="20" max="20" width="28" hidden="0" customWidth="1"/>
  </x:cols>
  <x:sheetData>
    <x:row r="1" ht="36" customHeight="1">
      <x:c r="A1" s="4" t="str">
        <x:v>COMPLETE MOVEMENT &amp; STRETCH ATLAS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25" customHeight="1">
      <x:c r="A2" s="10" t="str">
        <x:v>Exercise-by-exercise muscle activation, stabilizers, stretching, tendon loading and adjacent ligament context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3" ht="42" customHeight="1">
      <x:c r="A3" s="17" t="str">
        <x:v>Exercise ID</x:v>
      </x:c>
      <x:c r="B3" s="17" t="str">
        <x:v>Exercise / stretch</x:v>
      </x:c>
      <x:c r="C3" s="17" t="str">
        <x:v>Body region</x:v>
      </x:c>
      <x:c r="D3" s="17" t="str">
        <x:v>Home or Gym</x:v>
      </x:c>
      <x:c r="E3" s="17" t="str">
        <x:v>Movement category</x:v>
      </x:c>
      <x:c r="F3" s="17" t="str">
        <x:v>Primary muscles (active)</x:v>
      </x:c>
      <x:c r="G3" s="17" t="str">
        <x:v>Assisting muscles (active)</x:v>
      </x:c>
      <x:c r="H3" s="17" t="str">
        <x:v>Stabilizers (may fatigue)</x:v>
      </x:c>
      <x:c r="I3" s="17" t="str">
        <x:v>Muscles lengthened / stretched</x:v>
      </x:c>
      <x:c r="J3" s="17" t="str">
        <x:v>All named muscles involved</x:v>
      </x:c>
      <x:c r="K3" s="17" t="str">
        <x:v>Tendons / fascia loaded or mobilized</x:v>
      </x:c>
      <x:c r="L3" s="17" t="str">
        <x:v>Ligaments / retinacula: joint context ONLY</x:v>
      </x:c>
      <x:c r="M3" s="17" t="str">
        <x:v>ALL muscle + tendon + ligament structures supported</x:v>
      </x:c>
      <x:c r="N3" s="17" t="str">
        <x:v>Muscles LIKELY TO FATIGUE / activation note</x:v>
      </x:c>
      <x:c r="O3" s="17" t="str">
        <x:v>How to perform</x:v>
      </x:c>
      <x:c r="P3" s="17" t="str">
        <x:v>Equipment</x:v>
      </x:c>
      <x:c r="Q3" s="17" t="str">
        <x:v>Example dosage (not a prescription)</x:v>
      </x:c>
      <x:c r="R3" s="17" t="str">
        <x:v>Safety / contraindication notes</x:v>
      </x:c>
      <x:c r="S3" s="17" t="str">
        <x:v>Reference URL (background or example)</x:v>
      </x:c>
      <x:c r="T3" s="17" t="str">
        <x:v>Mapping evidence level</x:v>
      </x:c>
    </x:row>
    <x:row r="4" ht="54" customHeight="1">
      <x:c r="A4" s="24" t="str">
        <x:v>EX0001</x:v>
      </x:c>
      <x:c r="B4" s="24" t="str">
        <x:v>Standard push-up</x:v>
      </x:c>
      <x:c r="C4" s="24" t="str">
        <x:v>Shoulder &amp; Chest</x:v>
      </x:c>
      <x:c r="D4" s="24" t="str">
        <x:v>Home</x:v>
      </x:c>
      <x:c r="E4" s="24" t="str">
        <x:v>Compound strength</x:v>
      </x:c>
      <x:c r="F4" s="24" t="str">
        <x:v>Pectoralis major; Triceps brachii lateral head; Triceps brachii long head; Triceps brachii medial head</x:v>
      </x:c>
      <x:c r="G4" s="24" t="str">
        <x:v>Deltoid; Supraspinatus; Serratus anterior; Pectoralis minor</x:v>
      </x:c>
      <x:c r="H4" s="24" t="str">
        <x:v>Rectus abdominis; External oblique; Internal oblique; Transversus abdominis; Infraspinatus; Subscapularis; Teres minor</x:v>
      </x:c>
      <x:c r="I4" s="24" t="str">
        <x:v>—</x:v>
      </x:c>
      <x:c r="J4" s="24" t="str">
        <x:v>Pectoralis major; Triceps brachii lateral head; Triceps brachii long head; Triceps brachii medial head; Deltoid; Supraspinatus; Serratus anterior; Pectoralis minor; Rectus abdominis; External oblique; Internal oblique; Transversus abdominis; Infraspinatus; Subscapularis; Teres minor</x:v>
      </x:c>
      <x:c r="K4" s="24" t="str">
        <x:v>Pectoralis major insertion; triceps tendon; serratus anterior slips</x:v>
      </x:c>
      <x:c r="L4" s="24" t="str">
        <x:v>Glenohumeral capsuloligamentous structures provide passive joint stability; not deliberately stretched</x:v>
      </x:c>
      <x:c r="M4" s="24" t="str">
        <x:v>Muscles: Pectoralis major; Triceps brachii lateral head; Triceps brachii long head; Triceps brachii medial head; Deltoid; Supraspinatus; Serratus anterior; Pectoralis minor; Rectus abdominis; External oblique; Internal oblique; Transversus abdominis; Infraspinatus; Subscapularis; Teres minor | Tendons/fascia: Pectoralis major insertion; triceps tendon; serratus anterior slips | Ligament context only: Glenohumeral capsuloligamentous structures provide passive joint stability; not deliberately stretched</x:v>
      </x:c>
      <x:c r="N4" s="24" t="str">
        <x:v>Pectoralis major; Triceps brachii lateral head; Triceps brachii long head; Triceps brachii medial head; Deltoid; Supraspinatus; Serratus anterior; Pectoralis minor</x:v>
      </x:c>
      <x:c r="O4" s="24" t="str">
        <x:v>Hands under/slightly wider than shoulders; lower chest with elbows ~30–60° from trunk, then press up.</x:v>
      </x:c>
      <x:c r="P4" s="24" t="str">
        <x:v>Floor or mat</x:v>
      </x:c>
      <x:c r="Q4" s="24" t="str">
        <x:v>2–3 × 8–12 controlled reps</x:v>
      </x:c>
      <x:c r="R4" s="24" t="str">
        <x:v>Progress gradually; stop with sharp pain, dizziness, or numbness.</x:v>
      </x:c>
      <x:c r="S4" s="24" t="str">
        <x:v>https://orthoinfo.aaos.org/globalassets/pdfs/2024-rotator-cuff-and-shoulder-conditioning-program.pdf</x:v>
      </x:c>
      <x:c r="T4" s="24" t="str">
        <x:v>Anatomy-based mapping</x:v>
      </x:c>
    </x:row>
    <x:row r="5" ht="54" customHeight="1">
      <x:c r="A5" s="24" t="str">
        <x:v>EX0002</x:v>
      </x:c>
      <x:c r="B5" s="24" t="str">
        <x:v>Incline countertop / wall push-up</x:v>
      </x:c>
      <x:c r="C5" s="24" t="str">
        <x:v>Shoulder &amp; Chest</x:v>
      </x:c>
      <x:c r="D5" s="24" t="str">
        <x:v>Home</x:v>
      </x:c>
      <x:c r="E5" s="24" t="str">
        <x:v>Compound strength</x:v>
      </x:c>
      <x:c r="F5" s="24" t="str">
        <x:v>Pectoralis major; Triceps brachii lateral head; Triceps brachii long head; Triceps brachii medial head</x:v>
      </x:c>
      <x:c r="G5" s="24" t="str">
        <x:v>Serratus anterior; Pectoralis minor; Deltoid; Supraspinatus</x:v>
      </x:c>
      <x:c r="H5" s="24" t="str">
        <x:v>Rectus abdominis; External oblique; Internal oblique; Transversus abdominis; Infraspinatus; Subscapularis; Teres minor</x:v>
      </x:c>
      <x:c r="I5" s="24" t="str">
        <x:v>—</x:v>
      </x:c>
      <x:c r="J5" s="24" t="str">
        <x:v>Pectoralis major; Triceps brachii lateral head; Triceps brachii long head; Triceps brachii medial head; Serratus anterior; Pectoralis minor; Deltoid; Supraspinatus; Rectus abdominis; External oblique; Internal oblique; Transversus abdominis; Infraspinatus; Subscapularis; Teres minor</x:v>
      </x:c>
      <x:c r="K5" s="24" t="str">
        <x:v>Pectoralis major and triceps tendons</x:v>
      </x:c>
      <x:c r="L5" s="24" t="str">
        <x:v>Shoulder capsule and coracoclavicular/acromioclavicular ligaments support joint stability; NOT targeted for stretching</x:v>
      </x:c>
      <x:c r="M5" s="24" t="str">
        <x:v>Muscles: Pectoralis major; Triceps brachii lateral head; Triceps brachii long head; Triceps brachii medial head; Serratus anterior; Pectoralis minor; Deltoid; Supraspinatus; Rectus abdominis; External oblique; Internal oblique; Transversus abdominis; Infraspinatus; Subscapularis; Teres minor | Tendons/fascia: Pectoralis major and triceps tendons | Ligament context only: Shoulder capsule and coracoclavicular/acromioclavicular ligaments support joint stability; NOT targeted for stretching</x:v>
      </x:c>
      <x:c r="N5" s="24" t="str">
        <x:v>Pectoralis major; Triceps brachii lateral head; Triceps brachii long head; Triceps brachii medial head; Serratus anterior; Pectoralis minor; Deltoid; Supraspinatus</x:v>
      </x:c>
      <x:c r="O5" s="24" t="str">
        <x:v>Press against a stable countertop or wall; keep body in one line.</x:v>
      </x:c>
      <x:c r="P5" s="24" t="str">
        <x:v>Stable countertop or wall</x:v>
      </x:c>
      <x:c r="Q5" s="24" t="str">
        <x:v>2–3 × 8–12 controlled reps</x:v>
      </x:c>
      <x:c r="R5" s="24" t="str">
        <x:v>Progress gradually; stop with sharp pain, dizziness, or numbness.</x:v>
      </x:c>
      <x:c r="S5" s="24" t="str">
        <x:v>https://orthoinfo.aaos.org/globalassets/pdfs/2024-rotator-cuff-and-shoulder-conditioning-program.pdf</x:v>
      </x:c>
      <x:c r="T5" s="24" t="str">
        <x:v>Anatomy-based mapping</x:v>
      </x:c>
    </x:row>
    <x:row r="6" ht="54" customHeight="1">
      <x:c r="A6" s="24" t="str">
        <x:v>EX0003</x:v>
      </x:c>
      <x:c r="B6" s="24" t="str">
        <x:v>Knee push-up</x:v>
      </x:c>
      <x:c r="C6" s="24" t="str">
        <x:v>Shoulder &amp; Chest</x:v>
      </x:c>
      <x:c r="D6" s="24" t="str">
        <x:v>Home</x:v>
      </x:c>
      <x:c r="E6" s="24" t="str">
        <x:v>Compound strength</x:v>
      </x:c>
      <x:c r="F6" s="24" t="str">
        <x:v>Pectoralis major; Triceps brachii lateral head; Triceps brachii long head; Triceps brachii medial head</x:v>
      </x:c>
      <x:c r="G6" s="24" t="str">
        <x:v>Serratus anterior; Pectoralis minor</x:v>
      </x:c>
      <x:c r="H6" s="24" t="str">
        <x:v>Rectus abdominis; External oblique; Internal oblique; Transversus abdominis; Infraspinatus; Subscapularis; Supraspinatus; Teres minor</x:v>
      </x:c>
      <x:c r="I6" s="24" t="str">
        <x:v>—</x:v>
      </x:c>
      <x:c r="J6" s="24" t="str">
        <x:v>Pectoralis major; Triceps brachii lateral head; Triceps brachii long head; Triceps brachii medial head; Serratus anterior; Pectoralis minor; Rectus abdominis; External oblique; Internal oblique; Transversus abdominis; Infraspinatus; Subscapularis; Supraspinatus; Teres minor</x:v>
      </x:c>
      <x:c r="K6" s="24" t="str">
        <x:v>Pectoralis major/triceps tendons</x:v>
      </x:c>
      <x:c r="L6" s="24" t="str">
        <x:v>Shoulder capsule and coracoclavicular/acromioclavicular ligaments support joint stability; NOT targeted for stretching</x:v>
      </x:c>
      <x:c r="M6" s="24" t="str">
        <x:v>Muscles: Pectoralis major; Triceps brachii lateral head; Triceps brachii long head; Triceps brachii medial head; Serratus anterior; Pectoralis minor; Rectus abdominis; External oblique; Internal oblique; Transversus abdominis; Infraspinatus; Subscapularis; Supraspinatus; Teres minor | Tendons/fascia: Pectoralis major/triceps tendons | Ligament context only: Shoulder capsule and coracoclavicular/acromioclavicular ligaments support joint stability; NOT targeted for stretching</x:v>
      </x:c>
      <x:c r="N6" s="24" t="str">
        <x:v>Pectoralis major; Triceps brachii lateral head; Triceps brachii long head; Triceps brachii medial head; Serratus anterior; Pectoralis minor</x:v>
      </x:c>
      <x:c r="O6" s="24" t="str">
        <x:v>Perform a push-up from knees with hips extended and trunk controlled.</x:v>
      </x:c>
      <x:c r="P6" s="24" t="str">
        <x:v>Bodyweight</x:v>
      </x:c>
      <x:c r="Q6" s="24" t="str">
        <x:v>2–3 × 8–12 controlled reps</x:v>
      </x:c>
      <x:c r="R6" s="24" t="str">
        <x:v>Progress gradually; stop with sharp pain, dizziness, or numbness.</x:v>
      </x:c>
      <x:c r="S6" s="24" t="str">
        <x:v>https://orthoinfo.aaos.org/globalassets/pdfs/2024-rotator-cuff-and-shoulder-conditioning-program.pdf</x:v>
      </x:c>
      <x:c r="T6" s="24" t="str">
        <x:v>Anatomy-based mapping</x:v>
      </x:c>
    </x:row>
    <x:row r="7" ht="54" customHeight="1">
      <x:c r="A7" s="24" t="str">
        <x:v>EX0004</x:v>
      </x:c>
      <x:c r="B7" s="24" t="str">
        <x:v>Close-grip push-up</x:v>
      </x:c>
      <x:c r="C7" s="24" t="str">
        <x:v>Shoulder &amp; Chest</x:v>
      </x:c>
      <x:c r="D7" s="24" t="str">
        <x:v>Home</x:v>
      </x:c>
      <x:c r="E7" s="24" t="str">
        <x:v>Compound strength</x:v>
      </x:c>
      <x:c r="F7" s="24" t="str">
        <x:v>Triceps brachii lateral head; Triceps brachii long head; Triceps brachii medial head; Pectoralis major</x:v>
      </x:c>
      <x:c r="G7" s="24" t="str">
        <x:v>Serratus anterior; Pectoralis minor; Deltoid; Supraspinatus</x:v>
      </x:c>
      <x:c r="H7" s="24" t="str">
        <x:v>Rectus abdominis; External oblique; Internal oblique; Transversus abdominis; Infraspinatus; Subscapularis; Teres minor</x:v>
      </x:c>
      <x:c r="I7" s="24" t="str">
        <x:v>—</x:v>
      </x:c>
      <x:c r="J7" s="24" t="str">
        <x:v>Triceps brachii lateral head; Triceps brachii long head; Triceps brachii medial head; Pectoralis major; Serratus anterior; Pectoralis minor; Deltoid; Supraspinatus; Rectus abdominis; External oblique; Internal oblique; Transversus abdominis; Infraspinatus; Subscapularis; Teres minor</x:v>
      </x:c>
      <x:c r="K7" s="24" t="str">
        <x:v>Triceps and pectoralis major tendons</x:v>
      </x:c>
      <x:c r="L7" s="24" t="str">
        <x:v>Shoulder capsule and coracoclavicular/acromioclavicular ligaments support joint stability; NOT targeted for stretching</x:v>
      </x:c>
      <x:c r="M7" s="24" t="str">
        <x:v>Muscles: Triceps brachii lateral head; Triceps brachii long head; Triceps brachii medial head; Pectoralis major; Serratus anterior; Pectoralis minor; Deltoid; Supraspinatus; Rectus abdominis; External oblique; Internal oblique; Transversus abdominis; Infraspinatus; Subscapularis; Teres minor | Tendons/fascia: Triceps and pectoralis major tendons | Ligament context only: Shoulder capsule and coracoclavicular/acromioclavicular ligaments support joint stability; NOT targeted for stretching</x:v>
      </x:c>
      <x:c r="N7" s="24" t="str">
        <x:v>Triceps brachii lateral head; Triceps brachii long head; Triceps brachii medial head; Pectoralis major; Serratus anterior; Pectoralis minor; Deltoid; Supraspinatus</x:v>
      </x:c>
      <x:c r="O7" s="24" t="str">
        <x:v>Hands inside shoulder width (not necessarily touching); lower with elbows close.</x:v>
      </x:c>
      <x:c r="P7" s="24" t="str">
        <x:v>Bodyweight</x:v>
      </x:c>
      <x:c r="Q7" s="24" t="str">
        <x:v>2–3 × 8–12 controlled reps</x:v>
      </x:c>
      <x:c r="R7" s="24" t="str">
        <x:v>Progress gradually; stop with sharp pain, dizziness, or numbness.</x:v>
      </x:c>
      <x:c r="S7" s="24" t="str">
        <x:v>https://orthoinfo.aaos.org/globalassets/pdfs/2024-rotator-cuff-and-shoulder-conditioning-program.pdf</x:v>
      </x:c>
      <x:c r="T7" s="24" t="str">
        <x:v>Anatomy-based mapping</x:v>
      </x:c>
    </x:row>
    <x:row r="8" ht="54" customHeight="1">
      <x:c r="A8" s="24" t="str">
        <x:v>EX0005</x:v>
      </x:c>
      <x:c r="B8" s="24" t="str">
        <x:v>Decline feet-elevated push-up</x:v>
      </x:c>
      <x:c r="C8" s="24" t="str">
        <x:v>Shoulder &amp; Chest</x:v>
      </x:c>
      <x:c r="D8" s="24" t="str">
        <x:v>Home</x:v>
      </x:c>
      <x:c r="E8" s="24" t="str">
        <x:v>Compound strength</x:v>
      </x:c>
      <x:c r="F8" s="24" t="str">
        <x:v>Pectoralis major; Deltoid; Supraspinatus; Triceps brachii lateral head; Triceps brachii long head; Triceps brachii medial head</x:v>
      </x:c>
      <x:c r="G8" s="24" t="str">
        <x:v>Serratus anterior; Pectoralis minor</x:v>
      </x:c>
      <x:c r="H8" s="24" t="str">
        <x:v>Rectus abdominis; External oblique; Internal oblique; Transversus abdominis; Infraspinatus; Subscapularis; Teres minor</x:v>
      </x:c>
      <x:c r="I8" s="24" t="str">
        <x:v>—</x:v>
      </x:c>
      <x:c r="J8" s="24" t="str">
        <x:v>Pectoralis major; Deltoid; Supraspinatus; Triceps brachii lateral head; Triceps brachii long head; Triceps brachii medial head; Serratus anterior; Pectoralis minor; Rectus abdominis; External oblique; Internal oblique; Transversus abdominis; Infraspinatus; Subscapularis; Teres minor</x:v>
      </x:c>
      <x:c r="K8" s="24" t="str">
        <x:v>Pectoralis major; triceps; deltoid insertions</x:v>
      </x:c>
      <x:c r="L8" s="24" t="str">
        <x:v>Shoulder capsule and coracoclavicular/acromioclavicular ligaments support joint stability; NOT targeted for stretching</x:v>
      </x:c>
      <x:c r="M8" s="24" t="str">
        <x:v>Muscles: Pectoralis major; Deltoid; Supraspinatus; Triceps brachii lateral head; Triceps brachii long head; Triceps brachii medial head; Serratus anterior; Pectoralis minor; Rectus abdominis; External oblique; Internal oblique; Transversus abdominis; Infraspinatus; Subscapularis; Teres minor | Tendons/fascia: Pectoralis major; triceps; deltoid insertions | Ligament context only: Shoulder capsule and coracoclavicular/acromioclavicular ligaments support joint stability; NOT targeted for stretching</x:v>
      </x:c>
      <x:c r="N8" s="24" t="str">
        <x:v>Pectoralis major; Deltoid; Supraspinatus; Triceps brachii lateral head; Triceps brachii long head; Triceps brachii medial head; Serratus anterior; Pectoralis minor</x:v>
      </x:c>
      <x:c r="O8" s="24" t="str">
        <x:v>Feet on low secure platform; press through a pain-free range.</x:v>
      </x:c>
      <x:c r="P8" s="24" t="str">
        <x:v>Floor; stable low step</x:v>
      </x:c>
      <x:c r="Q8" s="24" t="str">
        <x:v>2–3 × 8–12 controlled reps</x:v>
      </x:c>
      <x:c r="R8" s="24" t="str">
        <x:v>Progress gradually; stop with sharp pain, dizziness, or numbness.</x:v>
      </x:c>
      <x:c r="S8" s="24" t="str">
        <x:v>https://orthoinfo.aaos.org/globalassets/pdfs/2024-rotator-cuff-and-shoulder-conditioning-program.pdf</x:v>
      </x:c>
      <x:c r="T8" s="24" t="str">
        <x:v>Anatomy-based mapping</x:v>
      </x:c>
    </x:row>
    <x:row r="9" ht="54" customHeight="1">
      <x:c r="A9" s="24" t="str">
        <x:v>EX0006</x:v>
      </x:c>
      <x:c r="B9" s="24" t="str">
        <x:v>Scapular push-up / push-up plus</x:v>
      </x:c>
      <x:c r="C9" s="24" t="str">
        <x:v>Shoulder &amp; Chest</x:v>
      </x:c>
      <x:c r="D9" s="24" t="str">
        <x:v>Home</x:v>
      </x:c>
      <x:c r="E9" s="24" t="str">
        <x:v>Isolation strength</x:v>
      </x:c>
      <x:c r="F9" s="24" t="str">
        <x:v>Serratus anterior; Pectoralis minor</x:v>
      </x:c>
      <x:c r="G9" s="24" t="str">
        <x:v>Pectoralis major</x:v>
      </x:c>
      <x:c r="H9" s="24" t="str">
        <x:v>Infraspinatus; Subscapularis; Supraspinatus; Teres minor; Rectus abdominis; External oblique; Internal oblique; Transversus abdominis</x:v>
      </x:c>
      <x:c r="I9" s="24" t="str">
        <x:v>—</x:v>
      </x:c>
      <x:c r="J9" s="24" t="str">
        <x:v>Serratus anterior; Pectoralis minor; Pectoralis major; Infraspinatus; Subscapularis; Supraspinatus; Teres minor; Rectus abdominis; External oblique; Internal oblique; Transversus abdominis</x:v>
      </x:c>
      <x:c r="K9" s="24" t="str">
        <x:v>Serratus anterior rib/scapular attachments</x:v>
      </x:c>
      <x:c r="L9" s="24" t="str">
        <x:v>Shoulder capsule and coracoclavicular/acromioclavicular ligaments support joint stability; NOT targeted for stretching</x:v>
      </x:c>
      <x:c r="M9" s="24" t="str">
        <x:v>Muscles: Serratus anterior; Pectoralis minor; Pectoralis major; Infraspinatus; Subscapularis; Supraspinatus; Teres minor; Rectus abdominis; External oblique; Internal oblique; Transversus abdominis | Tendons/fascia: Serratus anterior rib/scapular attachments | Ligament context only: Shoulder capsule and coracoclavicular/acromioclavicular ligaments support joint stability; NOT targeted for stretching</x:v>
      </x:c>
      <x:c r="N9" s="24" t="str">
        <x:v>Serratus anterior; Pectoralis minor; Pectoralis major</x:v>
      </x:c>
      <x:c r="O9" s="24" t="str">
        <x:v>Arms straight in high plank; glide shoulder blades together then reach floor away.</x:v>
      </x:c>
      <x:c r="P9" s="24" t="str">
        <x:v>Bodyweight</x:v>
      </x:c>
      <x:c r="Q9" s="24" t="str">
        <x:v>2–3 × 8–12 controlled reps</x:v>
      </x:c>
      <x:c r="R9" s="24" t="str">
        <x:v>Progress gradually; stop with sharp pain, dizziness, or numbness.</x:v>
      </x:c>
      <x:c r="S9" s="24" t="str">
        <x:v>https://orthoinfo.aaos.org/globalassets/pdfs/2024-rotator-cuff-and-shoulder-conditioning-program.pdf</x:v>
      </x:c>
      <x:c r="T9" s="24" t="str">
        <x:v>Anatomy-based mapping</x:v>
      </x:c>
    </x:row>
    <x:row r="10" ht="54" customHeight="1">
      <x:c r="A10" s="24" t="str">
        <x:v>EX0007</x:v>
      </x:c>
      <x:c r="B10" s="24" t="str">
        <x:v>Pike push-up</x:v>
      </x:c>
      <x:c r="C10" s="24" t="str">
        <x:v>Shoulder &amp; Chest</x:v>
      </x:c>
      <x:c r="D10" s="24" t="str">
        <x:v>Home</x:v>
      </x:c>
      <x:c r="E10" s="24" t="str">
        <x:v>Compound strength</x:v>
      </x:c>
      <x:c r="F10" s="24" t="str">
        <x:v>Deltoid; Supraspinatus; Triceps brachii lateral head; Triceps brachii long head; Triceps brachii medial head</x:v>
      </x:c>
      <x:c r="G10" s="24" t="str">
        <x:v>Trapezius; Serratus anterior</x:v>
      </x:c>
      <x:c r="H10" s="24" t="str">
        <x:v>Infraspinatus; Subscapularis; Teres minor; Rectus abdominis; External oblique; Internal oblique; Transversus abdominis</x:v>
      </x:c>
      <x:c r="I10" s="24" t="str">
        <x:v>—</x:v>
      </x:c>
      <x:c r="J10" s="24" t="str">
        <x:v>Deltoid; Supraspinatus; Triceps brachii lateral head; Triceps brachii long head; Triceps brachii medial head; Trapezius; Serratus anterior; Infraspinatus; Subscapularis; Teres minor; Rectus abdominis; External oblique; Internal oblique; Transversus abdominis</x:v>
      </x:c>
      <x:c r="K10" s="24" t="str">
        <x:v>Triceps tendon; deltoid insertion</x:v>
      </x:c>
      <x:c r="L10" s="24" t="str">
        <x:v>Shoulder capsule and coracoclavicular/acromioclavicular ligaments support joint stability; NOT targeted for stretching</x:v>
      </x:c>
      <x:c r="M10" s="24" t="str">
        <x:v>Muscles: Deltoid; Supraspinatus; Triceps brachii lateral head; Triceps brachii long head; Triceps brachii medial head; Trapezius; Serratus anterior; Infraspinatus; Subscapularis; Teres minor; Rectus abdominis; External oblique; Internal oblique; Transversus abdominis | Tendons/fascia: Triceps tendon; deltoid insertion | Ligament context only: Shoulder capsule and coracoclavicular/acromioclavicular ligaments support joint stability; NOT targeted for stretching</x:v>
      </x:c>
      <x:c r="N10" s="24" t="str">
        <x:v>Deltoid; Supraspinatus; Triceps brachii lateral head; Triceps brachii long head; Triceps brachii medial head; Trapezius; Serratus anterior</x:v>
      </x:c>
      <x:c r="O10" s="24" t="str">
        <x:v>Hips high in inverted V; bend elbows to lower head ahead of hands, press up.</x:v>
      </x:c>
      <x:c r="P10" s="24" t="str">
        <x:v>Bodyweight</x:v>
      </x:c>
      <x:c r="Q10" s="24" t="str">
        <x:v>2–3 × 8–12 controlled reps</x:v>
      </x:c>
      <x:c r="R10" s="24" t="str">
        <x:v>Progress gradually; stop with sharp pain, dizziness, or numbness.</x:v>
      </x:c>
      <x:c r="S10" s="24" t="str">
        <x:v>https://orthoinfo.aaos.org/globalassets/pdfs/2024-rotator-cuff-and-shoulder-conditioning-program.pdf</x:v>
      </x:c>
      <x:c r="T10" s="24" t="str">
        <x:v>Anatomy-based mapping</x:v>
      </x:c>
    </x:row>
    <x:row r="11" ht="54" customHeight="1">
      <x:c r="A11" s="24" t="str">
        <x:v>EX0008</x:v>
      </x:c>
      <x:c r="B11" s="24" t="str">
        <x:v>Wall handstand lean / shrug</x:v>
      </x:c>
      <x:c r="C11" s="24" t="str">
        <x:v>Shoulder &amp; Chest</x:v>
      </x:c>
      <x:c r="D11" s="24" t="str">
        <x:v>Home</x:v>
      </x:c>
      <x:c r="E11" s="24" t="str">
        <x:v>Isometric strength</x:v>
      </x:c>
      <x:c r="F11" s="24" t="str">
        <x:v>Deltoid; Supraspinatus; Trapezius; Serratus anterior</x:v>
      </x:c>
      <x:c r="G11" s="24" t="str">
        <x:v>Triceps brachii lateral head; Triceps brachii long head; Triceps brachii medial head</x:v>
      </x:c>
      <x:c r="H11" s="24" t="str">
        <x:v>Infraspinatus; Subscapularis; Teres minor; Rectus abdominis; External oblique; Internal oblique; Transversus abdominis</x:v>
      </x:c>
      <x:c r="I11" s="24" t="str">
        <x:v>—</x:v>
      </x:c>
      <x:c r="J11" s="24" t="str">
        <x:v>Deltoid; Supraspinatus; Trapezius; Serratus anterior; Triceps brachii lateral head; Triceps brachii long head; Triceps brachii medial head; Infraspinatus; Subscapularis; Teres minor; Rectus abdominis; External oblique; Internal oblique; Transversus abdominis</x:v>
      </x:c>
      <x:c r="K11" s="24" t="str">
        <x:v>Triceps, deltoid, trapezius attachments</x:v>
      </x:c>
      <x:c r="L11" s="24" t="str">
        <x:v>Shoulder capsule and coracoclavicular/acromioclavicular ligaments support joint stability; NOT targeted for stretching</x:v>
      </x:c>
      <x:c r="M11" s="24" t="str">
        <x:v>Muscles: Deltoid; Supraspinatus; Trapezius; Serratus anterior; Triceps brachii lateral head; Triceps brachii long head; Triceps brachii medial head; Infraspinatus; Subscapularis; Teres minor; Rectus abdominis; External oblique; Internal oblique; Transversus abdominis | Tendons/fascia: Triceps, deltoid, trapezius attachments | Ligament context only: Shoulder capsule and coracoclavicular/acromioclavicular ligaments support joint stability; NOT targeted for stretching</x:v>
      </x:c>
      <x:c r="N11" s="24" t="str">
        <x:v>Deltoid; Supraspinatus; Trapezius; Serratus anterior; Triceps brachii lateral head; Triceps brachii long head; Triceps brachii medial head</x:v>
      </x:c>
      <x:c r="O11" s="24" t="str">
        <x:v>Lean hands into wall with overhead arms; shrug and hold without arching back.</x:v>
      </x:c>
      <x:c r="P11" s="24" t="str">
        <x:v>Wall</x:v>
      </x:c>
      <x:c r="Q11" s="24" t="str">
        <x:v>2–3 × 8–12 controlled reps</x:v>
      </x:c>
      <x:c r="R11" s="24" t="str">
        <x:v>Avoid if wrist/shoulder instability; use low-intensity wall version.</x:v>
      </x:c>
      <x:c r="S11" s="24" t="str">
        <x:v>https://orthoinfo.aaos.org/globalassets/pdfs/2024-rotator-cuff-and-shoulder-conditioning-program.pdf</x:v>
      </x:c>
      <x:c r="T11" s="24" t="str">
        <x:v>Anatomy-based mapping</x:v>
      </x:c>
    </x:row>
    <x:row r="12" ht="54" customHeight="1">
      <x:c r="A12" s="24" t="str">
        <x:v>EX0009</x:v>
      </x:c>
      <x:c r="B12" s="24" t="str">
        <x:v>Band chest press</x:v>
      </x:c>
      <x:c r="C12" s="24" t="str">
        <x:v>Shoulder &amp; Chest</x:v>
      </x:c>
      <x:c r="D12" s="24" t="str">
        <x:v>Home</x:v>
      </x:c>
      <x:c r="E12" s="24" t="str">
        <x:v>Band strength</x:v>
      </x:c>
      <x:c r="F12" s="24" t="str">
        <x:v>Pectoralis major; Triceps brachii lateral head; Triceps brachii long head; Triceps brachii medial head</x:v>
      </x:c>
      <x:c r="G12" s="24" t="str">
        <x:v>Serratus anterior; Pectoralis minor; Deltoid; Supraspinatus</x:v>
      </x:c>
      <x:c r="H12" s="24" t="str">
        <x:v>Infraspinatus; Subscapularis; Teres minor; Rectus abdominis; External oblique; Internal oblique; Transversus abdominis</x:v>
      </x:c>
      <x:c r="I12" s="24" t="str">
        <x:v>—</x:v>
      </x:c>
      <x:c r="J12" s="24" t="str">
        <x:v>Pectoralis major; Triceps brachii lateral head; Triceps brachii long head; Triceps brachii medial head; Serratus anterior; Pectoralis minor; Deltoid; Supraspinatus; Infraspinatus; Subscapularis; Teres minor; Rectus abdominis; External oblique; Internal oblique; Transversus abdominis</x:v>
      </x:c>
      <x:c r="K12" s="24" t="str">
        <x:v>Pectoralis major; triceps insertion tendons</x:v>
      </x:c>
      <x:c r="L12" s="24" t="str">
        <x:v>Shoulder capsule and coracoclavicular/acromioclavicular ligaments support joint stability; NOT targeted for stretching</x:v>
      </x:c>
      <x:c r="M12" s="24" t="str">
        <x:v>Muscles: Pectoralis major; Triceps brachii lateral head; Triceps brachii long head; Triceps brachii medial head; Serratus anterior; Pectoralis minor; Deltoid; Supraspinatus; Infraspinatus; Subscapularis; Teres minor; Rectus abdominis; External oblique; Internal oblique; Transversus abdominis | Tendons/fascia: Pectoralis major; triceps insertion tendons | Ligament context only: Shoulder capsule and coracoclavicular/acromioclavicular ligaments support joint stability; NOT targeted for stretching</x:v>
      </x:c>
      <x:c r="N12" s="24" t="str">
        <x:v>Pectoralis major; Triceps brachii lateral head; Triceps brachii long head; Triceps brachii medial head; Serratus anterior; Pectoralis minor; Deltoid; Supraspinatus</x:v>
      </x:c>
      <x:c r="O12" s="24" t="str">
        <x:v>Band secured behind torso at mid-chest; press handles forward without shrugging.</x:v>
      </x:c>
      <x:c r="P12" s="24" t="str">
        <x:v>Long band; secure anchor</x:v>
      </x:c>
      <x:c r="Q12" s="24" t="str">
        <x:v>2–3 × 8–12 controlled reps</x:v>
      </x:c>
      <x:c r="R12" s="24" t="str">
        <x:v>Progress gradually; stop with sharp pain, dizziness, or numbness.</x:v>
      </x:c>
      <x:c r="S12" s="24" t="str">
        <x:v>https://orthoinfo.aaos.org/globalassets/pdfs/2024-rotator-cuff-and-shoulder-conditioning-program.pdf</x:v>
      </x:c>
      <x:c r="T12" s="24" t="str">
        <x:v>Anatomy-based mapping</x:v>
      </x:c>
    </x:row>
    <x:row r="13" ht="54" customHeight="1">
      <x:c r="A13" s="24" t="str">
        <x:v>EX0010</x:v>
      </x:c>
      <x:c r="B13" s="24" t="str">
        <x:v>Band chest fly</x:v>
      </x:c>
      <x:c r="C13" s="24" t="str">
        <x:v>Shoulder &amp; Chest</x:v>
      </x:c>
      <x:c r="D13" s="24" t="str">
        <x:v>Home</x:v>
      </x:c>
      <x:c r="E13" s="24" t="str">
        <x:v>Band strength</x:v>
      </x:c>
      <x:c r="F13" s="24" t="str">
        <x:v>Pectoralis major</x:v>
      </x:c>
      <x:c r="G13" s="24" t="str">
        <x:v>Deltoid; Supraspinatus; Serratus anterior; Pectoralis minor</x:v>
      </x:c>
      <x:c r="H13" s="24" t="str">
        <x:v>Infraspinatus; Subscapularis; Teres minor</x:v>
      </x:c>
      <x:c r="I13" s="24" t="str">
        <x:v>—</x:v>
      </x:c>
      <x:c r="J13" s="24" t="str">
        <x:v>Pectoralis major; Deltoid; Supraspinatus; Serratus anterior; Pectoralis minor; Infraspinatus; Subscapularis; Teres minor</x:v>
      </x:c>
      <x:c r="K13" s="24" t="str">
        <x:v>Pectoralis major tendon</x:v>
      </x:c>
      <x:c r="L13" s="24" t="str">
        <x:v>Shoulder capsule and coracoclavicular/acromioclavicular ligaments support joint stability; NOT targeted for stretching</x:v>
      </x:c>
      <x:c r="M13" s="24" t="str">
        <x:v>Muscles: Pectoralis major; Deltoid; Supraspinatus; Serratus anterior; Pectoralis minor; Infraspinatus; Subscapularis; Teres minor | Tendons/fascia: Pectoralis major tendon | Ligament context only: Shoulder capsule and coracoclavicular/acromioclavicular ligaments support joint stability; NOT targeted for stretching</x:v>
      </x:c>
      <x:c r="N13" s="24" t="str">
        <x:v>Pectoralis major; Deltoid; Supraspinatus; Serratus anterior; Pectoralis minor</x:v>
      </x:c>
      <x:c r="O13" s="24" t="str">
        <x:v>With soft elbows and band behind you, arc arms inward; avoid deep shoulder extension.</x:v>
      </x:c>
      <x:c r="P13" s="24" t="str">
        <x:v>Long band; secure anchor</x:v>
      </x:c>
      <x:c r="Q13" s="24" t="str">
        <x:v>2–3 × 8–12 controlled reps</x:v>
      </x:c>
      <x:c r="R13" s="24" t="str">
        <x:v>Progress gradually; stop with sharp pain, dizziness, or numbness.</x:v>
      </x:c>
      <x:c r="S13" s="24" t="str">
        <x:v>https://orthoinfo.aaos.org/globalassets/pdfs/2024-rotator-cuff-and-shoulder-conditioning-program.pdf</x:v>
      </x:c>
      <x:c r="T13" s="24" t="str">
        <x:v>Anatomy-based mapping</x:v>
      </x:c>
    </x:row>
    <x:row r="14" ht="54" customHeight="1">
      <x:c r="A14" s="24" t="str">
        <x:v>EX0011</x:v>
      </x:c>
      <x:c r="B14" s="24" t="str">
        <x:v>Dumbbell flat bench press</x:v>
      </x:c>
      <x:c r="C14" s="24" t="str">
        <x:v>Shoulder &amp; Chest</x:v>
      </x:c>
      <x:c r="D14" s="24" t="str">
        <x:v>Gym</x:v>
      </x:c>
      <x:c r="E14" s="24" t="str">
        <x:v>Compound strength</x:v>
      </x:c>
      <x:c r="F14" s="24" t="str">
        <x:v>Pectoralis major; Triceps brachii lateral head; Triceps brachii long head; Triceps brachii medial head</x:v>
      </x:c>
      <x:c r="G14" s="24" t="str">
        <x:v>Deltoid; Supraspinatus; Serratus anterior; Pectoralis minor</x:v>
      </x:c>
      <x:c r="H14" s="24" t="str">
        <x:v>Infraspinatus; Subscapularis; Teres minor</x:v>
      </x:c>
      <x:c r="I14" s="24" t="str">
        <x:v>—</x:v>
      </x:c>
      <x:c r="J14" s="24" t="str">
        <x:v>Pectoralis major; Triceps brachii lateral head; Triceps brachii long head; Triceps brachii medial head; Deltoid; Supraspinatus; Serratus anterior; Pectoralis minor; Infraspinatus; Subscapularis; Teres minor</x:v>
      </x:c>
      <x:c r="K14" s="24" t="str">
        <x:v>Pectoralis major and triceps tendons</x:v>
      </x:c>
      <x:c r="L14" s="24" t="str">
        <x:v>Shoulder capsule and coracoclavicular/acromioclavicular ligaments support joint stability; NOT targeted for stretching</x:v>
      </x:c>
      <x:c r="M14" s="24" t="str">
        <x:v>Muscles: Pectoralis major; Triceps brachii lateral head; Triceps brachii long head; Triceps brachii medial head; Deltoid; Supraspinatus; Serratus anterior; Pectoralis minor; Infraspinatus; Subscapularis; Teres minor | Tendons/fascia: Pectoralis major and triceps tendons | Ligament context only: Shoulder capsule and coracoclavicular/acromioclavicular ligaments support joint stability; NOT targeted for stretching</x:v>
      </x:c>
      <x:c r="N14" s="24" t="str">
        <x:v>Pectoralis major; Triceps brachii lateral head; Triceps brachii long head; Triceps brachii medial head; Deltoid; Supraspinatus; Serratus anterior; Pectoralis minor</x:v>
      </x:c>
      <x:c r="O14" s="24" t="str">
        <x:v>Lie on bench with shoulder blades set; lower weights toward chest and press.</x:v>
      </x:c>
      <x:c r="P14" s="24" t="str">
        <x:v>Bench; dumbbells</x:v>
      </x:c>
      <x:c r="Q14" s="24" t="str">
        <x:v>2–3 × 8–12 controlled reps</x:v>
      </x:c>
      <x:c r="R14" s="24" t="str">
        <x:v>Progress gradually; stop with sharp pain, dizziness, or numbness.</x:v>
      </x:c>
      <x:c r="S14" s="24" t="str">
        <x:v>https://orthoinfo.aaos.org/globalassets/pdfs/2024-rotator-cuff-and-shoulder-conditioning-program.pdf</x:v>
      </x:c>
      <x:c r="T14" s="24" t="str">
        <x:v>Anatomy-based mapping</x:v>
      </x:c>
    </x:row>
    <x:row r="15" ht="54" customHeight="1">
      <x:c r="A15" s="24" t="str">
        <x:v>EX0012</x:v>
      </x:c>
      <x:c r="B15" s="24" t="str">
        <x:v>Dumbbell incline bench press</x:v>
      </x:c>
      <x:c r="C15" s="24" t="str">
        <x:v>Shoulder &amp; Chest</x:v>
      </x:c>
      <x:c r="D15" s="24" t="str">
        <x:v>Gym</x:v>
      </x:c>
      <x:c r="E15" s="24" t="str">
        <x:v>Compound strength</x:v>
      </x:c>
      <x:c r="F15" s="24" t="str">
        <x:v>Pectoralis major; Deltoid; Supraspinatus</x:v>
      </x:c>
      <x:c r="G15" s="24" t="str">
        <x:v>Triceps brachii lateral head; Triceps brachii long head; Triceps brachii medial head; Serratus anterior; Pectoralis minor</x:v>
      </x:c>
      <x:c r="H15" s="24" t="str">
        <x:v>Infraspinatus; Subscapularis; Teres minor</x:v>
      </x:c>
      <x:c r="I15" s="24" t="str">
        <x:v>—</x:v>
      </x:c>
      <x:c r="J15" s="24" t="str">
        <x:v>Pectoralis major; Deltoid; Supraspinatus; Triceps brachii lateral head; Triceps brachii long head; Triceps brachii medial head; Serratus anterior; Pectoralis minor; Infraspinatus; Subscapularis; Teres minor</x:v>
      </x:c>
      <x:c r="K15" s="24" t="str">
        <x:v>Pectoralis major; deltoid; triceps tendons</x:v>
      </x:c>
      <x:c r="L15" s="24" t="str">
        <x:v>Shoulder capsule and coracoclavicular/acromioclavicular ligaments support joint stability; NOT targeted for stretching</x:v>
      </x:c>
      <x:c r="M15" s="24" t="str">
        <x:v>Muscles: Pectoralis major; Deltoid; Supraspinatus; Triceps brachii lateral head; Triceps brachii long head; Triceps brachii medial head; Serratus anterior; Pectoralis minor; Infraspinatus; Subscapularis; Teres minor | Tendons/fascia: Pectoralis major; deltoid; triceps tendons | Ligament context only: Shoulder capsule and coracoclavicular/acromioclavicular ligaments support joint stability; NOT targeted for stretching</x:v>
      </x:c>
      <x:c r="N15" s="24" t="str">
        <x:v>Pectoralis major; Deltoid; Supraspinatus; Triceps brachii lateral head; Triceps brachii long head; Triceps brachii medial head; Serratus anterior; Pectoralis minor</x:v>
      </x:c>
      <x:c r="O15" s="24" t="str">
        <x:v>Use a modest incline; press dumbbells above upper chest.</x:v>
      </x:c>
      <x:c r="P15" s="24" t="str">
        <x:v>Adjustable bench; dumbbells</x:v>
      </x:c>
      <x:c r="Q15" s="24" t="str">
        <x:v>2–3 × 8–12 controlled reps</x:v>
      </x:c>
      <x:c r="R15" s="24" t="str">
        <x:v>Progress gradually; stop with sharp pain, dizziness, or numbness.</x:v>
      </x:c>
      <x:c r="S15" s="24" t="str">
        <x:v>https://orthoinfo.aaos.org/globalassets/pdfs/2024-rotator-cuff-and-shoulder-conditioning-program.pdf</x:v>
      </x:c>
      <x:c r="T15" s="24" t="str">
        <x:v>Anatomy-based mapping</x:v>
      </x:c>
    </x:row>
    <x:row r="16" ht="54" customHeight="1">
      <x:c r="A16" s="24" t="str">
        <x:v>EX0013</x:v>
      </x:c>
      <x:c r="B16" s="24" t="str">
        <x:v>Machine chest press</x:v>
      </x:c>
      <x:c r="C16" s="24" t="str">
        <x:v>Shoulder &amp; Chest</x:v>
      </x:c>
      <x:c r="D16" s="24" t="str">
        <x:v>Gym</x:v>
      </x:c>
      <x:c r="E16" s="24" t="str">
        <x:v>Compound strength</x:v>
      </x:c>
      <x:c r="F16" s="24" t="str">
        <x:v>Pectoralis major; Triceps brachii lateral head; Triceps brachii long head; Triceps brachii medial head</x:v>
      </x:c>
      <x:c r="G16" s="24" t="str">
        <x:v>Deltoid; Supraspinatus; Serratus anterior; Pectoralis minor</x:v>
      </x:c>
      <x:c r="H16" s="24" t="str">
        <x:v>Infraspinatus; Subscapularis; Teres minor</x:v>
      </x:c>
      <x:c r="I16" s="24" t="str">
        <x:v>—</x:v>
      </x:c>
      <x:c r="J16" s="24" t="str">
        <x:v>Pectoralis major; Triceps brachii lateral head; Triceps brachii long head; Triceps brachii medial head; Deltoid; Supraspinatus; Serratus anterior; Pectoralis minor; Infraspinatus; Subscapularis; Teres minor</x:v>
      </x:c>
      <x:c r="K16" s="24" t="str">
        <x:v>Pectoralis major and triceps tendons</x:v>
      </x:c>
      <x:c r="L16" s="24" t="str">
        <x:v>Shoulder capsule and coracoclavicular/acromioclavicular ligaments support joint stability; NOT targeted for stretching</x:v>
      </x:c>
      <x:c r="M16" s="24" t="str">
        <x:v>Muscles: Pectoralis major; Triceps brachii lateral head; Triceps brachii long head; Triceps brachii medial head; Deltoid; Supraspinatus; Serratus anterior; Pectoralis minor; Infraspinatus; Subscapularis; Teres minor | Tendons/fascia: Pectoralis major and triceps tendons | Ligament context only: Shoulder capsule and coracoclavicular/acromioclavicular ligaments support joint stability; NOT targeted for stretching</x:v>
      </x:c>
      <x:c r="N16" s="24" t="str">
        <x:v>Pectoralis major; Triceps brachii lateral head; Triceps brachii long head; Triceps brachii medial head; Deltoid; Supraspinatus; Serratus anterior; Pectoralis minor</x:v>
      </x:c>
      <x:c r="O16" s="24" t="str">
        <x:v>Adjust seat for handles at chest height; press without letting shoulders roll forward.</x:v>
      </x:c>
      <x:c r="P16" s="24" t="str">
        <x:v>Chest press machine</x:v>
      </x:c>
      <x:c r="Q16" s="24" t="str">
        <x:v>2–3 × 8–12 controlled reps</x:v>
      </x:c>
      <x:c r="R16" s="24" t="str">
        <x:v>Progress gradually; stop with sharp pain, dizziness, or numbness.</x:v>
      </x:c>
      <x:c r="S16" s="24" t="str">
        <x:v>https://orthoinfo.aaos.org/globalassets/pdfs/2024-rotator-cuff-and-shoulder-conditioning-program.pdf</x:v>
      </x:c>
      <x:c r="T16" s="24" t="str">
        <x:v>Anatomy-based mapping</x:v>
      </x:c>
    </x:row>
    <x:row r="17" ht="54" customHeight="1">
      <x:c r="A17" s="24" t="str">
        <x:v>EX0014</x:v>
      </x:c>
      <x:c r="B17" s="24" t="str">
        <x:v>Cable chest fly</x:v>
      </x:c>
      <x:c r="C17" s="24" t="str">
        <x:v>Shoulder &amp; Chest</x:v>
      </x:c>
      <x:c r="D17" s="24" t="str">
        <x:v>Gym</x:v>
      </x:c>
      <x:c r="E17" s="24" t="str">
        <x:v>Isolation strength</x:v>
      </x:c>
      <x:c r="F17" s="24" t="str">
        <x:v>Pectoralis major</x:v>
      </x:c>
      <x:c r="G17" s="24" t="str">
        <x:v>Deltoid; Supraspinatus</x:v>
      </x:c>
      <x:c r="H17" s="24" t="str">
        <x:v>Infraspinatus; Subscapularis; Teres minor; Serratus anterior; Pectoralis minor</x:v>
      </x:c>
      <x:c r="I17" s="24" t="str">
        <x:v>—</x:v>
      </x:c>
      <x:c r="J17" s="24" t="str">
        <x:v>Pectoralis major; Deltoid; Supraspinatus; Infraspinatus; Subscapularis; Teres minor; Serratus anterior; Pectoralis minor</x:v>
      </x:c>
      <x:c r="K17" s="24" t="str">
        <x:v>Pectoralis major tendon</x:v>
      </x:c>
      <x:c r="L17" s="24" t="str">
        <x:v>Shoulder capsule and coracoclavicular/acromioclavicular ligaments support joint stability; NOT targeted for stretching</x:v>
      </x:c>
      <x:c r="M17" s="24" t="str">
        <x:v>Muscles: Pectoralis major; Deltoid; Supraspinatus; Infraspinatus; Subscapularis; Teres minor; Serratus anterior; Pectoralis minor | Tendons/fascia: Pectoralis major tendon | Ligament context only: Shoulder capsule and coracoclavicular/acromioclavicular ligaments support joint stability; NOT targeted for stretching</x:v>
      </x:c>
      <x:c r="N17" s="24" t="str">
        <x:v>Pectoralis major; Deltoid; Supraspinatus</x:v>
      </x:c>
      <x:c r="O17" s="24" t="str">
        <x:v>With elbows softly bent, bring cables together at chest height.</x:v>
      </x:c>
      <x:c r="P17" s="24" t="str">
        <x:v>Cable station</x:v>
      </x:c>
      <x:c r="Q17" s="24" t="str">
        <x:v>2–3 × 8–12 controlled reps</x:v>
      </x:c>
      <x:c r="R17" s="24" t="str">
        <x:v>Progress gradually; stop with sharp pain, dizziness, or numbness.</x:v>
      </x:c>
      <x:c r="S17" s="24" t="str">
        <x:v>https://orthoinfo.aaos.org/globalassets/pdfs/2024-rotator-cuff-and-shoulder-conditioning-program.pdf</x:v>
      </x:c>
      <x:c r="T17" s="24" t="str">
        <x:v>Anatomy-based mapping</x:v>
      </x:c>
    </x:row>
    <x:row r="18" ht="54" customHeight="1">
      <x:c r="A18" s="24" t="str">
        <x:v>EX0015</x:v>
      </x:c>
      <x:c r="B18" s="24" t="str">
        <x:v>Standing band shoulder press</x:v>
      </x:c>
      <x:c r="C18" s="24" t="str">
        <x:v>Shoulder &amp; Chest</x:v>
      </x:c>
      <x:c r="D18" s="24" t="str">
        <x:v>Home</x:v>
      </x:c>
      <x:c r="E18" s="24" t="str">
        <x:v>Band strength</x:v>
      </x:c>
      <x:c r="F18" s="24" t="str">
        <x:v>Deltoid; Supraspinatus; Triceps brachii lateral head; Triceps brachii long head; Triceps brachii medial head</x:v>
      </x:c>
      <x:c r="G18" s="24" t="str">
        <x:v>Trapezius; Serratus anterior</x:v>
      </x:c>
      <x:c r="H18" s="24" t="str">
        <x:v>Infraspinatus; Subscapularis; Teres minor; Rectus abdominis; External oblique; Internal oblique; Transversus abdominis</x:v>
      </x:c>
      <x:c r="I18" s="24" t="str">
        <x:v>—</x:v>
      </x:c>
      <x:c r="J18" s="24" t="str">
        <x:v>Deltoid; Supraspinatus; Triceps brachii lateral head; Triceps brachii long head; Triceps brachii medial head; Trapezius; Serratus anterior; Infraspinatus; Subscapularis; Teres minor; Rectus abdominis; External oblique; Internal oblique; Transversus abdominis</x:v>
      </x:c>
      <x:c r="K18" s="24" t="str">
        <x:v>Triceps tendon; deltoid insertion</x:v>
      </x:c>
      <x:c r="L18" s="24" t="str">
        <x:v>Shoulder capsule and coracoclavicular/acromioclavicular ligaments support joint stability; NOT targeted for stretching</x:v>
      </x:c>
      <x:c r="M18" s="24" t="str">
        <x:v>Muscles: Deltoid; Supraspinatus; Triceps brachii lateral head; Triceps brachii long head; Triceps brachii medial head; Trapezius; Serratus anterior; Infraspinatus; Subscapularis; Teres minor; Rectus abdominis; External oblique; Internal oblique; Transversus abdominis | Tendons/fascia: Triceps tendon; deltoid insertion | Ligament context only: Shoulder capsule and coracoclavicular/acromioclavicular ligaments support joint stability; NOT targeted for stretching</x:v>
      </x:c>
      <x:c r="N18" s="24" t="str">
        <x:v>Deltoid; Supraspinatus; Triceps brachii lateral head; Triceps brachii long head; Triceps brachii medial head; Trapezius; Serratus anterior</x:v>
      </x:c>
      <x:c r="O18" s="24" t="str">
        <x:v>Stand on band; press overhead keeping ribs stacked over pelvis.</x:v>
      </x:c>
      <x:c r="P18" s="24" t="str">
        <x:v>Long band</x:v>
      </x:c>
      <x:c r="Q18" s="24" t="str">
        <x:v>2–3 × 8–12 controlled reps</x:v>
      </x:c>
      <x:c r="R18" s="24" t="str">
        <x:v>Progress gradually; stop with sharp pain, dizziness, or numbness.</x:v>
      </x:c>
      <x:c r="S18" s="24" t="str">
        <x:v>https://orthoinfo.aaos.org/globalassets/pdfs/2024-rotator-cuff-and-shoulder-conditioning-program.pdf</x:v>
      </x:c>
      <x:c r="T18" s="24" t="str">
        <x:v>Anatomy-based mapping</x:v>
      </x:c>
    </x:row>
    <x:row r="19" ht="54" customHeight="1">
      <x:c r="A19" s="24" t="str">
        <x:v>EX0016</x:v>
      </x:c>
      <x:c r="B19" s="24" t="str">
        <x:v>Dumbbell overhead press</x:v>
      </x:c>
      <x:c r="C19" s="24" t="str">
        <x:v>Shoulder &amp; Chest</x:v>
      </x:c>
      <x:c r="D19" s="24" t="str">
        <x:v>Gym</x:v>
      </x:c>
      <x:c r="E19" s="24" t="str">
        <x:v>Compound strength</x:v>
      </x:c>
      <x:c r="F19" s="24" t="str">
        <x:v>Deltoid; Supraspinatus; Triceps brachii lateral head; Triceps brachii long head; Triceps brachii medial head</x:v>
      </x:c>
      <x:c r="G19" s="24" t="str">
        <x:v>Trapezius; Serratus anterior</x:v>
      </x:c>
      <x:c r="H19" s="24" t="str">
        <x:v>Infraspinatus; Subscapularis; Teres minor; Rectus abdominis; External oblique; Internal oblique; Transversus abdominis</x:v>
      </x:c>
      <x:c r="I19" s="24" t="str">
        <x:v>—</x:v>
      </x:c>
      <x:c r="J19" s="24" t="str">
        <x:v>Deltoid; Supraspinatus; Triceps brachii lateral head; Triceps brachii long head; Triceps brachii medial head; Trapezius; Serratus anterior; Infraspinatus; Subscapularis; Teres minor; Rectus abdominis; External oblique; Internal oblique; Transversus abdominis</x:v>
      </x:c>
      <x:c r="K19" s="24" t="str">
        <x:v>Deltoid; triceps; supraspinatus insertions</x:v>
      </x:c>
      <x:c r="L19" s="24" t="str">
        <x:v>Shoulder capsule and coracoclavicular/acromioclavicular ligaments support joint stability; NOT targeted for stretching</x:v>
      </x:c>
      <x:c r="M19" s="24" t="str">
        <x:v>Muscles: Deltoid; Supraspinatus; Triceps brachii lateral head; Triceps brachii long head; Triceps brachii medial head; Trapezius; Serratus anterior; Infraspinatus; Subscapularis; Teres minor; Rectus abdominis; External oblique; Internal oblique; Transversus abdominis | Tendons/fascia: Deltoid; triceps; supraspinatus insertions | Ligament context only: Shoulder capsule and coracoclavicular/acromioclavicular ligaments support joint stability; NOT targeted for stretching</x:v>
      </x:c>
      <x:c r="N19" s="24" t="str">
        <x:v>Deltoid; Supraspinatus; Triceps brachii lateral head; Triceps brachii long head; Triceps brachii medial head; Trapezius; Serratus anterior</x:v>
      </x:c>
      <x:c r="O19" s="24" t="str">
        <x:v>Press dumbbells overhead through comfortable motion without excessive lumbar arch.</x:v>
      </x:c>
      <x:c r="P19" s="24" t="str">
        <x:v>Dumbbells</x:v>
      </x:c>
      <x:c r="Q19" s="24" t="str">
        <x:v>2–3 × 8–12 controlled reps</x:v>
      </x:c>
      <x:c r="R19" s="24" t="str">
        <x:v>Progress gradually; stop with sharp pain, dizziness, or numbness.</x:v>
      </x:c>
      <x:c r="S19" s="24" t="str">
        <x:v>https://orthoinfo.aaos.org/globalassets/pdfs/2024-rotator-cuff-and-shoulder-conditioning-program.pdf</x:v>
      </x:c>
      <x:c r="T19" s="24" t="str">
        <x:v>Anatomy-based mapping</x:v>
      </x:c>
    </x:row>
    <x:row r="20" ht="54" customHeight="1">
      <x:c r="A20" s="24" t="str">
        <x:v>EX0017</x:v>
      </x:c>
      <x:c r="B20" s="24" t="str">
        <x:v>Landmine press</x:v>
      </x:c>
      <x:c r="C20" s="24" t="str">
        <x:v>Shoulder &amp; Chest</x:v>
      </x:c>
      <x:c r="D20" s="24" t="str">
        <x:v>Gym</x:v>
      </x:c>
      <x:c r="E20" s="24" t="str">
        <x:v>Compound strength</x:v>
      </x:c>
      <x:c r="F20" s="24" t="str">
        <x:v>Deltoid; Supraspinatus; Triceps brachii lateral head; Triceps brachii long head; Triceps brachii medial head</x:v>
      </x:c>
      <x:c r="G20" s="24" t="str">
        <x:v>Trapezius; Serratus anterior; Pectoralis minor</x:v>
      </x:c>
      <x:c r="H20" s="24" t="str">
        <x:v>Rectus abdominis; External oblique; Internal oblique; Transversus abdominis; Infraspinatus; Subscapularis; Teres minor</x:v>
      </x:c>
      <x:c r="I20" s="24" t="str">
        <x:v>—</x:v>
      </x:c>
      <x:c r="J20" s="24" t="str">
        <x:v>Deltoid; Supraspinatus; Triceps brachii lateral head; Triceps brachii long head; Triceps brachii medial head; Trapezius; Serratus anterior; Pectoralis minor; Rectus abdominis; External oblique; Internal oblique; Transversus abdominis; Infraspinatus; Subscapularis; Teres minor</x:v>
      </x:c>
      <x:c r="K20" s="24" t="str">
        <x:v>Deltoid and triceps tendons</x:v>
      </x:c>
      <x:c r="L20" s="24" t="str">
        <x:v>Shoulder capsule and coracoclavicular/acromioclavicular ligaments support joint stability; NOT targeted for stretching</x:v>
      </x:c>
      <x:c r="M20" s="24" t="str">
        <x:v>Muscles: Deltoid; Supraspinatus; Triceps brachii lateral head; Triceps brachii long head; Triceps brachii medial head; Trapezius; Serratus anterior; Pectoralis minor; Rectus abdominis; External oblique; Internal oblique; Transversus abdominis; Infraspinatus; Subscapularis; Teres minor | Tendons/fascia: Deltoid and triceps tendons | Ligament context only: Shoulder capsule and coracoclavicular/acromioclavicular ligaments support joint stability; NOT targeted for stretching</x:v>
      </x:c>
      <x:c r="N20" s="24" t="str">
        <x:v>Deltoid; Supraspinatus; Triceps brachii lateral head; Triceps brachii long head; Triceps brachii medial head; Trapezius; Serratus anterior; Pectoralis minor</x:v>
      </x:c>
      <x:c r="O20" s="24" t="str">
        <x:v>Press bar diagonally upward from shoulder while shoulder blade rotates naturally.</x:v>
      </x:c>
      <x:c r="P20" s="24" t="str">
        <x:v>Barbell landmine or anchored bar</x:v>
      </x:c>
      <x:c r="Q20" s="24" t="str">
        <x:v>2–3 × 8–12 controlled reps</x:v>
      </x:c>
      <x:c r="R20" s="24" t="str">
        <x:v>Progress gradually; stop with sharp pain, dizziness, or numbness.</x:v>
      </x:c>
      <x:c r="S20" s="24" t="str">
        <x:v>https://orthoinfo.aaos.org/globalassets/pdfs/2024-rotator-cuff-and-shoulder-conditioning-program.pdf</x:v>
      </x:c>
      <x:c r="T20" s="24" t="str">
        <x:v>Anatomy-based mapping</x:v>
      </x:c>
    </x:row>
    <x:row r="21" ht="54" customHeight="1">
      <x:c r="A21" s="24" t="str">
        <x:v>EX0018</x:v>
      </x:c>
      <x:c r="B21" s="24" t="str">
        <x:v>Lateral raise with water bottles</x:v>
      </x:c>
      <x:c r="C21" s="24" t="str">
        <x:v>Shoulder &amp; Chest</x:v>
      </x:c>
      <x:c r="D21" s="24" t="str">
        <x:v>Home</x:v>
      </x:c>
      <x:c r="E21" s="24" t="str">
        <x:v>Isolation strength</x:v>
      </x:c>
      <x:c r="F21" s="24" t="str">
        <x:v>Deltoid; Supraspinatus</x:v>
      </x:c>
      <x:c r="G21" s="24" t="str">
        <x:v>—</x:v>
      </x:c>
      <x:c r="H21" s="24" t="str">
        <x:v>Infraspinatus; Subscapularis; Teres minor; Trapezius; Serratus anterior</x:v>
      </x:c>
      <x:c r="I21" s="24" t="str">
        <x:v>—</x:v>
      </x:c>
      <x:c r="J21" s="24" t="str">
        <x:v>Deltoid; Supraspinatus; Infraspinatus; Subscapularis; Teres minor; Trapezius; Serratus anterior</x:v>
      </x:c>
      <x:c r="K21" s="24" t="str">
        <x:v>Deltoid and supraspinatus tendons</x:v>
      </x:c>
      <x:c r="L21" s="24" t="str">
        <x:v>Shoulder capsule and coracoclavicular/acromioclavicular ligaments support joint stability; NOT targeted for stretching</x:v>
      </x:c>
      <x:c r="M21" s="24" t="str">
        <x:v>Muscles: Deltoid; Supraspinatus; Infraspinatus; Subscapularis; Teres minor; Trapezius; Serratus anterior | Tendons/fascia: Deltoid and supraspinatus tendons | Ligament context only: Shoulder capsule and coracoclavicular/acromioclavicular ligaments support joint stability; NOT targeted for stretching</x:v>
      </x:c>
      <x:c r="N21" s="24" t="str">
        <x:v>Deltoid; Supraspinatus</x:v>
      </x:c>
      <x:c r="O21" s="24" t="str">
        <x:v>Raise arms in scapular plane to about shoulder height with soft elbows.</x:v>
      </x:c>
      <x:c r="P21" s="24" t="str">
        <x:v>Water bottles/light weights</x:v>
      </x:c>
      <x:c r="Q21" s="24" t="str">
        <x:v>2–3 × 8–12 controlled reps</x:v>
      </x:c>
      <x:c r="R21" s="24" t="str">
        <x:v>Progress gradually; stop with sharp pain, dizziness, or numbness.</x:v>
      </x:c>
      <x:c r="S21" s="24" t="str">
        <x:v>https://orthoinfo.aaos.org/globalassets/pdfs/2024-rotator-cuff-and-shoulder-conditioning-program.pdf</x:v>
      </x:c>
      <x:c r="T21" s="24" t="str">
        <x:v>Anatomy-based mapping</x:v>
      </x:c>
    </x:row>
    <x:row r="22" ht="54" customHeight="1">
      <x:c r="A22" s="24" t="str">
        <x:v>EX0019</x:v>
      </x:c>
      <x:c r="B22" s="24" t="str">
        <x:v>Dumbbell lateral raise</x:v>
      </x:c>
      <x:c r="C22" s="24" t="str">
        <x:v>Shoulder &amp; Chest</x:v>
      </x:c>
      <x:c r="D22" s="24" t="str">
        <x:v>Gym</x:v>
      </x:c>
      <x:c r="E22" s="24" t="str">
        <x:v>Isolation strength</x:v>
      </x:c>
      <x:c r="F22" s="24" t="str">
        <x:v>Deltoid; Supraspinatus</x:v>
      </x:c>
      <x:c r="G22" s="24" t="str">
        <x:v>Trapezius; Serratus anterior</x:v>
      </x:c>
      <x:c r="H22" s="24" t="str">
        <x:v>Infraspinatus; Subscapularis; Teres minor</x:v>
      </x:c>
      <x:c r="I22" s="24" t="str">
        <x:v>—</x:v>
      </x:c>
      <x:c r="J22" s="24" t="str">
        <x:v>Deltoid; Supraspinatus; Trapezius; Serratus anterior; Infraspinatus; Subscapularis; Teres minor</x:v>
      </x:c>
      <x:c r="K22" s="24" t="str">
        <x:v>Deltoid and supraspinatus tendons</x:v>
      </x:c>
      <x:c r="L22" s="24" t="str">
        <x:v>Shoulder capsule and coracoclavicular/acromioclavicular ligaments support joint stability; NOT targeted for stretching</x:v>
      </x:c>
      <x:c r="M22" s="24" t="str">
        <x:v>Muscles: Deltoid; Supraspinatus; Trapezius; Serratus anterior; Infraspinatus; Subscapularis; Teres minor | Tendons/fascia: Deltoid and supraspinatus tendons | Ligament context only: Shoulder capsule and coracoclavicular/acromioclavicular ligaments support joint stability; NOT targeted for stretching</x:v>
      </x:c>
      <x:c r="N22" s="24" t="str">
        <x:v>Deltoid; Supraspinatus; Trapezius; Serratus anterior</x:v>
      </x:c>
      <x:c r="O22" s="24" t="str">
        <x:v>Raise dumbbells to roughly shoulder height; minimize torso sway.</x:v>
      </x:c>
      <x:c r="P22" s="24" t="str">
        <x:v>Dumbbells</x:v>
      </x:c>
      <x:c r="Q22" s="24" t="str">
        <x:v>2–3 × 8–12 controlled reps</x:v>
      </x:c>
      <x:c r="R22" s="24" t="str">
        <x:v>Progress gradually; stop with sharp pain, dizziness, or numbness.</x:v>
      </x:c>
      <x:c r="S22" s="24" t="str">
        <x:v>https://orthoinfo.aaos.org/globalassets/pdfs/2024-rotator-cuff-and-shoulder-conditioning-program.pdf</x:v>
      </x:c>
      <x:c r="T22" s="24" t="str">
        <x:v>Anatomy-based mapping</x:v>
      </x:c>
    </x:row>
    <x:row r="23" ht="54" customHeight="1">
      <x:c r="A23" s="24" t="str">
        <x:v>EX0020</x:v>
      </x:c>
      <x:c r="B23" s="24" t="str">
        <x:v>Band shoulder external rotation at side</x:v>
      </x:c>
      <x:c r="C23" s="24" t="str">
        <x:v>Shoulder &amp; Chest</x:v>
      </x:c>
      <x:c r="D23" s="24" t="str">
        <x:v>Home</x:v>
      </x:c>
      <x:c r="E23" s="24" t="str">
        <x:v>Band strength</x:v>
      </x:c>
      <x:c r="F23" s="24" t="str">
        <x:v>Infraspinatus; Teres minor</x:v>
      </x:c>
      <x:c r="G23" s="24" t="str">
        <x:v>Deltoid</x:v>
      </x:c>
      <x:c r="H23" s="24" t="str">
        <x:v>Rhomboid major; Rhomboid minor; Trapezius</x:v>
      </x:c>
      <x:c r="I23" s="24" t="str">
        <x:v>—</x:v>
      </x:c>
      <x:c r="J23" s="24" t="str">
        <x:v>Infraspinatus; Teres minor; Deltoid; Rhomboid major; Rhomboid minor; Trapezius</x:v>
      </x:c>
      <x:c r="K23" s="24" t="str">
        <x:v>Infraspinatus and teres minor tendons</x:v>
      </x:c>
      <x:c r="L23" s="24" t="str">
        <x:v>Rotator cuff actively centers humeral head; glenohumeral ligaments are not stretch targets</x:v>
      </x:c>
      <x:c r="M23" s="24" t="str">
        <x:v>Muscles: Infraspinatus; Teres minor; Deltoid; Rhomboid major; Rhomboid minor; Trapezius | Tendons/fascia: Infraspinatus and teres minor tendons | Ligament context only: Rotator cuff actively centers humeral head; glenohumeral ligaments are not stretch targets</x:v>
      </x:c>
      <x:c r="N23" s="24" t="str">
        <x:v>Infraspinatus; Teres minor; Deltoid</x:v>
      </x:c>
      <x:c r="O23" s="24" t="str">
        <x:v>Elbow flexed 90° against side; rotate hand away from abdomen.</x:v>
      </x:c>
      <x:c r="P23" s="24" t="str">
        <x:v>Light band; anchor</x:v>
      </x:c>
      <x:c r="Q23" s="24" t="str">
        <x:v>2–3 × 8–12 controlled reps</x:v>
      </x:c>
      <x:c r="R23" s="24" t="str">
        <x:v>Progress gradually; stop with sharp pain, dizziness, or numbness.</x:v>
      </x:c>
      <x:c r="S23" s="24" t="str">
        <x:v>https://orthoinfo.aaos.org/globalassets/pdfs/2024-rotator-cuff-and-shoulder-conditioning-program.pdf</x:v>
      </x:c>
      <x:c r="T23" s="24" t="str">
        <x:v>Anatomy-based mapping</x:v>
      </x:c>
    </x:row>
    <x:row r="24" ht="54" customHeight="1">
      <x:c r="A24" s="24" t="str">
        <x:v>EX0021</x:v>
      </x:c>
      <x:c r="B24" s="24" t="str">
        <x:v>Band shoulder internal rotation at side</x:v>
      </x:c>
      <x:c r="C24" s="24" t="str">
        <x:v>Shoulder &amp; Chest</x:v>
      </x:c>
      <x:c r="D24" s="24" t="str">
        <x:v>Home</x:v>
      </x:c>
      <x:c r="E24" s="24" t="str">
        <x:v>Band strength</x:v>
      </x:c>
      <x:c r="F24" s="24" t="str">
        <x:v>Subscapularis</x:v>
      </x:c>
      <x:c r="G24" s="24" t="str">
        <x:v>Pectoralis major; Teres major</x:v>
      </x:c>
      <x:c r="H24" s="24" t="str">
        <x:v>Rhomboid major; Rhomboid minor; Trapezius</x:v>
      </x:c>
      <x:c r="I24" s="24" t="str">
        <x:v>—</x:v>
      </x:c>
      <x:c r="J24" s="24" t="str">
        <x:v>Subscapularis; Pectoralis major; Teres major; Rhomboid major; Rhomboid minor; Trapezius</x:v>
      </x:c>
      <x:c r="K24" s="24" t="str">
        <x:v>Subscapularis and pectoralis major tendons</x:v>
      </x:c>
      <x:c r="L24" s="24" t="str">
        <x:v>Shoulder capsule and coracoclavicular/acromioclavicular ligaments support joint stability; NOT targeted for stretching</x:v>
      </x:c>
      <x:c r="M24" s="24" t="str">
        <x:v>Muscles: Subscapularis; Pectoralis major; Teres major; Rhomboid major; Rhomboid minor; Trapezius | Tendons/fascia: Subscapularis and pectoralis major tendons | Ligament context only: Shoulder capsule and coracoclavicular/acromioclavicular ligaments support joint stability; NOT targeted for stretching</x:v>
      </x:c>
      <x:c r="N24" s="24" t="str">
        <x:v>Subscapularis; Pectoralis major; Teres major</x:v>
      </x:c>
      <x:c r="O24" s="24" t="str">
        <x:v>Elbow bent against side; rotate hand inward against band.</x:v>
      </x:c>
      <x:c r="P24" s="24" t="str">
        <x:v>Light band; anchor</x:v>
      </x:c>
      <x:c r="Q24" s="24" t="str">
        <x:v>2–3 × 8–12 controlled reps</x:v>
      </x:c>
      <x:c r="R24" s="24" t="str">
        <x:v>Progress gradually; stop with sharp pain, dizziness, or numbness.</x:v>
      </x:c>
      <x:c r="S24" s="24" t="str">
        <x:v>https://orthoinfo.aaos.org/globalassets/pdfs/2024-rotator-cuff-and-shoulder-conditioning-program.pdf</x:v>
      </x:c>
      <x:c r="T24" s="24" t="str">
        <x:v>Anatomy-based mapping</x:v>
      </x:c>
    </x:row>
    <x:row r="25" ht="54" customHeight="1">
      <x:c r="A25" s="24" t="str">
        <x:v>EX0022</x:v>
      </x:c>
      <x:c r="B25" s="24" t="str">
        <x:v>Side-lying dumbbell external rotation</x:v>
      </x:c>
      <x:c r="C25" s="24" t="str">
        <x:v>Shoulder &amp; Chest</x:v>
      </x:c>
      <x:c r="D25" s="24" t="str">
        <x:v>Gym</x:v>
      </x:c>
      <x:c r="E25" s="24" t="str">
        <x:v>Isolation strength</x:v>
      </x:c>
      <x:c r="F25" s="24" t="str">
        <x:v>Infraspinatus; Teres minor</x:v>
      </x:c>
      <x:c r="G25" s="24" t="str">
        <x:v>—</x:v>
      </x:c>
      <x:c r="H25" s="24" t="str">
        <x:v>Rhomboid major; Rhomboid minor; Trapezius</x:v>
      </x:c>
      <x:c r="I25" s="24" t="str">
        <x:v>—</x:v>
      </x:c>
      <x:c r="J25" s="24" t="str">
        <x:v>Infraspinatus; Teres minor; Rhomboid major; Rhomboid minor; Trapezius</x:v>
      </x:c>
      <x:c r="K25" s="24" t="str">
        <x:v>Infraspinatus/teres minor tendons</x:v>
      </x:c>
      <x:c r="L25" s="24" t="str">
        <x:v>Shoulder capsule and coracoclavicular/acromioclavicular ligaments support joint stability; NOT targeted for stretching</x:v>
      </x:c>
      <x:c r="M25" s="24" t="str">
        <x:v>Muscles: Infraspinatus; Teres minor; Rhomboid major; Rhomboid minor; Trapezius | Tendons/fascia: Infraspinatus/teres minor tendons | Ligament context only: Shoulder capsule and coracoclavicular/acromioclavicular ligaments support joint stability; NOT targeted for stretching</x:v>
      </x:c>
      <x:c r="N25" s="24" t="str">
        <x:v>Infraspinatus; Teres minor</x:v>
      </x:c>
      <x:c r="O25" s="24" t="str">
        <x:v>Elbow resting on side; lift weight by rotating arm outward, without moving upper arm.</x:v>
      </x:c>
      <x:c r="P25" s="24" t="str">
        <x:v>Mat; light dumbbell</x:v>
      </x:c>
      <x:c r="Q25" s="24" t="str">
        <x:v>2–3 × 8–12 controlled reps</x:v>
      </x:c>
      <x:c r="R25" s="24" t="str">
        <x:v>Progress gradually; stop with sharp pain, dizziness, or numbness.</x:v>
      </x:c>
      <x:c r="S25" s="24" t="str">
        <x:v>https://orthoinfo.aaos.org/globalassets/pdfs/2024-rotator-cuff-and-shoulder-conditioning-program.pdf</x:v>
      </x:c>
      <x:c r="T25" s="24" t="str">
        <x:v>Anatomy-based mapping</x:v>
      </x:c>
    </x:row>
    <x:row r="26" ht="54" customHeight="1">
      <x:c r="A26" s="24" t="str">
        <x:v>EX0023</x:v>
      </x:c>
      <x:c r="B26" s="24" t="str">
        <x:v>Band scaption (full-can raise)</x:v>
      </x:c>
      <x:c r="C26" s="24" t="str">
        <x:v>Shoulder &amp; Chest</x:v>
      </x:c>
      <x:c r="D26" s="24" t="str">
        <x:v>Home</x:v>
      </x:c>
      <x:c r="E26" s="24" t="str">
        <x:v>Band strength</x:v>
      </x:c>
      <x:c r="F26" s="24" t="str">
        <x:v>Supraspinatus; Deltoid</x:v>
      </x:c>
      <x:c r="G26" s="24" t="str">
        <x:v>Trapezius; Serratus anterior</x:v>
      </x:c>
      <x:c r="H26" s="24" t="str">
        <x:v>Infraspinatus; Subscapularis; Teres minor</x:v>
      </x:c>
      <x:c r="I26" s="24" t="str">
        <x:v>—</x:v>
      </x:c>
      <x:c r="J26" s="24" t="str">
        <x:v>Supraspinatus; Deltoid; Trapezius; Serratus anterior; Infraspinatus; Subscapularis; Teres minor</x:v>
      </x:c>
      <x:c r="K26" s="24" t="str">
        <x:v>Supraspinatus tendon; deltoid insertion</x:v>
      </x:c>
      <x:c r="L26" s="24" t="str">
        <x:v>Shoulder capsule and coracoclavicular/acromioclavicular ligaments support joint stability; NOT targeted for stretching</x:v>
      </x:c>
      <x:c r="M26" s="24" t="str">
        <x:v>Muscles: Supraspinatus; Deltoid; Trapezius; Serratus anterior; Infraspinatus; Subscapularis; Teres minor | Tendons/fascia: Supraspinatus tendon; deltoid insertion | Ligament context only: Shoulder capsule and coracoclavicular/acromioclavicular ligaments support joint stability; NOT targeted for stretching</x:v>
      </x:c>
      <x:c r="N26" s="24" t="str">
        <x:v>Supraspinatus; Deltoid; Trapezius; Serratus anterior</x:v>
      </x:c>
      <x:c r="O26" s="24" t="str">
        <x:v>With thumbs up, raise arms ~30° forward of lateral plane.</x:v>
      </x:c>
      <x:c r="P26" s="24" t="str">
        <x:v>Light band</x:v>
      </x:c>
      <x:c r="Q26" s="24" t="str">
        <x:v>2–3 × 8–12 controlled reps</x:v>
      </x:c>
      <x:c r="R26" s="24" t="str">
        <x:v>Progress gradually; stop with sharp pain, dizziness, or numbness.</x:v>
      </x:c>
      <x:c r="S26" s="24" t="str">
        <x:v>https://orthoinfo.aaos.org/globalassets/pdfs/2024-rotator-cuff-and-shoulder-conditioning-program.pdf</x:v>
      </x:c>
      <x:c r="T26" s="24" t="str">
        <x:v>Anatomy-based mapping</x:v>
      </x:c>
    </x:row>
    <x:row r="27" ht="54" customHeight="1">
      <x:c r="A27" s="24" t="str">
        <x:v>EX0024</x:v>
      </x:c>
      <x:c r="B27" s="24" t="str">
        <x:v>Band face pull</x:v>
      </x:c>
      <x:c r="C27" s="24" t="str">
        <x:v>Shoulder &amp; Chest</x:v>
      </x:c>
      <x:c r="D27" s="24" t="str">
        <x:v>Home</x:v>
      </x:c>
      <x:c r="E27" s="24" t="str">
        <x:v>Band strength</x:v>
      </x:c>
      <x:c r="F27" s="24" t="str">
        <x:v>Rhomboid major; Rhomboid minor; Trapezius; Infraspinatus; Teres minor</x:v>
      </x:c>
      <x:c r="G27" s="24" t="str">
        <x:v>Deltoid</x:v>
      </x:c>
      <x:c r="H27" s="24" t="str">
        <x:v>Rectus abdominis; External oblique; Internal oblique; Transversus abdominis</x:v>
      </x:c>
      <x:c r="I27" s="24" t="str">
        <x:v>—</x:v>
      </x:c>
      <x:c r="J27" s="24" t="str">
        <x:v>Rhomboid major; Rhomboid minor; Trapezius; Infraspinatus; Teres minor; Deltoid; Rectus abdominis; External oblique; Internal oblique; Transversus abdominis</x:v>
      </x:c>
      <x:c r="K27" s="24" t="str">
        <x:v>Infraspinatus and teres minor; trapezius insertions</x:v>
      </x:c>
      <x:c r="L27" s="24" t="str">
        <x:v>Shoulder capsule and coracoclavicular/acromioclavicular ligaments support joint stability; NOT targeted for stretching</x:v>
      </x:c>
      <x:c r="M27" s="24" t="str">
        <x:v>Muscles: Rhomboid major; Rhomboid minor; Trapezius; Infraspinatus; Teres minor; Deltoid; Rectus abdominis; External oblique; Internal oblique; Transversus abdominis | Tendons/fascia: Infraspinatus and teres minor; trapezius insertions | Ligament context only: Shoulder capsule and coracoclavicular/acromioclavicular ligaments support joint stability; NOT targeted for stretching</x:v>
      </x:c>
      <x:c r="N27" s="24" t="str">
        <x:v>Rhomboid major; Rhomboid minor; Trapezius; Infraspinatus; Teres minor; Deltoid</x:v>
      </x:c>
      <x:c r="O27" s="24" t="str">
        <x:v>Pull band toward eyes with elbows high but comfortable; externally rotate.</x:v>
      </x:c>
      <x:c r="P27" s="24" t="str">
        <x:v>Band anchored at face height</x:v>
      </x:c>
      <x:c r="Q27" s="24" t="str">
        <x:v>2–3 × 8–12 controlled reps</x:v>
      </x:c>
      <x:c r="R27" s="24" t="str">
        <x:v>Progress gradually; stop with sharp pain, dizziness, or numbness.</x:v>
      </x:c>
      <x:c r="S27" s="24" t="str">
        <x:v>https://orthoinfo.aaos.org/globalassets/pdfs/2024-rotator-cuff-and-shoulder-conditioning-program.pdf</x:v>
      </x:c>
      <x:c r="T27" s="24" t="str">
        <x:v>Anatomy-based mapping</x:v>
      </x:c>
    </x:row>
    <x:row r="28" ht="54" customHeight="1">
      <x:c r="A28" s="24" t="str">
        <x:v>EX0025</x:v>
      </x:c>
      <x:c r="B28" s="24" t="str">
        <x:v>Cable face pull</x:v>
      </x:c>
      <x:c r="C28" s="24" t="str">
        <x:v>Shoulder &amp; Chest</x:v>
      </x:c>
      <x:c r="D28" s="24" t="str">
        <x:v>Gym</x:v>
      </x:c>
      <x:c r="E28" s="24" t="str">
        <x:v>Isolation strength</x:v>
      </x:c>
      <x:c r="F28" s="24" t="str">
        <x:v>Rhomboid major; Rhomboid minor; Trapezius; Infraspinatus; Teres minor</x:v>
      </x:c>
      <x:c r="G28" s="24" t="str">
        <x:v>Deltoid</x:v>
      </x:c>
      <x:c r="H28" s="24" t="str">
        <x:v>Rectus abdominis; External oblique; Internal oblique; Transversus abdominis</x:v>
      </x:c>
      <x:c r="I28" s="24" t="str">
        <x:v>—</x:v>
      </x:c>
      <x:c r="J28" s="24" t="str">
        <x:v>Rhomboid major; Rhomboid minor; Trapezius; Infraspinatus; Teres minor; Deltoid; Rectus abdominis; External oblique; Internal oblique; Transversus abdominis</x:v>
      </x:c>
      <x:c r="K28" s="24" t="str">
        <x:v>Rotator cuff tendons; scapular retractor attachments</x:v>
      </x:c>
      <x:c r="L28" s="24" t="str">
        <x:v>Shoulder capsule and coracoclavicular/acromioclavicular ligaments support joint stability; NOT targeted for stretching</x:v>
      </x:c>
      <x:c r="M28" s="24" t="str">
        <x:v>Muscles: Rhomboid major; Rhomboid minor; Trapezius; Infraspinatus; Teres minor; Deltoid; Rectus abdominis; External oblique; Internal oblique; Transversus abdominis | Tendons/fascia: Rotator cuff tendons; scapular retractor attachments | Ligament context only: Shoulder capsule and coracoclavicular/acromioclavicular ligaments support joint stability; NOT targeted for stretching</x:v>
      </x:c>
      <x:c r="N28" s="24" t="str">
        <x:v>Rhomboid major; Rhomboid minor; Trapezius; Infraspinatus; Teres minor; Deltoid</x:v>
      </x:c>
      <x:c r="O28" s="24" t="str">
        <x:v>Pull rope toward face and rotate fists outward with trunk still.</x:v>
      </x:c>
      <x:c r="P28" s="24" t="str">
        <x:v>Cable station; rope</x:v>
      </x:c>
      <x:c r="Q28" s="24" t="str">
        <x:v>2–3 × 8–12 controlled reps</x:v>
      </x:c>
      <x:c r="R28" s="24" t="str">
        <x:v>Progress gradually; stop with sharp pain, dizziness, or numbness.</x:v>
      </x:c>
      <x:c r="S28" s="24" t="str">
        <x:v>https://orthoinfo.aaos.org/globalassets/pdfs/2024-rotator-cuff-and-shoulder-conditioning-program.pdf</x:v>
      </x:c>
      <x:c r="T28" s="24" t="str">
        <x:v>Anatomy-based mapping</x:v>
      </x:c>
    </x:row>
    <x:row r="29" ht="54" customHeight="1">
      <x:c r="A29" s="24" t="str">
        <x:v>EX0026</x:v>
      </x:c>
      <x:c r="B29" s="24" t="str">
        <x:v>Wall slide with upward reach</x:v>
      </x:c>
      <x:c r="C29" s="24" t="str">
        <x:v>Shoulder &amp; Chest</x:v>
      </x:c>
      <x:c r="D29" s="24" t="str">
        <x:v>Home</x:v>
      </x:c>
      <x:c r="E29" s="24" t="str">
        <x:v>Mobility</x:v>
      </x:c>
      <x:c r="F29" s="24" t="str">
        <x:v>Trapezius; Serratus anterior; Pectoralis minor</x:v>
      </x:c>
      <x:c r="G29" s="24" t="str">
        <x:v>Deltoid; Supraspinatus</x:v>
      </x:c>
      <x:c r="H29" s="24" t="str">
        <x:v>Infraspinatus; Subscapularis; Teres minor; Rectus abdominis; External oblique; Internal oblique; Transversus abdominis</x:v>
      </x:c>
      <x:c r="I29" s="24" t="str">
        <x:v>—</x:v>
      </x:c>
      <x:c r="J29" s="24" t="str">
        <x:v>Trapezius; Serratus anterior; Pectoralis minor; Deltoid; Supraspinatus; Infraspinatus; Subscapularis; Teres minor; Rectus abdominis; External oblique; Internal oblique; Transversus abdominis</x:v>
      </x:c>
      <x:c r="K29" s="24" t="str">
        <x:v>Serratus anterior and trapezius attachments</x:v>
      </x:c>
      <x:c r="L29" s="24" t="str">
        <x:v>Shoulder capsule and coracoclavicular/acromioclavicular ligaments support joint stability; NOT targeted for stretching</x:v>
      </x:c>
      <x:c r="M29" s="24" t="str">
        <x:v>Muscles: Trapezius; Serratus anterior; Pectoralis minor; Deltoid; Supraspinatus; Infraspinatus; Subscapularis; Teres minor; Rectus abdominis; External oblique; Internal oblique; Transversus abdominis | Tendons/fascia: Serratus anterior and trapezius attachments | Ligament context only: Shoulder capsule and coracoclavicular/acromioclavicular ligaments support joint stability; NOT targeted for stretching</x:v>
      </x:c>
      <x:c r="N29" s="24" t="str">
        <x:v>Usually none expected (stretch, mobility or relaxation; any active movers are low-load)</x:v>
      </x:c>
      <x:c r="O29" s="24" t="str">
        <x:v>Forearms on wall; slide upward while gently reaching shoulder blades upward.</x:v>
      </x:c>
      <x:c r="P29" s="24" t="str">
        <x:v>Wall</x:v>
      </x:c>
      <x:c r="Q29" s="24" t="str">
        <x:v>1–2 × 5–10 controlled reps</x:v>
      </x:c>
      <x:c r="R29" s="24" t="str">
        <x:v>Progress gradually; stop with sharp pain, dizziness, or numbness.</x:v>
      </x:c>
      <x:c r="S29" s="24" t="str">
        <x:v>https://orthoinfo.aaos.org/globalassets/pdfs/2024-rotator-cuff-and-shoulder-conditioning-program.pdf</x:v>
      </x:c>
      <x:c r="T29" s="24" t="str">
        <x:v>Anatomy-based mapping</x:v>
      </x:c>
    </x:row>
    <x:row r="30" ht="54" customHeight="1">
      <x:c r="A30" s="24" t="str">
        <x:v>EX0027</x:v>
      </x:c>
      <x:c r="B30" s="24" t="str">
        <x:v>Band pull-apart</x:v>
      </x:c>
      <x:c r="C30" s="24" t="str">
        <x:v>Shoulder &amp; Chest</x:v>
      </x:c>
      <x:c r="D30" s="24" t="str">
        <x:v>Home</x:v>
      </x:c>
      <x:c r="E30" s="24" t="str">
        <x:v>Band strength</x:v>
      </x:c>
      <x:c r="F30" s="24" t="str">
        <x:v>Rhomboid major; Rhomboid minor; Trapezius; Infraspinatus; Teres minor</x:v>
      </x:c>
      <x:c r="G30" s="24" t="str">
        <x:v>Deltoid</x:v>
      </x:c>
      <x:c r="H30" s="24" t="str">
        <x:v>Rectus abdominis; External oblique; Internal oblique; Transversus abdominis</x:v>
      </x:c>
      <x:c r="I30" s="24" t="str">
        <x:v>—</x:v>
      </x:c>
      <x:c r="J30" s="24" t="str">
        <x:v>Rhomboid major; Rhomboid minor; Trapezius; Infraspinatus; Teres minor; Deltoid; Rectus abdominis; External oblique; Internal oblique; Transversus abdominis</x:v>
      </x:c>
      <x:c r="K30" s="24" t="str">
        <x:v>Rhomboid/trapezius attachments; cuff tendons</x:v>
      </x:c>
      <x:c r="L30" s="24" t="str">
        <x:v>Shoulder capsule and coracoclavicular/acromioclavicular ligaments support joint stability; NOT targeted for stretching</x:v>
      </x:c>
      <x:c r="M30" s="24" t="str">
        <x:v>Muscles: Rhomboid major; Rhomboid minor; Trapezius; Infraspinatus; Teres minor; Deltoid; Rectus abdominis; External oblique; Internal oblique; Transversus abdominis | Tendons/fascia: Rhomboid/trapezius attachments; cuff tendons | Ligament context only: Shoulder capsule and coracoclavicular/acromioclavicular ligaments support joint stability; NOT targeted for stretching</x:v>
      </x:c>
      <x:c r="N30" s="24" t="str">
        <x:v>Rhomboid major; Rhomboid minor; Trapezius; Infraspinatus; Teres minor; Deltoid</x:v>
      </x:c>
      <x:c r="O30" s="24" t="str">
        <x:v>Hold band at chest level; draw arms apart and shoulder blades gently together.</x:v>
      </x:c>
      <x:c r="P30" s="24" t="str">
        <x:v>Band</x:v>
      </x:c>
      <x:c r="Q30" s="24" t="str">
        <x:v>2–3 × 8–12 controlled reps</x:v>
      </x:c>
      <x:c r="R30" s="24" t="str">
        <x:v>Progress gradually; stop with sharp pain, dizziness, or numbness.</x:v>
      </x:c>
      <x:c r="S30" s="24" t="str">
        <x:v>https://orthoinfo.aaos.org/globalassets/pdfs/2024-rotator-cuff-and-shoulder-conditioning-program.pdf</x:v>
      </x:c>
      <x:c r="T30" s="24" t="str">
        <x:v>Anatomy-based mapping</x:v>
      </x:c>
    </x:row>
    <x:row r="31" ht="54" customHeight="1">
      <x:c r="A31" s="24" t="str">
        <x:v>EX0028</x:v>
      </x:c>
      <x:c r="B31" s="24" t="str">
        <x:v>Prone Y raise</x:v>
      </x:c>
      <x:c r="C31" s="24" t="str">
        <x:v>Shoulder &amp; Chest</x:v>
      </x:c>
      <x:c r="D31" s="24" t="str">
        <x:v>Home</x:v>
      </x:c>
      <x:c r="E31" s="24" t="str">
        <x:v>Isolation strength</x:v>
      </x:c>
      <x:c r="F31" s="24" t="str">
        <x:v>Trapezius; Serratus anterior</x:v>
      </x:c>
      <x:c r="G31" s="24" t="str">
        <x:v>Supraspinatus; Deltoid</x:v>
      </x:c>
      <x:c r="H31" s="24" t="str">
        <x:v>Rectus abdominis; External oblique; Internal oblique; Transversus abdominis; Infraspinatus; Subscapularis; Teres minor</x:v>
      </x:c>
      <x:c r="I31" s="24" t="str">
        <x:v>—</x:v>
      </x:c>
      <x:c r="J31" s="24" t="str">
        <x:v>Trapezius; Serratus anterior; Supraspinatus; Deltoid; Rectus abdominis; External oblique; Internal oblique; Transversus abdominis; Infraspinatus; Subscapularis; Teres minor</x:v>
      </x:c>
      <x:c r="K31" s="24" t="str">
        <x:v>Trapezius; supraspinatus tendons</x:v>
      </x:c>
      <x:c r="L31" s="24" t="str">
        <x:v>Shoulder capsule and coracoclavicular/acromioclavicular ligaments support joint stability; NOT targeted for stretching</x:v>
      </x:c>
      <x:c r="M31" s="24" t="str">
        <x:v>Muscles: Trapezius; Serratus anterior; Supraspinatus; Deltoid; Rectus abdominis; External oblique; Internal oblique; Transversus abdominis; Infraspinatus; Subscapularis; Teres minor | Tendons/fascia: Trapezius; supraspinatus tendons | Ligament context only: Shoulder capsule and coracoclavicular/acromioclavicular ligaments support joint stability; NOT targeted for stretching</x:v>
      </x:c>
      <x:c r="N31" s="24" t="str">
        <x:v>Trapezius; Serratus anterior; Supraspinatus; Deltoid</x:v>
      </x:c>
      <x:c r="O31" s="24" t="str">
        <x:v>Lying prone, lift straight arms diagonally overhead with thumbs up.</x:v>
      </x:c>
      <x:c r="P31" s="24" t="str">
        <x:v>Bodyweight</x:v>
      </x:c>
      <x:c r="Q31" s="24" t="str">
        <x:v>2–3 × 8–12 controlled reps</x:v>
      </x:c>
      <x:c r="R31" s="24" t="str">
        <x:v>Progress gradually; stop with sharp pain, dizziness, or numbness.</x:v>
      </x:c>
      <x:c r="S31" s="24" t="str">
        <x:v>https://orthoinfo.aaos.org/globalassets/pdfs/2024-rotator-cuff-and-shoulder-conditioning-program.pdf</x:v>
      </x:c>
      <x:c r="T31" s="24" t="str">
        <x:v>Anatomy-based mapping</x:v>
      </x:c>
    </x:row>
    <x:row r="32" ht="54" customHeight="1">
      <x:c r="A32" s="24" t="str">
        <x:v>EX0029</x:v>
      </x:c>
      <x:c r="B32" s="24" t="str">
        <x:v>Prone T raise</x:v>
      </x:c>
      <x:c r="C32" s="24" t="str">
        <x:v>Shoulder &amp; Chest</x:v>
      </x:c>
      <x:c r="D32" s="24" t="str">
        <x:v>Home</x:v>
      </x:c>
      <x:c r="E32" s="24" t="str">
        <x:v>Isolation strength</x:v>
      </x:c>
      <x:c r="F32" s="24" t="str">
        <x:v>Trapezius; Rhomboid major; Rhomboid minor</x:v>
      </x:c>
      <x:c r="G32" s="24" t="str">
        <x:v>Deltoid</x:v>
      </x:c>
      <x:c r="H32" s="24" t="str">
        <x:v>Infraspinatus; Subscapularis; Supraspinatus; Teres minor</x:v>
      </x:c>
      <x:c r="I32" s="24" t="str">
        <x:v>—</x:v>
      </x:c>
      <x:c r="J32" s="24" t="str">
        <x:v>Trapezius; Rhomboid major; Rhomboid minor; Deltoid; Infraspinatus; Subscapularis; Supraspinatus; Teres minor</x:v>
      </x:c>
      <x:c r="K32" s="24" t="str">
        <x:v>Trapezius and rhomboid attachments</x:v>
      </x:c>
      <x:c r="L32" s="24" t="str">
        <x:v>Shoulder capsule and coracoclavicular/acromioclavicular ligaments support joint stability; NOT targeted for stretching</x:v>
      </x:c>
      <x:c r="M32" s="24" t="str">
        <x:v>Muscles: Trapezius; Rhomboid major; Rhomboid minor; Deltoid; Infraspinatus; Subscapularis; Supraspinatus; Teres minor | Tendons/fascia: Trapezius and rhomboid attachments | Ligament context only: Shoulder capsule and coracoclavicular/acromioclavicular ligaments support joint stability; NOT targeted for stretching</x:v>
      </x:c>
      <x:c r="N32" s="24" t="str">
        <x:v>Trapezius; Rhomboid major; Rhomboid minor; Deltoid</x:v>
      </x:c>
      <x:c r="O32" s="24" t="str">
        <x:v>Lying prone, lift arms out to sides while gently retracting scapulae.</x:v>
      </x:c>
      <x:c r="P32" s="24" t="str">
        <x:v>Bodyweight</x:v>
      </x:c>
      <x:c r="Q32" s="24" t="str">
        <x:v>2–3 × 8–12 controlled reps</x:v>
      </x:c>
      <x:c r="R32" s="24" t="str">
        <x:v>Progress gradually; stop with sharp pain, dizziness, or numbness.</x:v>
      </x:c>
      <x:c r="S32" s="24" t="str">
        <x:v>https://orthoinfo.aaos.org/globalassets/pdfs/2024-rotator-cuff-and-shoulder-conditioning-program.pdf</x:v>
      </x:c>
      <x:c r="T32" s="24" t="str">
        <x:v>Anatomy-based mapping</x:v>
      </x:c>
    </x:row>
    <x:row r="33" ht="54" customHeight="1">
      <x:c r="A33" s="24" t="str">
        <x:v>EX0030</x:v>
      </x:c>
      <x:c r="B33" s="24" t="str">
        <x:v>Prone W external rotation</x:v>
      </x:c>
      <x:c r="C33" s="24" t="str">
        <x:v>Shoulder &amp; Chest</x:v>
      </x:c>
      <x:c r="D33" s="24" t="str">
        <x:v>Home</x:v>
      </x:c>
      <x:c r="E33" s="24" t="str">
        <x:v>Isolation strength</x:v>
      </x:c>
      <x:c r="F33" s="24" t="str">
        <x:v>Infraspinatus; Teres minor; Rhomboid major; Rhomboid minor; Trapezius</x:v>
      </x:c>
      <x:c r="G33" s="24" t="str">
        <x:v>—</x:v>
      </x:c>
      <x:c r="H33" s="24" t="str">
        <x:v>Rectus abdominis; External oblique; Internal oblique; Transversus abdominis</x:v>
      </x:c>
      <x:c r="I33" s="24" t="str">
        <x:v>—</x:v>
      </x:c>
      <x:c r="J33" s="24" t="str">
        <x:v>Infraspinatus; Teres minor; Rhomboid major; Rhomboid minor; Trapezius; Rectus abdominis; External oblique; Internal oblique; Transversus abdominis</x:v>
      </x:c>
      <x:c r="K33" s="24" t="str">
        <x:v>Rotator cuff tendons</x:v>
      </x:c>
      <x:c r="L33" s="24" t="str">
        <x:v>Shoulder capsule and coracoclavicular/acromioclavicular ligaments support joint stability; NOT targeted for stretching</x:v>
      </x:c>
      <x:c r="M33" s="24" t="str">
        <x:v>Muscles: Infraspinatus; Teres minor; Rhomboid major; Rhomboid minor; Trapezius; Rectus abdominis; External oblique; Internal oblique; Transversus abdominis | Tendons/fascia: Rotator cuff tendons | Ligament context only: Shoulder capsule and coracoclavicular/acromioclavicular ligaments support joint stability; NOT targeted for stretching</x:v>
      </x:c>
      <x:c r="N33" s="24" t="str">
        <x:v>Infraspinatus; Teres minor; Rhomboid major; Rhomboid minor; Trapezius</x:v>
      </x:c>
      <x:c r="O33" s="24" t="str">
        <x:v>Prone with elbows bent; retract shoulder blades and rotate hands up.</x:v>
      </x:c>
      <x:c r="P33" s="24" t="str">
        <x:v>Bodyweight</x:v>
      </x:c>
      <x:c r="Q33" s="24" t="str">
        <x:v>2–3 × 8–12 controlled reps</x:v>
      </x:c>
      <x:c r="R33" s="24" t="str">
        <x:v>Progress gradually; stop with sharp pain, dizziness, or numbness.</x:v>
      </x:c>
      <x:c r="S33" s="24" t="str">
        <x:v>https://orthoinfo.aaos.org/globalassets/pdfs/2024-rotator-cuff-and-shoulder-conditioning-program.pdf</x:v>
      </x:c>
      <x:c r="T33" s="24" t="str">
        <x:v>Anatomy-based mapping</x:v>
      </x:c>
    </x:row>
    <x:row r="34" ht="54" customHeight="1">
      <x:c r="A34" s="24" t="str">
        <x:v>EX0031</x:v>
      </x:c>
      <x:c r="B34" s="24" t="str">
        <x:v>Band straight-arm pulldown</x:v>
      </x:c>
      <x:c r="C34" s="24" t="str">
        <x:v>Shoulder &amp; Chest</x:v>
      </x:c>
      <x:c r="D34" s="24" t="str">
        <x:v>Home</x:v>
      </x:c>
      <x:c r="E34" s="24" t="str">
        <x:v>Band strength</x:v>
      </x:c>
      <x:c r="F34" s="24" t="str">
        <x:v>Latissimus dorsi; Teres major</x:v>
      </x:c>
      <x:c r="G34" s="24" t="str">
        <x:v>Triceps brachii lateral head; Triceps brachii long head; Triceps brachii medial head</x:v>
      </x:c>
      <x:c r="H34" s="24" t="str">
        <x:v>Rectus abdominis; External oblique; Internal oblique; Transversus abdominis; Rhomboid major; Rhomboid minor; Trapezius</x:v>
      </x:c>
      <x:c r="I34" s="24" t="str">
        <x:v>—</x:v>
      </x:c>
      <x:c r="J34" s="24" t="str">
        <x:v>Latissimus dorsi; Teres major; Triceps brachii lateral head; Triceps brachii long head; Triceps brachii medial head; Rectus abdominis; External oblique; Internal oblique; Transversus abdominis; Rhomboid major; Rhomboid minor; Trapezius</x:v>
      </x:c>
      <x:c r="K34" s="24" t="str">
        <x:v>Latissimus dorsi and teres major insertion tendons</x:v>
      </x:c>
      <x:c r="L34" s="24" t="str">
        <x:v>Shoulder capsule and coracoclavicular/acromioclavicular ligaments support joint stability; NOT targeted for stretching</x:v>
      </x:c>
      <x:c r="M34" s="24" t="str">
        <x:v>Muscles: Latissimus dorsi; Teres major; Triceps brachii lateral head; Triceps brachii long head; Triceps brachii medial head; Rectus abdominis; External oblique; Internal oblique; Transversus abdominis; Rhomboid major; Rhomboid minor; Trapezius | Tendons/fascia: Latissimus dorsi and teres major insertion tendons | Ligament context only: Shoulder capsule and coracoclavicular/acromioclavicular ligaments support joint stability; NOT targeted for stretching</x:v>
      </x:c>
      <x:c r="N34" s="24" t="str">
        <x:v>Latissimus dorsi; Teres major; Triceps brachii lateral head; Triceps brachii long head; Triceps brachii medial head</x:v>
      </x:c>
      <x:c r="O34" s="24" t="str">
        <x:v>From overhead anchor pull straightish arms to hips without leaning backward.</x:v>
      </x:c>
      <x:c r="P34" s="24" t="str">
        <x:v>Band; high anchor</x:v>
      </x:c>
      <x:c r="Q34" s="24" t="str">
        <x:v>2–3 × 8–12 controlled reps</x:v>
      </x:c>
      <x:c r="R34" s="24" t="str">
        <x:v>Progress gradually; stop with sharp pain, dizziness, or numbness.</x:v>
      </x:c>
      <x:c r="S34" s="24" t="str">
        <x:v>https://orthoinfo.aaos.org/globalassets/pdfs/2024-rotator-cuff-and-shoulder-conditioning-program.pdf</x:v>
      </x:c>
      <x:c r="T34" s="24" t="str">
        <x:v>Anatomy-based mapping</x:v>
      </x:c>
    </x:row>
    <x:row r="35" ht="54" customHeight="1">
      <x:c r="A35" s="24" t="str">
        <x:v>EX0032</x:v>
      </x:c>
      <x:c r="B35" s="24" t="str">
        <x:v>Dumbbell pullover</x:v>
      </x:c>
      <x:c r="C35" s="24" t="str">
        <x:v>Shoulder &amp; Chest</x:v>
      </x:c>
      <x:c r="D35" s="24" t="str">
        <x:v>Gym</x:v>
      </x:c>
      <x:c r="E35" s="24" t="str">
        <x:v>Compound strength</x:v>
      </x:c>
      <x:c r="F35" s="24" t="str">
        <x:v>Latissimus dorsi; Pectoralis major</x:v>
      </x:c>
      <x:c r="G35" s="24" t="str">
        <x:v>Teres major; Triceps brachii lateral head; Triceps brachii long head; Triceps brachii medial head</x:v>
      </x:c>
      <x:c r="H35" s="24" t="str">
        <x:v>Rectus abdominis; External oblique; Internal oblique; Transversus abdominis; Infraspinatus; Subscapularis; Supraspinatus; Teres minor</x:v>
      </x:c>
      <x:c r="I35" s="24" t="str">
        <x:v>—</x:v>
      </x:c>
      <x:c r="J35" s="24" t="str">
        <x:v>Latissimus dorsi; Pectoralis major; Teres major; Triceps brachii lateral head; Triceps brachii long head; Triceps brachii medial head; Rectus abdominis; External oblique; Internal oblique; Transversus abdominis; Infraspinatus; Subscapularis; Supraspinatus; Teres minor</x:v>
      </x:c>
      <x:c r="K35" s="24" t="str">
        <x:v>Latissimus and pectoralis tendons</x:v>
      </x:c>
      <x:c r="L35" s="24" t="str">
        <x:v>Shoulder capsule and coracoclavicular/acromioclavicular ligaments support joint stability; NOT targeted for stretching</x:v>
      </x:c>
      <x:c r="M35" s="24" t="str">
        <x:v>Muscles: Latissimus dorsi; Pectoralis major; Teres major; Triceps brachii lateral head; Triceps brachii long head; Triceps brachii medial head; Rectus abdominis; External oblique; Internal oblique; Transversus abdominis; Infraspinatus; Subscapularis; Supraspinatus; Teres minor | Tendons/fascia: Latissimus and pectoralis tendons | Ligament context only: Shoulder capsule and coracoclavicular/acromioclavicular ligaments support joint stability; NOT targeted for stretching</x:v>
      </x:c>
      <x:c r="N35" s="24" t="str">
        <x:v>Latissimus dorsi; Pectoralis major; Teres major; Triceps brachii lateral head; Triceps brachii long head; Triceps brachii medial head</x:v>
      </x:c>
      <x:c r="O35" s="24" t="str">
        <x:v>Lie on bench; bring dumbbell back behind head only as far as shoulder motion allows.</x:v>
      </x:c>
      <x:c r="P35" s="24" t="str">
        <x:v>Bench; dumbbell</x:v>
      </x:c>
      <x:c r="Q35" s="24" t="str">
        <x:v>2–3 × 8–12 controlled reps</x:v>
      </x:c>
      <x:c r="R35" s="24" t="str">
        <x:v>Progress gradually; stop with sharp pain, dizziness, or numbness.</x:v>
      </x:c>
      <x:c r="S35" s="24" t="str">
        <x:v>https://orthoinfo.aaos.org/globalassets/pdfs/2024-rotator-cuff-and-shoulder-conditioning-program.pdf</x:v>
      </x:c>
      <x:c r="T35" s="24" t="str">
        <x:v>Anatomy-based mapping</x:v>
      </x:c>
    </x:row>
    <x:row r="36" ht="54" customHeight="1">
      <x:c r="A36" s="24" t="str">
        <x:v>EX0033</x:v>
      </x:c>
      <x:c r="B36" s="24" t="str">
        <x:v>Band scapular elevation / shrug</x:v>
      </x:c>
      <x:c r="C36" s="24" t="str">
        <x:v>Shoulder &amp; Chest</x:v>
      </x:c>
      <x:c r="D36" s="24" t="str">
        <x:v>Home</x:v>
      </x:c>
      <x:c r="E36" s="24" t="str">
        <x:v>Band strength</x:v>
      </x:c>
      <x:c r="F36" s="24" t="str">
        <x:v>Trapezius; Levator scapulae</x:v>
      </x:c>
      <x:c r="G36" s="24" t="str">
        <x:v>—</x:v>
      </x:c>
      <x:c r="H36" s="24" t="str">
        <x:v>Infraspinatus; Subscapularis; Supraspinatus; Teres minor</x:v>
      </x:c>
      <x:c r="I36" s="24" t="str">
        <x:v>—</x:v>
      </x:c>
      <x:c r="J36" s="24" t="str">
        <x:v>Trapezius; Levator scapulae; Infraspinatus; Subscapularis; Supraspinatus; Teres minor</x:v>
      </x:c>
      <x:c r="K36" s="24" t="str">
        <x:v>Trapezius clavicle/acromion attachment</x:v>
      </x:c>
      <x:c r="L36" s="24" t="str">
        <x:v>Shoulder capsule and coracoclavicular/acromioclavicular ligaments support joint stability; NOT targeted for stretching</x:v>
      </x:c>
      <x:c r="M36" s="24" t="str">
        <x:v>Muscles: Trapezius; Levator scapulae; Infraspinatus; Subscapularis; Supraspinatus; Teres minor | Tendons/fascia: Trapezius clavicle/acromion attachment | Ligament context only: Shoulder capsule and coracoclavicular/acromioclavicular ligaments support joint stability; NOT targeted for stretching</x:v>
      </x:c>
      <x:c r="N36" s="24" t="str">
        <x:v>Trapezius; Levator scapulae</x:v>
      </x:c>
      <x:c r="O36" s="24" t="str">
        <x:v>Stand on band; lift shoulders vertically then relax.</x:v>
      </x:c>
      <x:c r="P36" s="24" t="str">
        <x:v>Band</x:v>
      </x:c>
      <x:c r="Q36" s="24" t="str">
        <x:v>2–3 × 8–12 controlled reps</x:v>
      </x:c>
      <x:c r="R36" s="24" t="str">
        <x:v>Progress gradually; stop with sharp pain, dizziness, or numbness.</x:v>
      </x:c>
      <x:c r="S36" s="24" t="str">
        <x:v>https://orthoinfo.aaos.org/globalassets/pdfs/2024-rotator-cuff-and-shoulder-conditioning-program.pdf</x:v>
      </x:c>
      <x:c r="T36" s="24" t="str">
        <x:v>Anatomy-based mapping</x:v>
      </x:c>
    </x:row>
    <x:row r="37" ht="54" customHeight="1">
      <x:c r="A37" s="24" t="str">
        <x:v>EX0034</x:v>
      </x:c>
      <x:c r="B37" s="24" t="str">
        <x:v>Dumbbell shrug</x:v>
      </x:c>
      <x:c r="C37" s="24" t="str">
        <x:v>Shoulder &amp; Chest</x:v>
      </x:c>
      <x:c r="D37" s="24" t="str">
        <x:v>Gym</x:v>
      </x:c>
      <x:c r="E37" s="24" t="str">
        <x:v>Isolation strength</x:v>
      </x:c>
      <x:c r="F37" s="24" t="str">
        <x:v>Trapezius; Levator scapulae</x:v>
      </x:c>
      <x:c r="G37" s="24" t="str">
        <x:v>—</x:v>
      </x:c>
      <x:c r="H37" s="24" t="str">
        <x:v>Infraspinatus; Subscapularis; Supraspinatus; Teres minor</x:v>
      </x:c>
      <x:c r="I37" s="24" t="str">
        <x:v>—</x:v>
      </x:c>
      <x:c r="J37" s="24" t="str">
        <x:v>Trapezius; Levator scapulae; Infraspinatus; Subscapularis; Supraspinatus; Teres minor</x:v>
      </x:c>
      <x:c r="K37" s="24" t="str">
        <x:v>Trapezius attachments</x:v>
      </x:c>
      <x:c r="L37" s="24" t="str">
        <x:v>Shoulder capsule and coracoclavicular/acromioclavicular ligaments support joint stability; NOT targeted for stretching</x:v>
      </x:c>
      <x:c r="M37" s="24" t="str">
        <x:v>Muscles: Trapezius; Levator scapulae; Infraspinatus; Subscapularis; Supraspinatus; Teres minor | Tendons/fascia: Trapezius attachments | Ligament context only: Shoulder capsule and coracoclavicular/acromioclavicular ligaments support joint stability; NOT targeted for stretching</x:v>
      </x:c>
      <x:c r="N37" s="24" t="str">
        <x:v>Trapezius; Levator scapulae</x:v>
      </x:c>
      <x:c r="O37" s="24" t="str">
        <x:v>Lift shoulders straight upward without neck rolling.</x:v>
      </x:c>
      <x:c r="P37" s="24" t="str">
        <x:v>Dumbbells</x:v>
      </x:c>
      <x:c r="Q37" s="24" t="str">
        <x:v>2–3 × 8–12 controlled reps</x:v>
      </x:c>
      <x:c r="R37" s="24" t="str">
        <x:v>Progress gradually; stop with sharp pain, dizziness, or numbness.</x:v>
      </x:c>
      <x:c r="S37" s="24" t="str">
        <x:v>https://orthoinfo.aaos.org/globalassets/pdfs/2024-rotator-cuff-and-shoulder-conditioning-program.pdf</x:v>
      </x:c>
      <x:c r="T37" s="24" t="str">
        <x:v>Anatomy-based mapping</x:v>
      </x:c>
    </x:row>
    <x:row r="38" ht="54" customHeight="1">
      <x:c r="A38" s="24" t="str">
        <x:v>EX0035</x:v>
      </x:c>
      <x:c r="B38" s="24" t="str">
        <x:v>Scapular depression hold on chair</x:v>
      </x:c>
      <x:c r="C38" s="24" t="str">
        <x:v>Shoulder &amp; Chest</x:v>
      </x:c>
      <x:c r="D38" s="24" t="str">
        <x:v>Home</x:v>
      </x:c>
      <x:c r="E38" s="24" t="str">
        <x:v>Isometric strength</x:v>
      </x:c>
      <x:c r="F38" s="24" t="str">
        <x:v>Latissimus dorsi; Pectoralis minor</x:v>
      </x:c>
      <x:c r="G38" s="24" t="str">
        <x:v>Trapezius</x:v>
      </x:c>
      <x:c r="H38" s="24" t="str">
        <x:v>Triceps brachii lateral head; Triceps brachii long head; Triceps brachii medial head; Infraspinatus; Subscapularis; Supraspinatus; Teres minor</x:v>
      </x:c>
      <x:c r="I38" s="24" t="str">
        <x:v>—</x:v>
      </x:c>
      <x:c r="J38" s="24" t="str">
        <x:v>Latissimus dorsi; Pectoralis minor; Trapezius; Triceps brachii lateral head; Triceps brachii long head; Triceps brachii medial head; Infraspinatus; Subscapularis; Supraspinatus; Teres minor</x:v>
      </x:c>
      <x:c r="K38" s="24" t="str">
        <x:v>Latissimus and pectoralis minor attachments</x:v>
      </x:c>
      <x:c r="L38" s="24" t="str">
        <x:v>Shoulder capsule and coracoclavicular/acromioclavicular ligaments support joint stability; NOT targeted for stretching</x:v>
      </x:c>
      <x:c r="M38" s="24" t="str">
        <x:v>Muscles: Latissimus dorsi; Pectoralis minor; Trapezius; Triceps brachii lateral head; Triceps brachii long head; Triceps brachii medial head; Infraspinatus; Subscapularis; Supraspinatus; Teres minor | Tendons/fascia: Latissimus and pectoralis minor attachments | Ligament context only: Shoulder capsule and coracoclavicular/acromioclavicular ligaments support joint stability; NOT targeted for stretching</x:v>
      </x:c>
      <x:c r="N38" s="24" t="str">
        <x:v>Latissimus dorsi; Pectoralis minor; Trapezius</x:v>
      </x:c>
      <x:c r="O38" s="24" t="str">
        <x:v>With hands on sturdy chair arms and feet supported, press shoulders down lightly.</x:v>
      </x:c>
      <x:c r="P38" s="24" t="str">
        <x:v>Stable chairs</x:v>
      </x:c>
      <x:c r="Q38" s="24" t="str">
        <x:v>2–3 × 8–12 controlled reps</x:v>
      </x:c>
      <x:c r="R38" s="24" t="str">
        <x:v>Avoid full body lifts if shoulder pain or instability.</x:v>
      </x:c>
      <x:c r="S38" s="24" t="str">
        <x:v>https://orthoinfo.aaos.org/globalassets/pdfs/2024-rotator-cuff-and-shoulder-conditioning-program.pdf</x:v>
      </x:c>
      <x:c r="T38" s="24" t="str">
        <x:v>Anatomy-based mapping</x:v>
      </x:c>
    </x:row>
    <x:row r="39" ht="54" customHeight="1">
      <x:c r="A39" s="24" t="str">
        <x:v>EX0036</x:v>
      </x:c>
      <x:c r="B39" s="24" t="str">
        <x:v>Bench-supported reverse fly</x:v>
      </x:c>
      <x:c r="C39" s="24" t="str">
        <x:v>Shoulder &amp; Chest</x:v>
      </x:c>
      <x:c r="D39" s="24" t="str">
        <x:v>Gym</x:v>
      </x:c>
      <x:c r="E39" s="24" t="str">
        <x:v>Isolation strength</x:v>
      </x:c>
      <x:c r="F39" s="24" t="str">
        <x:v>Deltoid; Rhomboid major; Rhomboid minor; Trapezius</x:v>
      </x:c>
      <x:c r="G39" s="24" t="str">
        <x:v>Infraspinatus; Teres minor</x:v>
      </x:c>
      <x:c r="H39" s="24" t="str">
        <x:v>Subscapularis; Supraspinatus</x:v>
      </x:c>
      <x:c r="I39" s="24" t="str">
        <x:v>—</x:v>
      </x:c>
      <x:c r="J39" s="24" t="str">
        <x:v>Deltoid; Rhomboid major; Rhomboid minor; Trapezius; Infraspinatus; Teres minor; Subscapularis; Supraspinatus</x:v>
      </x:c>
      <x:c r="K39" s="24" t="str">
        <x:v>Posterior deltoid, rhomboid attachments</x:v>
      </x:c>
      <x:c r="L39" s="24" t="str">
        <x:v>Shoulder capsule and coracoclavicular/acromioclavicular ligaments support joint stability; NOT targeted for stretching</x:v>
      </x:c>
      <x:c r="M39" s="24" t="str">
        <x:v>Muscles: Deltoid; Rhomboid major; Rhomboid minor; Trapezius; Infraspinatus; Teres minor; Subscapularis; Supraspinatus | Tendons/fascia: Posterior deltoid, rhomboid attachments | Ligament context only: Shoulder capsule and coracoclavicular/acromioclavicular ligaments support joint stability; NOT targeted for stretching</x:v>
      </x:c>
      <x:c r="N39" s="24" t="str">
        <x:v>Deltoid; Rhomboid major; Rhomboid minor; Trapezius; Infraspinatus; Teres minor</x:v>
      </x:c>
      <x:c r="O39" s="24" t="str">
        <x:v>Chest supported; open dumbbells out laterally with soft elbows.</x:v>
      </x:c>
      <x:c r="P39" s="24" t="str">
        <x:v>Incline bench; dumbbells</x:v>
      </x:c>
      <x:c r="Q39" s="24" t="str">
        <x:v>2–3 × 8–12 controlled reps</x:v>
      </x:c>
      <x:c r="R39" s="24" t="str">
        <x:v>Progress gradually; stop with sharp pain, dizziness, or numbness.</x:v>
      </x:c>
      <x:c r="S39" s="24" t="str">
        <x:v>https://orthoinfo.aaos.org/globalassets/pdfs/2024-rotator-cuff-and-shoulder-conditioning-program.pdf</x:v>
      </x:c>
      <x:c r="T39" s="24" t="str">
        <x:v>Anatomy-based mapping</x:v>
      </x:c>
    </x:row>
    <x:row r="40" ht="54" customHeight="1">
      <x:c r="A40" s="24" t="str">
        <x:v>EX0037</x:v>
      </x:c>
      <x:c r="B40" s="24" t="str">
        <x:v>Doorway pectoral stretch</x:v>
      </x:c>
      <x:c r="C40" s="24" t="str">
        <x:v>Shoulder &amp; Chest</x:v>
      </x:c>
      <x:c r="D40" s="24" t="str">
        <x:v>Home</x:v>
      </x:c>
      <x:c r="E40" s="24" t="str">
        <x:v>Passive stretch</x:v>
      </x:c>
      <x:c r="F40" s="24" t="str">
        <x:v>—</x:v>
      </x:c>
      <x:c r="G40" s="24" t="str">
        <x:v>—</x:v>
      </x:c>
      <x:c r="H40" s="24" t="str">
        <x:v>—</x:v>
      </x:c>
      <x:c r="I40" s="24" t="str">
        <x:v>Pectoralis major; Pectoralis minor</x:v>
      </x:c>
      <x:c r="J40" s="24" t="str">
        <x:v>Pectoralis major; Pectoralis minor</x:v>
      </x:c>
      <x:c r="K40" s="24" t="str">
        <x:v>Pectoralis major/minor musculotendinous units under tension</x:v>
      </x:c>
      <x:c r="L40" s="24" t="str">
        <x:v>Do not force anterior shoulder capsule or glenohumeral ligaments</x:v>
      </x:c>
      <x:c r="M40" s="24" t="str">
        <x:v>Muscles: Pectoralis major; Pectoralis minor | Tendons/fascia: Pectoralis major/minor musculotendinous units under tension | Ligament context only: Do not force anterior shoulder capsule or glenohumeral ligaments</x:v>
      </x:c>
      <x:c r="N40" s="24" t="str">
        <x:v>Usually none expected (stretch, mobility or relaxation; any active movers are low-load)</x:v>
      </x:c>
      <x:c r="O40" s="24" t="str">
        <x:v>Forearm on doorframe; step through slightly until front-of-chest stretch.</x:v>
      </x:c>
      <x:c r="P40" s="24" t="str">
        <x:v>Doorframe</x:v>
      </x:c>
      <x:c r="Q40" s="24" t="str">
        <x:v>2 × 20–30 s each side</x:v>
      </x:c>
      <x:c r="R40" s="24" t="str">
        <x:v>Progress gradually; stop with sharp pain, dizziness, or numbness.</x:v>
      </x:c>
      <x:c r="S40" s="24" t="str">
        <x:v>https://orthoinfo.aaos.org/globalassets/pdfs/2024-rotator-cuff-and-shoulder-conditioning-program.pdf</x:v>
      </x:c>
      <x:c r="T40" s="24" t="str">
        <x:v>Anatomy-based mapping</x:v>
      </x:c>
    </x:row>
    <x:row r="41" ht="54" customHeight="1">
      <x:c r="A41" s="24" t="str">
        <x:v>EX0038</x:v>
      </x:c>
      <x:c r="B41" s="24" t="str">
        <x:v>Cross-body posterior shoulder stretch</x:v>
      </x:c>
      <x:c r="C41" s="24" t="str">
        <x:v>Shoulder &amp; Chest</x:v>
      </x:c>
      <x:c r="D41" s="24" t="str">
        <x:v>Home</x:v>
      </x:c>
      <x:c r="E41" s="24" t="str">
        <x:v>Passive stretch</x:v>
      </x:c>
      <x:c r="F41" s="24" t="str">
        <x:v>—</x:v>
      </x:c>
      <x:c r="G41" s="24" t="str">
        <x:v>—</x:v>
      </x:c>
      <x:c r="H41" s="24" t="str">
        <x:v>—</x:v>
      </x:c>
      <x:c r="I41" s="24" t="str">
        <x:v>Deltoid; Infraspinatus; Teres minor</x:v>
      </x:c>
      <x:c r="J41" s="24" t="str">
        <x:v>Deltoid; Infraspinatus; Teres minor</x:v>
      </x:c>
      <x:c r="K41" s="24" t="str">
        <x:v>Posterior deltoid / posterior rotator cuff tendon units</x:v>
      </x:c>
      <x:c r="L41" s="24" t="str">
        <x:v>Posterior shoulder capsule may also be tensioned; no forced capsule stretching</x:v>
      </x:c>
      <x:c r="M41" s="24" t="str">
        <x:v>Muscles: Deltoid; Infraspinatus; Teres minor | Tendons/fascia: Posterior deltoid / posterior rotator cuff tendon units | Ligament context only: Posterior shoulder capsule may also be tensioned; no forced capsule stretching</x:v>
      </x:c>
      <x:c r="N41" s="24" t="str">
        <x:v>Usually none expected (stretch, mobility or relaxation; any active movers are low-load)</x:v>
      </x:c>
      <x:c r="O41" s="24" t="str">
        <x:v>Bring one straightish arm across chest; support upper arm without levering elbow.</x:v>
      </x:c>
      <x:c r="P41" s="24" t="str">
        <x:v>Bodyweight</x:v>
      </x:c>
      <x:c r="Q41" s="24" t="str">
        <x:v>2–3 × 8–12 controlled reps</x:v>
      </x:c>
      <x:c r="R41" s="24" t="str">
        <x:v>Progress gradually; stop with sharp pain, dizziness, or numbness.</x:v>
      </x:c>
      <x:c r="S41" s="24" t="str">
        <x:v>https://orthoinfo.aaos.org/globalassets/pdfs/2024-rotator-cuff-and-shoulder-conditioning-program.pdf</x:v>
      </x:c>
      <x:c r="T41" s="24" t="str">
        <x:v>Anatomy-based mapping</x:v>
      </x:c>
    </x:row>
    <x:row r="42" ht="54" customHeight="1">
      <x:c r="A42" s="24" t="str">
        <x:v>EX0039</x:v>
      </x:c>
      <x:c r="B42" s="24" t="str">
        <x:v>Overhead lat stretch on counter</x:v>
      </x:c>
      <x:c r="C42" s="24" t="str">
        <x:v>Shoulder &amp; Chest</x:v>
      </x:c>
      <x:c r="D42" s="24" t="str">
        <x:v>Home</x:v>
      </x:c>
      <x:c r="E42" s="24" t="str">
        <x:v>Passive stretch</x:v>
      </x:c>
      <x:c r="F42" s="24" t="str">
        <x:v>—</x:v>
      </x:c>
      <x:c r="G42" s="24" t="str">
        <x:v>—</x:v>
      </x:c>
      <x:c r="H42" s="24" t="str">
        <x:v>—</x:v>
      </x:c>
      <x:c r="I42" s="24" t="str">
        <x:v>Latissimus dorsi; Teres major</x:v>
      </x:c>
      <x:c r="J42" s="24" t="str">
        <x:v>Latissimus dorsi; Teres major</x:v>
      </x:c>
      <x:c r="K42" s="24" t="str">
        <x:v>Latissimus dorsi insertion tendon</x:v>
      </x:c>
      <x:c r="L42" s="24" t="str">
        <x:v>Shoulder capsule and coracoclavicular/acromioclavicular ligaments support joint stability; NOT targeted for stretching</x:v>
      </x:c>
      <x:c r="M42" s="24" t="str">
        <x:v>Muscles: Latissimus dorsi; Teres major | Tendons/fascia: Latissimus dorsi insertion tendon | Ligament context only: Shoulder capsule and coracoclavicular/acromioclavicular ligaments support joint stability; NOT targeted for stretching</x:v>
      </x:c>
      <x:c r="N42" s="24" t="str">
        <x:v>Usually none expected (stretch, mobility or relaxation; any active movers are low-load)</x:v>
      </x:c>
      <x:c r="O42" s="24" t="str">
        <x:v>Hands on counter, hinge hips back to lengthen side of torso/shoulder.</x:v>
      </x:c>
      <x:c r="P42" s="24" t="str">
        <x:v>Counter</x:v>
      </x:c>
      <x:c r="Q42" s="24" t="str">
        <x:v>2–3 × 8–12 controlled reps</x:v>
      </x:c>
      <x:c r="R42" s="24" t="str">
        <x:v>Progress gradually; stop with sharp pain, dizziness, or numbness.</x:v>
      </x:c>
      <x:c r="S42" s="24" t="str">
        <x:v>https://orthoinfo.aaos.org/globalassets/pdfs/2024-rotator-cuff-and-shoulder-conditioning-program.pdf</x:v>
      </x:c>
      <x:c r="T42" s="24" t="str">
        <x:v>Anatomy-based mapping</x:v>
      </x:c>
    </x:row>
    <x:row r="43" ht="54" customHeight="1">
      <x:c r="A43" s="24" t="str">
        <x:v>EX0040</x:v>
      </x:c>
      <x:c r="B43" s="24" t="str">
        <x:v>Wall-assisted shoulder flexion</x:v>
      </x:c>
      <x:c r="C43" s="24" t="str">
        <x:v>Shoulder &amp; Chest</x:v>
      </x:c>
      <x:c r="D43" s="24" t="str">
        <x:v>Home</x:v>
      </x:c>
      <x:c r="E43" s="24" t="str">
        <x:v>Active stretch</x:v>
      </x:c>
      <x:c r="F43" s="24" t="str">
        <x:v>Trapezius; Serratus anterior</x:v>
      </x:c>
      <x:c r="G43" s="24" t="str">
        <x:v>—</x:v>
      </x:c>
      <x:c r="H43" s="24" t="str">
        <x:v>—</x:v>
      </x:c>
      <x:c r="I43" s="24" t="str">
        <x:v>Latissimus dorsi; Pectoralis major; Teres major</x:v>
      </x:c>
      <x:c r="J43" s="24" t="str">
        <x:v>Trapezius; Serratus anterior; Latissimus dorsi; Pectoralis major; Teres major</x:v>
      </x:c>
      <x:c r="K43" s="24" t="str">
        <x:v>Latissimus/pectoralis musculotendinous structures</x:v>
      </x:c>
      <x:c r="L43" s="24" t="str">
        <x:v>Shoulder capsule and coracoclavicular/acromioclavicular ligaments support joint stability; NOT targeted for stretching</x:v>
      </x:c>
      <x:c r="M43" s="24" t="str">
        <x:v>Muscles: Trapezius; Serratus anterior; Latissimus dorsi; Pectoralis major; Teres major | Tendons/fascia: Latissimus/pectoralis musculotendinous structures | Ligament context only: Shoulder capsule and coracoclavicular/acromioclavicular ligaments support joint stability; NOT targeted for stretching</x:v>
      </x:c>
      <x:c r="N43" s="24" t="str">
        <x:v>Usually none expected (stretch, mobility or relaxation; any active movers are low-load)</x:v>
      </x:c>
      <x:c r="O43" s="24" t="str">
        <x:v>Walk fingers up wall slowly; reach overhead without trunk compensation.</x:v>
      </x:c>
      <x:c r="P43" s="24" t="str">
        <x:v>Bodyweight</x:v>
      </x:c>
      <x:c r="Q43" s="24" t="str">
        <x:v>2–3 × 8–12 controlled reps</x:v>
      </x:c>
      <x:c r="R43" s="24" t="str">
        <x:v>Progress gradually; stop with sharp pain, dizziness, or numbness.</x:v>
      </x:c>
      <x:c r="S43" s="24" t="str">
        <x:v>https://orthoinfo.aaos.org/globalassets/pdfs/2024-rotator-cuff-and-shoulder-conditioning-program.pdf</x:v>
      </x:c>
      <x:c r="T43" s="24" t="str">
        <x:v>Anatomy-based mapping</x:v>
      </x:c>
    </x:row>
    <x:row r="44" ht="54" customHeight="1">
      <x:c r="A44" s="24" t="str">
        <x:v>EX0041</x:v>
      </x:c>
      <x:c r="B44" s="24" t="str">
        <x:v>Sleeper rotation stretch (gentle)</x:v>
      </x:c>
      <x:c r="C44" s="24" t="str">
        <x:v>Shoulder &amp; Chest</x:v>
      </x:c>
      <x:c r="D44" s="24" t="str">
        <x:v>Home</x:v>
      </x:c>
      <x:c r="E44" s="24" t="str">
        <x:v>Passive stretch</x:v>
      </x:c>
      <x:c r="F44" s="24" t="str">
        <x:v>—</x:v>
      </x:c>
      <x:c r="G44" s="24" t="str">
        <x:v>—</x:v>
      </x:c>
      <x:c r="H44" s="24" t="str">
        <x:v>—</x:v>
      </x:c>
      <x:c r="I44" s="24" t="str">
        <x:v>Infraspinatus; Teres minor</x:v>
      </x:c>
      <x:c r="J44" s="24" t="str">
        <x:v>Infraspinatus; Teres minor</x:v>
      </x:c>
      <x:c r="K44" s="24" t="str">
        <x:v>Atlas-listed tendon/aponeurosis examples: Infraspinatus tendon blends with capsule; Teres minor tendon blends with capsule</x:v>
      </x:c>
      <x:c r="L44" s="24" t="str">
        <x:v>Posterior glenohumeral capsule may be stressed; avoid aggressive pressure</x:v>
      </x:c>
      <x:c r="M44" s="24" t="str">
        <x:v>Muscles: Infraspinatus; Teres minor | Tendons/fascia: Atlas-listed tendon/aponeurosis examples: Infraspinatus tendon blends with capsule; Teres minor tendon blends with capsule | Ligament context only: Posterior glenohumeral capsule may be stressed; avoid aggressive pressure</x:v>
      </x:c>
      <x:c r="N44" s="24" t="str">
        <x:v>Usually none expected (stretch, mobility or relaxation; any active movers are low-load)</x:v>
      </x:c>
      <x:c r="O44" s="24" t="str">
        <x:v>Lie on side with shoulder comfortably forward; use only light inward rotation.</x:v>
      </x:c>
      <x:c r="P44" s="24" t="str">
        <x:v>Bodyweight</x:v>
      </x:c>
      <x:c r="Q44" s="24" t="str">
        <x:v>2–3 × 8–12 controlled reps</x:v>
      </x:c>
      <x:c r="R44" s="24" t="str">
        <x:v>Skip if painful or with instability; clinician guidance preferred.</x:v>
      </x:c>
      <x:c r="S44" s="24" t="str">
        <x:v>https://orthoinfo.aaos.org/globalassets/pdfs/2024-rotator-cuff-and-shoulder-conditioning-program.pdf</x:v>
      </x:c>
      <x:c r="T44" s="24" t="str">
        <x:v>Anatomy-based mapping</x:v>
      </x:c>
    </x:row>
    <x:row r="45" ht="54" customHeight="1">
      <x:c r="A45" s="24" t="str">
        <x:v>EX0042</x:v>
      </x:c>
      <x:c r="B45" s="24" t="str">
        <x:v>Overhead triceps stretch</x:v>
      </x:c>
      <x:c r="C45" s="24" t="str">
        <x:v>Arm</x:v>
      </x:c>
      <x:c r="D45" s="24" t="str">
        <x:v>Home</x:v>
      </x:c>
      <x:c r="E45" s="24" t="str">
        <x:v>Passive stretch</x:v>
      </x:c>
      <x:c r="F45" s="24" t="str">
        <x:v>—</x:v>
      </x:c>
      <x:c r="G45" s="24" t="str">
        <x:v>—</x:v>
      </x:c>
      <x:c r="H45" s="24" t="str">
        <x:v>—</x:v>
      </x:c>
      <x:c r="I45" s="24" t="str">
        <x:v>Triceps brachii lateral head; Triceps brachii long head; Triceps brachii medial head</x:v>
      </x:c>
      <x:c r="J45" s="24" t="str">
        <x:v>Triceps brachii lateral head; Triceps brachii long head; Triceps brachii medial head</x:v>
      </x:c>
      <x:c r="K45" s="24" t="str">
        <x:v>Triceps long-head musculotendinous unit</x:v>
      </x:c>
      <x:c r="L45" s="24" t="str">
        <x:v>Elbow collateral ligaments stabilize elbow; NOT a stretch target</x:v>
      </x:c>
      <x:c r="M45" s="24" t="str">
        <x:v>Muscles: Triceps brachii lateral head; Triceps brachii long head; Triceps brachii medial head | Tendons/fascia: Triceps long-head musculotendinous unit | Ligament context only: Elbow collateral ligaments stabilize elbow; NOT a stretch target</x:v>
      </x:c>
      <x:c r="N45" s="24" t="str">
        <x:v>Usually none expected (stretch, mobility or relaxation; any active movers are low-load)</x:v>
      </x:c>
      <x:c r="O45" s="24" t="str">
        <x:v>Elbow pointed upward; gently guide bent elbow with other hand.</x:v>
      </x:c>
      <x:c r="P45" s="24" t="str">
        <x:v>Bodyweight</x:v>
      </x:c>
      <x:c r="Q45" s="24" t="str">
        <x:v>2–3 × 8–12 controlled reps</x:v>
      </x:c>
      <x:c r="R45" s="24" t="str">
        <x:v>Progress gradually; stop with sharp pain, dizziness, or numbness.</x:v>
      </x:c>
      <x:c r="S45" s="24" t="str">
        <x:v>https://www.acsm.org/education-resources/trending-topics-resources/physical-activity-guidelines</x:v>
      </x:c>
      <x:c r="T45" s="24" t="str">
        <x:v>Anatomy-based mapping</x:v>
      </x:c>
    </x:row>
    <x:row r="46" ht="54" customHeight="1">
      <x:c r="A46" s="24" t="str">
        <x:v>EX0043</x:v>
      </x:c>
      <x:c r="B46" s="24" t="str">
        <x:v>Biceps wall stretch</x:v>
      </x:c>
      <x:c r="C46" s="24" t="str">
        <x:v>Arm</x:v>
      </x:c>
      <x:c r="D46" s="24" t="str">
        <x:v>Home</x:v>
      </x:c>
      <x:c r="E46" s="24" t="str">
        <x:v>Passive stretch</x:v>
      </x:c>
      <x:c r="F46" s="24" t="str">
        <x:v>—</x:v>
      </x:c>
      <x:c r="G46" s="24" t="str">
        <x:v>—</x:v>
      </x:c>
      <x:c r="H46" s="24" t="str">
        <x:v>—</x:v>
      </x:c>
      <x:c r="I46" s="24" t="str">
        <x:v>Biceps brachii long head; Biceps brachii short head</x:v>
      </x:c>
      <x:c r="J46" s="24" t="str">
        <x:v>Biceps brachii long head; Biceps brachii short head</x:v>
      </x:c>
      <x:c r="K46" s="24" t="str">
        <x:v>Biceps brachii long/short head tendons</x:v>
      </x:c>
      <x:c r="L46" s="24" t="str">
        <x:v>Elbow collateral ligaments stabilize elbow; NOT a stretch target</x:v>
      </x:c>
      <x:c r="M46" s="24" t="str">
        <x:v>Muscles: Biceps brachii long head; Biceps brachii short head | Tendons/fascia: Biceps brachii long/short head tendons | Ligament context only: Elbow collateral ligaments stabilize elbow; NOT a stretch target</x:v>
      </x:c>
      <x:c r="N46" s="24" t="str">
        <x:v>Usually none expected (stretch, mobility or relaxation; any active movers are low-load)</x:v>
      </x:c>
      <x:c r="O46" s="24" t="str">
        <x:v>Palm against wall with arm behind trunk; rotate body away slightly; avoid anterior shoulder strain.</x:v>
      </x:c>
      <x:c r="P46" s="24" t="str">
        <x:v>Bodyweight</x:v>
      </x:c>
      <x:c r="Q46" s="24" t="str">
        <x:v>2–3 × 8–12 controlled reps</x:v>
      </x:c>
      <x:c r="R46" s="24" t="str">
        <x:v>Progress gradually; stop with sharp pain, dizziness, or numbness.</x:v>
      </x:c>
      <x:c r="S46" s="24" t="str">
        <x:v>https://www.acsm.org/education-resources/trending-topics-resources/physical-activity-guidelines</x:v>
      </x:c>
      <x:c r="T46" s="24" t="str">
        <x:v>Anatomy-based mapping</x:v>
      </x:c>
    </x:row>
    <x:row r="47" ht="54" customHeight="1">
      <x:c r="A47" s="24" t="str">
        <x:v>EX0044</x:v>
      </x:c>
      <x:c r="B47" s="24" t="str">
        <x:v>Underhand inverted table row</x:v>
      </x:c>
      <x:c r="C47" s="24" t="str">
        <x:v>Arm</x:v>
      </x:c>
      <x:c r="D47" s="24" t="str">
        <x:v>Home</x:v>
      </x:c>
      <x:c r="E47" s="24" t="str">
        <x:v>Compound strength</x:v>
      </x:c>
      <x:c r="F47" s="24" t="str">
        <x:v>Biceps brachii long head; Biceps brachii short head; Latissimus dorsi; Teres major; Trapezius; Rhomboid major; Rhomboid minor</x:v>
      </x:c>
      <x:c r="G47" s="24" t="str">
        <x:v>Brachialis; Brachioradialis</x:v>
      </x:c>
      <x:c r="H47" s="24" t="str">
        <x:v>Rectus abdominis; External oblique; Internal oblique; Transversus abdominis; Infraspinatus; Subscapularis; Supraspinatus; Teres minor</x:v>
      </x:c>
      <x:c r="I47" s="24" t="str">
        <x:v>—</x:v>
      </x:c>
      <x:c r="J47" s="24" t="str">
        <x:v>Biceps brachii long head; Biceps brachii short head; Latissimus dorsi; Teres major; Trapezius; Rhomboid major; Rhomboid minor; Brachialis; Brachioradialis; Rectus abdominis; External oblique; Internal oblique; Transversus abdominis; Infraspinatus; Subscapularis; Supraspinatus; Teres minor</x:v>
      </x:c>
      <x:c r="K47" s="24" t="str">
        <x:v>Atlas-listed tendon/aponeurosis examples: Long-head proximal tendon; distal biceps tendon; bicipital aponeurosis; Conjoined proximal tendon; common distal biceps tendon; Flattened latissimus dorsi tendon; Teres major insertion tendon; additional listed attachments</x:v>
      </x:c>
      <x:c r="L47" s="24" t="str">
        <x:v>Elbow collateral ligaments stabilize elbow; NOT a stretch target</x:v>
      </x:c>
      <x:c r="M47" s="24" t="str">
        <x:v>Muscles: Biceps brachii long head; Biceps brachii short head; Latissimus dorsi; Teres major; Trapezius; Rhomboid major; Rhomboid minor; Brachialis; Brachioradialis; Rectus abdominis; External oblique; Internal oblique; Transversus abdominis; Infraspinatus; Subscapularis; Supraspinatus; Teres minor | Tendons/fascia: Atlas-listed tendon/aponeurosis examples: Long-head proximal tendon; distal biceps tendon; bicipital aponeurosis; Conjoined proximal tendon; common distal biceps tendon; Flattened latissimus dorsi tendon; Teres major insertion tendon; additional listed attachments | Ligament context only: Elbow collateral ligaments stabilize elbow; NOT a stretch target</x:v>
      </x:c>
      <x:c r="N47" s="24" t="str">
        <x:v>Biceps brachii long head; Biceps brachii short head; Latissimus dorsi; Teres major; Trapezius; Rhomboid major; Rhomboid minor; Brachialis; Brachioradialis</x:v>
      </x:c>
      <x:c r="O47" s="24" t="str">
        <x:v>Pull chest toward edge of an extremely sturdy immobile bar/table; avoid unsafe furniture.</x:v>
      </x:c>
      <x:c r="P47" s="24" t="str">
        <x:v>Secure low bar</x:v>
      </x:c>
      <x:c r="Q47" s="24" t="str">
        <x:v>2–3 × 8–12 controlled reps</x:v>
      </x:c>
      <x:c r="R47" s="24" t="str">
        <x:v>Progress gradually; stop with sharp pain, dizziness, or numbness.</x:v>
      </x:c>
      <x:c r="S47" s="24" t="str">
        <x:v>https://www.acsm.org/education-resources/trending-topics-resources/physical-activity-guidelines</x:v>
      </x:c>
      <x:c r="T47" s="24" t="str">
        <x:v>Anatomy-based mapping</x:v>
      </x:c>
    </x:row>
    <x:row r="48" ht="54" customHeight="1">
      <x:c r="A48" s="24" t="str">
        <x:v>EX0045</x:v>
      </x:c>
      <x:c r="B48" s="24" t="str">
        <x:v>Door-anchor band biceps curl</x:v>
      </x:c>
      <x:c r="C48" s="24" t="str">
        <x:v>Arm</x:v>
      </x:c>
      <x:c r="D48" s="24" t="str">
        <x:v>Home</x:v>
      </x:c>
      <x:c r="E48" s="24" t="str">
        <x:v>Band strength</x:v>
      </x:c>
      <x:c r="F48" s="24" t="str">
        <x:v>Biceps brachii long head; Biceps brachii short head; Brachialis</x:v>
      </x:c>
      <x:c r="G48" s="24" t="str">
        <x:v>Brachioradialis</x:v>
      </x:c>
      <x:c r="H48" s="24" t="str">
        <x:v>Flexor carpi radialis; Flexor carpi ulnaris humeral head; Flexor carpi ulnaris ulnar head; Palmaris longus</x:v>
      </x:c>
      <x:c r="I48" s="24" t="str">
        <x:v>—</x:v>
      </x:c>
      <x:c r="J48" s="24" t="str">
        <x:v>Biceps brachii long head; Biceps brachii short head; Brachialis; Brachioradialis; Flexor carpi radialis; Flexor carpi ulnaris humeral head; Flexor carpi ulnaris ulnar head; Palmaris longus</x:v>
      </x:c>
      <x:c r="K48" s="24" t="str">
        <x:v>Atlas-listed tendon/aponeurosis examples: Long-head proximal tendon; distal biceps tendon; bicipital aponeurosis; Conjoined proximal tendon; common distal biceps tendon; Brachialis insertion tendon; Distal brachioradialis tendon</x:v>
      </x:c>
      <x:c r="L48" s="24" t="str">
        <x:v>Elbow collateral ligaments stabilize elbow; NOT a stretch target</x:v>
      </x:c>
      <x:c r="M48" s="24" t="str">
        <x:v>Muscles: Biceps brachii long head; Biceps brachii short head; Brachialis; Brachioradialis; Flexor carpi radialis; Flexor carpi ulnaris humeral head; Flexor carpi ulnaris ulnar head; Palmaris longus | Tendons/fascia: Atlas-listed tendon/aponeurosis examples: Long-head proximal tendon; distal biceps tendon; bicipital aponeurosis; Conjoined proximal tendon; common distal biceps tendon; Brachialis insertion tendon; Distal brachioradialis tendon | Ligament context only: Elbow collateral ligaments stabilize elbow; NOT a stretch target</x:v>
      </x:c>
      <x:c r="N48" s="24" t="str">
        <x:v>Biceps brachii long head; Biceps brachii short head; Brachialis; Brachioradialis</x:v>
      </x:c>
      <x:c r="O48" s="24" t="str">
        <x:v>Elbows at sides; bend elbows against band, keeping wrists neutral.</x:v>
      </x:c>
      <x:c r="P48" s="24" t="str">
        <x:v>Band</x:v>
      </x:c>
      <x:c r="Q48" s="24" t="str">
        <x:v>2–3 × 8–12 controlled reps</x:v>
      </x:c>
      <x:c r="R48" s="24" t="str">
        <x:v>Progress gradually; stop with sharp pain, dizziness, or numbness.</x:v>
      </x:c>
      <x:c r="S48" s="24" t="str">
        <x:v>https://www.acsm.org/education-resources/trending-topics-resources/physical-activity-guidelines</x:v>
      </x:c>
      <x:c r="T48" s="24" t="str">
        <x:v>Anatomy-based mapping</x:v>
      </x:c>
    </x:row>
    <x:row r="49" ht="54" customHeight="1">
      <x:c r="A49" s="24" t="str">
        <x:v>EX0046</x:v>
      </x:c>
      <x:c r="B49" s="24" t="str">
        <x:v>Concentration curl</x:v>
      </x:c>
      <x:c r="C49" s="24" t="str">
        <x:v>Arm</x:v>
      </x:c>
      <x:c r="D49" s="24" t="str">
        <x:v>Gym</x:v>
      </x:c>
      <x:c r="E49" s="24" t="str">
        <x:v>Isolation strength</x:v>
      </x:c>
      <x:c r="F49" s="24" t="str">
        <x:v>Biceps brachii long head; Biceps brachii short head; Brachialis</x:v>
      </x:c>
      <x:c r="G49" s="24" t="str">
        <x:v>Brachioradialis</x:v>
      </x:c>
      <x:c r="H49" s="24" t="str">
        <x:v>—</x:v>
      </x:c>
      <x:c r="I49" s="24" t="str">
        <x:v>—</x:v>
      </x:c>
      <x:c r="J49" s="24" t="str">
        <x:v>Biceps brachii long head; Biceps brachii short head; Brachialis; Brachioradialis</x:v>
      </x:c>
      <x:c r="K49" s="24" t="str">
        <x:v>Atlas-listed tendon/aponeurosis examples: Long-head proximal tendon; distal biceps tendon; bicipital aponeurosis; Conjoined proximal tendon; common distal biceps tendon; Brachialis insertion tendon; Distal brachioradialis tendon</x:v>
      </x:c>
      <x:c r="L49" s="24" t="str">
        <x:v>Elbow collateral ligaments stabilize elbow; NOT a stretch target</x:v>
      </x:c>
      <x:c r="M49" s="24" t="str">
        <x:v>Muscles: Biceps brachii long head; Biceps brachii short head; Brachialis; Brachioradialis | Tendons/fascia: Atlas-listed tendon/aponeurosis examples: Long-head proximal tendon; distal biceps tendon; bicipital aponeurosis; Conjoined proximal tendon; common distal biceps tendon; Brachialis insertion tendon; Distal brachioradialis tendon | Ligament context only: Elbow collateral ligaments stabilize elbow; NOT a stretch target</x:v>
      </x:c>
      <x:c r="N49" s="24" t="str">
        <x:v>Biceps brachii long head; Biceps brachii short head; Brachialis; Brachioradialis</x:v>
      </x:c>
      <x:c r="O49" s="24" t="str">
        <x:v>Support upper arm against inner thigh; curl dumbbell slowly.</x:v>
      </x:c>
      <x:c r="P49" s="24" t="str">
        <x:v>Dumbbell</x:v>
      </x:c>
      <x:c r="Q49" s="24" t="str">
        <x:v>2–3 × 8–12 controlled reps</x:v>
      </x:c>
      <x:c r="R49" s="24" t="str">
        <x:v>Progress gradually; stop with sharp pain, dizziness, or numbness.</x:v>
      </x:c>
      <x:c r="S49" s="24" t="str">
        <x:v>https://www.acsm.org/education-resources/trending-topics-resources/physical-activity-guidelines</x:v>
      </x:c>
      <x:c r="T49" s="24" t="str">
        <x:v>Anatomy-based mapping</x:v>
      </x:c>
    </x:row>
    <x:row r="50" ht="54" customHeight="1">
      <x:c r="A50" s="24" t="str">
        <x:v>EX0047</x:v>
      </x:c>
      <x:c r="B50" s="24" t="str">
        <x:v>Incline dumbbell biceps curl</x:v>
      </x:c>
      <x:c r="C50" s="24" t="str">
        <x:v>Arm</x:v>
      </x:c>
      <x:c r="D50" s="24" t="str">
        <x:v>Gym</x:v>
      </x:c>
      <x:c r="E50" s="24" t="str">
        <x:v>Isolation strength</x:v>
      </x:c>
      <x:c r="F50" s="24" t="str">
        <x:v>Biceps brachii long head; Biceps brachii short head; Brachialis</x:v>
      </x:c>
      <x:c r="G50" s="24" t="str">
        <x:v>Brachioradialis</x:v>
      </x:c>
      <x:c r="H50" s="24" t="str">
        <x:v>—</x:v>
      </x:c>
      <x:c r="I50" s="24" t="str">
        <x:v>—</x:v>
      </x:c>
      <x:c r="J50" s="24" t="str">
        <x:v>Biceps brachii long head; Biceps brachii short head; Brachialis; Brachioradialis</x:v>
      </x:c>
      <x:c r="K50" s="24" t="str">
        <x:v>Atlas-listed tendon/aponeurosis examples: Long-head proximal tendon; distal biceps tendon; bicipital aponeurosis; Conjoined proximal tendon; common distal biceps tendon; Brachialis insertion tendon; Distal brachioradialis tendon</x:v>
      </x:c>
      <x:c r="L50" s="24" t="str">
        <x:v>Elbow collateral ligaments stabilize elbow; NOT a stretch target</x:v>
      </x:c>
      <x:c r="M50" s="24" t="str">
        <x:v>Muscles: Biceps brachii long head; Biceps brachii short head; Brachialis; Brachioradialis | Tendons/fascia: Atlas-listed tendon/aponeurosis examples: Long-head proximal tendon; distal biceps tendon; bicipital aponeurosis; Conjoined proximal tendon; common distal biceps tendon; Brachialis insertion tendon; Distal brachioradialis tendon | Ligament context only: Elbow collateral ligaments stabilize elbow; NOT a stretch target</x:v>
      </x:c>
      <x:c r="N50" s="24" t="str">
        <x:v>Biceps brachii long head; Biceps brachii short head; Brachialis; Brachioradialis</x:v>
      </x:c>
      <x:c r="O50" s="24" t="str">
        <x:v>Sit on inclined bench with arms hanging slightly behind body; curl.</x:v>
      </x:c>
      <x:c r="P50" s="24" t="str">
        <x:v>Bench; dumbbells</x:v>
      </x:c>
      <x:c r="Q50" s="24" t="str">
        <x:v>2–3 × 8–12 controlled reps</x:v>
      </x:c>
      <x:c r="R50" s="24" t="str">
        <x:v>Progress gradually; stop with sharp pain, dizziness, or numbness.</x:v>
      </x:c>
      <x:c r="S50" s="24" t="str">
        <x:v>https://www.acsm.org/education-resources/trending-topics-resources/physical-activity-guidelines</x:v>
      </x:c>
      <x:c r="T50" s="24" t="str">
        <x:v>Anatomy-based mapping</x:v>
      </x:c>
    </x:row>
    <x:row r="51" ht="54" customHeight="1">
      <x:c r="A51" s="24" t="str">
        <x:v>EX0048</x:v>
      </x:c>
      <x:c r="B51" s="24" t="str">
        <x:v>Hammer curl with backpack</x:v>
      </x:c>
      <x:c r="C51" s="24" t="str">
        <x:v>Arm</x:v>
      </x:c>
      <x:c r="D51" s="24" t="str">
        <x:v>Home</x:v>
      </x:c>
      <x:c r="E51" s="24" t="str">
        <x:v>Compound strength</x:v>
      </x:c>
      <x:c r="F51" s="24" t="str">
        <x:v>Brachioradialis; Brachialis; Biceps brachii long head; Biceps brachii short head</x:v>
      </x:c>
      <x:c r="G51" s="24" t="str">
        <x:v>—</x:v>
      </x:c>
      <x:c r="H51" s="24" t="str">
        <x:v>Flexor carpi radialis; Flexor carpi ulnaris humeral head; Flexor carpi ulnaris ulnar head; Palmaris longus</x:v>
      </x:c>
      <x:c r="I51" s="24" t="str">
        <x:v>—</x:v>
      </x:c>
      <x:c r="J51" s="24" t="str">
        <x:v>Brachioradialis; Brachialis; Biceps brachii long head; Biceps brachii short head; Flexor carpi radialis; Flexor carpi ulnaris humeral head; Flexor carpi ulnaris ulnar head; Palmaris longus</x:v>
      </x:c>
      <x:c r="K51" s="24" t="str">
        <x:v>Atlas-listed tendon/aponeurosis examples: Distal brachioradialis tendon; Brachialis insertion tendon; Long-head proximal tendon; distal biceps tendon; bicipital aponeurosis; Conjoined proximal tendon; common distal biceps tendon</x:v>
      </x:c>
      <x:c r="L51" s="24" t="str">
        <x:v>Elbow collateral ligaments stabilize elbow; NOT a stretch target</x:v>
      </x:c>
      <x:c r="M51" s="24" t="str">
        <x:v>Muscles: Brachioradialis; Brachialis; Biceps brachii long head; Biceps brachii short head; Flexor carpi radialis; Flexor carpi ulnaris humeral head; Flexor carpi ulnaris ulnar head; Palmaris longus | Tendons/fascia: Atlas-listed tendon/aponeurosis examples: Distal brachioradialis tendon; Brachialis insertion tendon; Long-head proximal tendon; distal biceps tendon; bicipital aponeurosis; Conjoined proximal tendon; common distal biceps tendon | Ligament context only: Elbow collateral ligaments stabilize elbow; NOT a stretch target</x:v>
      </x:c>
      <x:c r="N51" s="24" t="str">
        <x:v>Brachioradialis; Brachialis; Biceps brachii long head; Biceps brachii short head</x:v>
      </x:c>
      <x:c r="O51" s="24" t="str">
        <x:v>Hold handle with neutral thumb-up grip and flex elbows.</x:v>
      </x:c>
      <x:c r="P51" s="24" t="str">
        <x:v>Backpack</x:v>
      </x:c>
      <x:c r="Q51" s="24" t="str">
        <x:v>2–3 × 8–12 controlled reps</x:v>
      </x:c>
      <x:c r="R51" s="24" t="str">
        <x:v>Progress gradually; stop with sharp pain, dizziness, or numbness.</x:v>
      </x:c>
      <x:c r="S51" s="24" t="str">
        <x:v>https://www.acsm.org/education-resources/trending-topics-resources/physical-activity-guidelines</x:v>
      </x:c>
      <x:c r="T51" s="24" t="str">
        <x:v>Anatomy-based mapping</x:v>
      </x:c>
    </x:row>
    <x:row r="52" ht="54" customHeight="1">
      <x:c r="A52" s="24" t="str">
        <x:v>EX0049</x:v>
      </x:c>
      <x:c r="B52" s="24" t="str">
        <x:v>Hammer curl dumbbells</x:v>
      </x:c>
      <x:c r="C52" s="24" t="str">
        <x:v>Arm</x:v>
      </x:c>
      <x:c r="D52" s="24" t="str">
        <x:v>Gym</x:v>
      </x:c>
      <x:c r="E52" s="24" t="str">
        <x:v>Isolation strength</x:v>
      </x:c>
      <x:c r="F52" s="24" t="str">
        <x:v>Brachioradialis; Brachialis; Biceps brachii long head; Biceps brachii short head</x:v>
      </x:c>
      <x:c r="G52" s="24" t="str">
        <x:v>—</x:v>
      </x:c>
      <x:c r="H52" s="24" t="str">
        <x:v>Flexor carpi radialis; Flexor carpi ulnaris humeral head; Flexor carpi ulnaris ulnar head; Palmaris longus</x:v>
      </x:c>
      <x:c r="I52" s="24" t="str">
        <x:v>—</x:v>
      </x:c>
      <x:c r="J52" s="24" t="str">
        <x:v>Brachioradialis; Brachialis; Biceps brachii long head; Biceps brachii short head; Flexor carpi radialis; Flexor carpi ulnaris humeral head; Flexor carpi ulnaris ulnar head; Palmaris longus</x:v>
      </x:c>
      <x:c r="K52" s="24" t="str">
        <x:v>Atlas-listed tendon/aponeurosis examples: Distal brachioradialis tendon; Brachialis insertion tendon; Long-head proximal tendon; distal biceps tendon; bicipital aponeurosis; Conjoined proximal tendon; common distal biceps tendon</x:v>
      </x:c>
      <x:c r="L52" s="24" t="str">
        <x:v>Elbow collateral ligaments stabilize elbow; NOT a stretch target</x:v>
      </x:c>
      <x:c r="M52" s="24" t="str">
        <x:v>Muscles: Brachioradialis; Brachialis; Biceps brachii long head; Biceps brachii short head; Flexor carpi radialis; Flexor carpi ulnaris humeral head; Flexor carpi ulnaris ulnar head; Palmaris longus | Tendons/fascia: Atlas-listed tendon/aponeurosis examples: Distal brachioradialis tendon; Brachialis insertion tendon; Long-head proximal tendon; distal biceps tendon; bicipital aponeurosis; Conjoined proximal tendon; common distal biceps tendon | Ligament context only: Elbow collateral ligaments stabilize elbow; NOT a stretch target</x:v>
      </x:c>
      <x:c r="N52" s="24" t="str">
        <x:v>Brachioradialis; Brachialis; Biceps brachii long head; Biceps brachii short head</x:v>
      </x:c>
      <x:c r="O52" s="24" t="str">
        <x:v>Curl with palms facing in; avoid swinging trunk.</x:v>
      </x:c>
      <x:c r="P52" s="24" t="str">
        <x:v>Dumbbells</x:v>
      </x:c>
      <x:c r="Q52" s="24" t="str">
        <x:v>2–3 × 8–12 controlled reps</x:v>
      </x:c>
      <x:c r="R52" s="24" t="str">
        <x:v>Progress gradually; stop with sharp pain, dizziness, or numbness.</x:v>
      </x:c>
      <x:c r="S52" s="24" t="str">
        <x:v>https://www.acsm.org/education-resources/trending-topics-resources/physical-activity-guidelines</x:v>
      </x:c>
      <x:c r="T52" s="24" t="str">
        <x:v>Anatomy-based mapping</x:v>
      </x:c>
    </x:row>
    <x:row r="53" ht="54" customHeight="1">
      <x:c r="A53" s="24" t="str">
        <x:v>EX0050</x:v>
      </x:c>
      <x:c r="B53" s="24" t="str">
        <x:v>Reverse curl band</x:v>
      </x:c>
      <x:c r="C53" s="24" t="str">
        <x:v>Arm</x:v>
      </x:c>
      <x:c r="D53" s="24" t="str">
        <x:v>Home</x:v>
      </x:c>
      <x:c r="E53" s="24" t="str">
        <x:v>Band strength</x:v>
      </x:c>
      <x:c r="F53" s="24" t="str">
        <x:v>Brachioradialis; Brachialis</x:v>
      </x:c>
      <x:c r="G53" s="24" t="str">
        <x:v>Biceps brachii long head; Biceps brachii short head; Extensor carpi ulnaris; Extensor carpi radialis brevis; Extensor carpi radialis longus</x:v>
      </x:c>
      <x:c r="H53" s="24" t="str">
        <x:v>—</x:v>
      </x:c>
      <x:c r="I53" s="24" t="str">
        <x:v>—</x:v>
      </x:c>
      <x:c r="J53" s="24" t="str">
        <x:v>Brachioradialis; Brachialis; Biceps brachii long head; Biceps brachii short head; Extensor carpi ulnaris; Extensor carpi radialis brevis; Extensor carpi radialis longus</x:v>
      </x:c>
      <x:c r="K53" s="24" t="str">
        <x:v>Atlas-listed tendon/aponeurosis examples: Distal brachioradialis tendon; Brachialis insertion tendon; Long-head proximal tendon; distal biceps tendon; bicipital aponeurosis; Conjoined proximal tendon; common distal biceps tendon; additional listed attachments</x:v>
      </x:c>
      <x:c r="L53" s="24" t="str">
        <x:v>Elbow collateral ligaments stabilize elbow; NOT a stretch target</x:v>
      </x:c>
      <x:c r="M53" s="24" t="str">
        <x:v>Muscles: Brachioradialis; Brachialis; Biceps brachii long head; Biceps brachii short head; Extensor carpi ulnaris; Extensor carpi radialis brevis; Extensor carpi radialis longus | Tendons/fascia: Atlas-listed tendon/aponeurosis examples: Distal brachioradialis tendon; Brachialis insertion tendon; Long-head proximal tendon; distal biceps tendon; bicipital aponeurosis; Conjoined proximal tendon; common distal biceps tendon; additional listed attachments | Ligament context only: Elbow collateral ligaments stabilize elbow; NOT a stretch target</x:v>
      </x:c>
      <x:c r="N53" s="24" t="str">
        <x:v>Brachioradialis; Brachialis; Biceps brachii long head; Biceps brachii short head; Extensor carpi ulnaris; Extensor carpi radialis brevis; Extensor carpi radialis longus</x:v>
      </x:c>
      <x:c r="O53" s="24" t="str">
        <x:v>Curl with knuckles up and elbows at sides.</x:v>
      </x:c>
      <x:c r="P53" s="24" t="str">
        <x:v>Band</x:v>
      </x:c>
      <x:c r="Q53" s="24" t="str">
        <x:v>2–3 × 8–12 controlled reps</x:v>
      </x:c>
      <x:c r="R53" s="24" t="str">
        <x:v>Progress gradually; stop with sharp pain, dizziness, or numbness.</x:v>
      </x:c>
      <x:c r="S53" s="24" t="str">
        <x:v>https://www.acsm.org/education-resources/trending-topics-resources/physical-activity-guidelines</x:v>
      </x:c>
      <x:c r="T53" s="24" t="str">
        <x:v>Anatomy-based mapping</x:v>
      </x:c>
    </x:row>
    <x:row r="54" ht="54" customHeight="1">
      <x:c r="A54" s="24" t="str">
        <x:v>EX0051</x:v>
      </x:c>
      <x:c r="B54" s="24" t="str">
        <x:v>Preacher curl</x:v>
      </x:c>
      <x:c r="C54" s="24" t="str">
        <x:v>Arm</x:v>
      </x:c>
      <x:c r="D54" s="24" t="str">
        <x:v>Gym</x:v>
      </x:c>
      <x:c r="E54" s="24" t="str">
        <x:v>Isolation strength</x:v>
      </x:c>
      <x:c r="F54" s="24" t="str">
        <x:v>Biceps brachii long head; Biceps brachii short head; Brachialis</x:v>
      </x:c>
      <x:c r="G54" s="24" t="str">
        <x:v>Brachioradialis</x:v>
      </x:c>
      <x:c r="H54" s="24" t="str">
        <x:v>—</x:v>
      </x:c>
      <x:c r="I54" s="24" t="str">
        <x:v>—</x:v>
      </x:c>
      <x:c r="J54" s="24" t="str">
        <x:v>Biceps brachii long head; Biceps brachii short head; Brachialis; Brachioradialis</x:v>
      </x:c>
      <x:c r="K54" s="24" t="str">
        <x:v>Atlas-listed tendon/aponeurosis examples: Long-head proximal tendon; distal biceps tendon; bicipital aponeurosis; Conjoined proximal tendon; common distal biceps tendon; Brachialis insertion tendon; Distal brachioradialis tendon</x:v>
      </x:c>
      <x:c r="L54" s="24" t="str">
        <x:v>Elbow collateral ligaments stabilize elbow; NOT a stretch target</x:v>
      </x:c>
      <x:c r="M54" s="24" t="str">
        <x:v>Muscles: Biceps brachii long head; Biceps brachii short head; Brachialis; Brachioradialis | Tendons/fascia: Atlas-listed tendon/aponeurosis examples: Long-head proximal tendon; distal biceps tendon; bicipital aponeurosis; Conjoined proximal tendon; common distal biceps tendon; Brachialis insertion tendon; Distal brachioradialis tendon | Ligament context only: Elbow collateral ligaments stabilize elbow; NOT a stretch target</x:v>
      </x:c>
      <x:c r="N54" s="24" t="str">
        <x:v>Biceps brachii long head; Biceps brachii short head; Brachialis; Brachioradialis</x:v>
      </x:c>
      <x:c r="O54" s="24" t="str">
        <x:v>Support upper arms on sloped pad, flex elbows without locking out hard.</x:v>
      </x:c>
      <x:c r="P54" s="24" t="str">
        <x:v>Preacher bench; dumbbell</x:v>
      </x:c>
      <x:c r="Q54" s="24" t="str">
        <x:v>2–3 × 8–12 controlled reps</x:v>
      </x:c>
      <x:c r="R54" s="24" t="str">
        <x:v>Progress gradually; stop with sharp pain, dizziness, or numbness.</x:v>
      </x:c>
      <x:c r="S54" s="24" t="str">
        <x:v>https://www.acsm.org/education-resources/trending-topics-resources/physical-activity-guidelines</x:v>
      </x:c>
      <x:c r="T54" s="24" t="str">
        <x:v>Anatomy-based mapping</x:v>
      </x:c>
    </x:row>
    <x:row r="55" ht="54" customHeight="1">
      <x:c r="A55" s="24" t="str">
        <x:v>EX0052</x:v>
      </x:c>
      <x:c r="B55" s="24" t="str">
        <x:v>Band triceps press-down</x:v>
      </x:c>
      <x:c r="C55" s="24" t="str">
        <x:v>Arm</x:v>
      </x:c>
      <x:c r="D55" s="24" t="str">
        <x:v>Home</x:v>
      </x:c>
      <x:c r="E55" s="24" t="str">
        <x:v>Band strength</x:v>
      </x:c>
      <x:c r="F55" s="24" t="str">
        <x:v>Triceps brachii lateral head; Triceps brachii long head; Triceps brachii medial head; Anconeus</x:v>
      </x:c>
      <x:c r="G55" s="24" t="str">
        <x:v>Articularis cubiti</x:v>
      </x:c>
      <x:c r="H55" s="24" t="str">
        <x:v>Rectus abdominis; External oblique; Internal oblique; Transversus abdominis</x:v>
      </x:c>
      <x:c r="I55" s="24" t="str">
        <x:v>—</x:v>
      </x:c>
      <x:c r="J55" s="24" t="str">
        <x:v>Triceps brachii lateral head; Triceps brachii long head; Triceps brachii medial head; Anconeus; Articularis cubiti; Rectus abdominis; External oblique; Internal oblique; Transversus abdominis</x:v>
      </x:c>
      <x:c r="K55" s="24" t="str">
        <x:v>Triceps tendon</x:v>
      </x:c>
      <x:c r="L55" s="24" t="str">
        <x:v>Elbow collateral ligaments stabilize elbow; NOT a stretch target</x:v>
      </x:c>
      <x:c r="M55" s="24" t="str">
        <x:v>Muscles: Triceps brachii lateral head; Triceps brachii long head; Triceps brachii medial head; Anconeus; Articularis cubiti; Rectus abdominis; External oblique; Internal oblique; Transversus abdominis | Tendons/fascia: Triceps tendon | Ligament context only: Elbow collateral ligaments stabilize elbow; NOT a stretch target</x:v>
      </x:c>
      <x:c r="N55" s="24" t="str">
        <x:v>Triceps brachii lateral head; Triceps brachii long head; Triceps brachii medial head; Anconeus; Articularis cubiti</x:v>
      </x:c>
      <x:c r="O55" s="24" t="str">
        <x:v>Fix band overhead; extend elbows while keeping upper arms stationary.</x:v>
      </x:c>
      <x:c r="P55" s="24" t="str">
        <x:v>Band; secure high anchor</x:v>
      </x:c>
      <x:c r="Q55" s="24" t="str">
        <x:v>2–3 × 8–12 controlled reps</x:v>
      </x:c>
      <x:c r="R55" s="24" t="str">
        <x:v>Progress gradually; stop with sharp pain, dizziness, or numbness.</x:v>
      </x:c>
      <x:c r="S55" s="24" t="str">
        <x:v>https://www.acsm.org/education-resources/trending-topics-resources/physical-activity-guidelines</x:v>
      </x:c>
      <x:c r="T55" s="24" t="str">
        <x:v>Anatomy-based mapping</x:v>
      </x:c>
    </x:row>
    <x:row r="56" ht="54" customHeight="1">
      <x:c r="A56" s="24" t="str">
        <x:v>EX0053</x:v>
      </x:c>
      <x:c r="B56" s="24" t="str">
        <x:v>Overhead band triceps extension</x:v>
      </x:c>
      <x:c r="C56" s="24" t="str">
        <x:v>Arm</x:v>
      </x:c>
      <x:c r="D56" s="24" t="str">
        <x:v>Home</x:v>
      </x:c>
      <x:c r="E56" s="24" t="str">
        <x:v>Band strength</x:v>
      </x:c>
      <x:c r="F56" s="24" t="str">
        <x:v>Triceps brachii lateral head; Triceps brachii long head; Triceps brachii medial head</x:v>
      </x:c>
      <x:c r="G56" s="24" t="str">
        <x:v>Anconeus</x:v>
      </x:c>
      <x:c r="H56" s="24" t="str">
        <x:v>Rectus abdominis; External oblique; Internal oblique; Transversus abdominis</x:v>
      </x:c>
      <x:c r="I56" s="24" t="str">
        <x:v>—</x:v>
      </x:c>
      <x:c r="J56" s="24" t="str">
        <x:v>Triceps brachii lateral head; Triceps brachii long head; Triceps brachii medial head; Anconeus; Rectus abdominis; External oblique; Internal oblique; Transversus abdominis</x:v>
      </x:c>
      <x:c r="K56" s="24" t="str">
        <x:v>Triceps tendon</x:v>
      </x:c>
      <x:c r="L56" s="24" t="str">
        <x:v>Elbow collateral ligaments stabilize elbow; NOT a stretch target</x:v>
      </x:c>
      <x:c r="M56" s="24" t="str">
        <x:v>Muscles: Triceps brachii lateral head; Triceps brachii long head; Triceps brachii medial head; Anconeus; Rectus abdominis; External oblique; Internal oblique; Transversus abdominis | Tendons/fascia: Triceps tendon | Ligament context only: Elbow collateral ligaments stabilize elbow; NOT a stretch target</x:v>
      </x:c>
      <x:c r="N56" s="24" t="str">
        <x:v>Triceps brachii lateral head; Triceps brachii long head; Triceps brachii medial head; Anconeus</x:v>
      </x:c>
      <x:c r="O56" s="24" t="str">
        <x:v>With band anchored low or behind, extend bent elbows overhead.</x:v>
      </x:c>
      <x:c r="P56" s="24" t="str">
        <x:v>Band</x:v>
      </x:c>
      <x:c r="Q56" s="24" t="str">
        <x:v>2–3 × 8–12 controlled reps</x:v>
      </x:c>
      <x:c r="R56" s="24" t="str">
        <x:v>Progress gradually; stop with sharp pain, dizziness, or numbness.</x:v>
      </x:c>
      <x:c r="S56" s="24" t="str">
        <x:v>https://www.acsm.org/education-resources/trending-topics-resources/physical-activity-guidelines</x:v>
      </x:c>
      <x:c r="T56" s="24" t="str">
        <x:v>Anatomy-based mapping</x:v>
      </x:c>
    </x:row>
    <x:row r="57" ht="54" customHeight="1">
      <x:c r="A57" s="24" t="str">
        <x:v>EX0054</x:v>
      </x:c>
      <x:c r="B57" s="24" t="str">
        <x:v>Cable triceps press-down</x:v>
      </x:c>
      <x:c r="C57" s="24" t="str">
        <x:v>Arm</x:v>
      </x:c>
      <x:c r="D57" s="24" t="str">
        <x:v>Gym</x:v>
      </x:c>
      <x:c r="E57" s="24" t="str">
        <x:v>Isolation strength</x:v>
      </x:c>
      <x:c r="F57" s="24" t="str">
        <x:v>Triceps brachii lateral head; Triceps brachii long head; Triceps brachii medial head</x:v>
      </x:c>
      <x:c r="G57" s="24" t="str">
        <x:v>Anconeus</x:v>
      </x:c>
      <x:c r="H57" s="24" t="str">
        <x:v>—</x:v>
      </x:c>
      <x:c r="I57" s="24" t="str">
        <x:v>—</x:v>
      </x:c>
      <x:c r="J57" s="24" t="str">
        <x:v>Triceps brachii lateral head; Triceps brachii long head; Triceps brachii medial head; Anconeus</x:v>
      </x:c>
      <x:c r="K57" s="24" t="str">
        <x:v>Triceps tendon</x:v>
      </x:c>
      <x:c r="L57" s="24" t="str">
        <x:v>Elbow collateral ligaments stabilize elbow; NOT a stretch target</x:v>
      </x:c>
      <x:c r="M57" s="24" t="str">
        <x:v>Muscles: Triceps brachii lateral head; Triceps brachii long head; Triceps brachii medial head; Anconeus | Tendons/fascia: Triceps tendon | Ligament context only: Elbow collateral ligaments stabilize elbow; NOT a stretch target</x:v>
      </x:c>
      <x:c r="N57" s="24" t="str">
        <x:v>Triceps brachii lateral head; Triceps brachii long head; Triceps brachii medial head; Anconeus</x:v>
      </x:c>
      <x:c r="O57" s="24" t="str">
        <x:v>Extend elbows against cable while upper arms stay near sides.</x:v>
      </x:c>
      <x:c r="P57" s="24" t="str">
        <x:v>Cable; rope</x:v>
      </x:c>
      <x:c r="Q57" s="24" t="str">
        <x:v>2–3 × 8–12 controlled reps</x:v>
      </x:c>
      <x:c r="R57" s="24" t="str">
        <x:v>Progress gradually; stop with sharp pain, dizziness, or numbness.</x:v>
      </x:c>
      <x:c r="S57" s="24" t="str">
        <x:v>https://www.acsm.org/education-resources/trending-topics-resources/physical-activity-guidelines</x:v>
      </x:c>
      <x:c r="T57" s="24" t="str">
        <x:v>Anatomy-based mapping</x:v>
      </x:c>
    </x:row>
    <x:row r="58" ht="54" customHeight="1">
      <x:c r="A58" s="24" t="str">
        <x:v>EX0055</x:v>
      </x:c>
      <x:c r="B58" s="24" t="str">
        <x:v>Lying dumbbell skull crusher</x:v>
      </x:c>
      <x:c r="C58" s="24" t="str">
        <x:v>Arm</x:v>
      </x:c>
      <x:c r="D58" s="24" t="str">
        <x:v>Gym</x:v>
      </x:c>
      <x:c r="E58" s="24" t="str">
        <x:v>Isolation strength</x:v>
      </x:c>
      <x:c r="F58" s="24" t="str">
        <x:v>Triceps brachii lateral head; Triceps brachii long head; Triceps brachii medial head</x:v>
      </x:c>
      <x:c r="G58" s="24" t="str">
        <x:v>Anconeus</x:v>
      </x:c>
      <x:c r="H58" s="24" t="str">
        <x:v>Infraspinatus; Subscapularis; Supraspinatus; Teres minor</x:v>
      </x:c>
      <x:c r="I58" s="24" t="str">
        <x:v>—</x:v>
      </x:c>
      <x:c r="J58" s="24" t="str">
        <x:v>Triceps brachii lateral head; Triceps brachii long head; Triceps brachii medial head; Anconeus; Infraspinatus; Subscapularis; Supraspinatus; Teres minor</x:v>
      </x:c>
      <x:c r="K58" s="24" t="str">
        <x:v>Triceps tendon</x:v>
      </x:c>
      <x:c r="L58" s="24" t="str">
        <x:v>Elbow collateral ligaments stabilize elbow; NOT a stretch target</x:v>
      </x:c>
      <x:c r="M58" s="24" t="str">
        <x:v>Muscles: Triceps brachii lateral head; Triceps brachii long head; Triceps brachii medial head; Anconeus; Infraspinatus; Subscapularis; Supraspinatus; Teres minor | Tendons/fascia: Triceps tendon | Ligament context only: Elbow collateral ligaments stabilize elbow; NOT a stretch target</x:v>
      </x:c>
      <x:c r="N58" s="24" t="str">
        <x:v>Triceps brachii lateral head; Triceps brachii long head; Triceps brachii medial head; Anconeus</x:v>
      </x:c>
      <x:c r="O58" s="24" t="str">
        <x:v>Lower dumbbells beside head by bending elbows; extend without shoulder swing.</x:v>
      </x:c>
      <x:c r="P58" s="24" t="str">
        <x:v>Bench; dumbbells</x:v>
      </x:c>
      <x:c r="Q58" s="24" t="str">
        <x:v>2–3 × 8–12 controlled reps</x:v>
      </x:c>
      <x:c r="R58" s="24" t="str">
        <x:v>Progress gradually; stop with sharp pain, dizziness, or numbness.</x:v>
      </x:c>
      <x:c r="S58" s="24" t="str">
        <x:v>https://www.acsm.org/education-resources/trending-topics-resources/physical-activity-guidelines</x:v>
      </x:c>
      <x:c r="T58" s="24" t="str">
        <x:v>Anatomy-based mapping</x:v>
      </x:c>
    </x:row>
    <x:row r="59" ht="54" customHeight="1">
      <x:c r="A59" s="24" t="str">
        <x:v>EX0056</x:v>
      </x:c>
      <x:c r="B59" s="24" t="str">
        <x:v>Chair-assisted triceps dip (partial)</x:v>
      </x:c>
      <x:c r="C59" s="24" t="str">
        <x:v>Arm</x:v>
      </x:c>
      <x:c r="D59" s="24" t="str">
        <x:v>Home</x:v>
      </x:c>
      <x:c r="E59" s="24" t="str">
        <x:v>Compound strength</x:v>
      </x:c>
      <x:c r="F59" s="24" t="str">
        <x:v>Triceps brachii lateral head; Triceps brachii long head; Triceps brachii medial head</x:v>
      </x:c>
      <x:c r="G59" s="24" t="str">
        <x:v>Pectoralis major; Deltoid; Supraspinatus</x:v>
      </x:c>
      <x:c r="H59" s="24" t="str">
        <x:v>Infraspinatus; Subscapularis; Teres minor</x:v>
      </x:c>
      <x:c r="I59" s="24" t="str">
        <x:v>—</x:v>
      </x:c>
      <x:c r="J59" s="24" t="str">
        <x:v>Triceps brachii lateral head; Triceps brachii long head; Triceps brachii medial head; Pectoralis major; Deltoid; Supraspinatus; Infraspinatus; Subscapularis; Teres minor</x:v>
      </x:c>
      <x:c r="K59" s="24" t="str">
        <x:v>Triceps tendon</x:v>
      </x:c>
      <x:c r="L59" s="24" t="str">
        <x:v>Anterior shoulder capsule can be stressed; avoid deep dips</x:v>
      </x:c>
      <x:c r="M59" s="24" t="str">
        <x:v>Muscles: Triceps brachii lateral head; Triceps brachii long head; Triceps brachii medial head; Pectoralis major; Deltoid; Supraspinatus; Infraspinatus; Subscapularis; Teres minor | Tendons/fascia: Triceps tendon | Ligament context only: Anterior shoulder capsule can be stressed; avoid deep dips</x:v>
      </x:c>
      <x:c r="N59" s="24" t="str">
        <x:v>Triceps brachii lateral head; Triceps brachii long head; Triceps brachii medial head; Pectoralis major; Deltoid; Supraspinatus</x:v>
      </x:c>
      <x:c r="O59" s="24" t="str">
        <x:v>Hands supported on sturdy chair, knees bent; bend elbows minimally then press.</x:v>
      </x:c>
      <x:c r="P59" s="24" t="str">
        <x:v>Sturdy chair</x:v>
      </x:c>
      <x:c r="Q59" s="24" t="str">
        <x:v>2–3 × 8–12 controlled reps</x:v>
      </x:c>
      <x:c r="R59" s="24" t="str">
        <x:v>Avoid if shoulder instability or front-of-shoulder pain.</x:v>
      </x:c>
      <x:c r="S59" s="24" t="str">
        <x:v>https://www.acsm.org/education-resources/trending-topics-resources/physical-activity-guidelines</x:v>
      </x:c>
      <x:c r="T59" s="24" t="str">
        <x:v>Anatomy-based mapping</x:v>
      </x:c>
    </x:row>
    <x:row r="60" ht="54" customHeight="1">
      <x:c r="A60" s="24" t="str">
        <x:v>EX0057</x:v>
      </x:c>
      <x:c r="B60" s="24" t="str">
        <x:v>Band elbow flexion isometric at 90 degrees</x:v>
      </x:c>
      <x:c r="C60" s="24" t="str">
        <x:v>Arm</x:v>
      </x:c>
      <x:c r="D60" s="24" t="str">
        <x:v>Home</x:v>
      </x:c>
      <x:c r="E60" s="24" t="str">
        <x:v>Isometric strength</x:v>
      </x:c>
      <x:c r="F60" s="24" t="str">
        <x:v>Biceps brachii long head; Biceps brachii short head; Brachialis; Brachioradialis</x:v>
      </x:c>
      <x:c r="G60" s="24" t="str">
        <x:v>—</x:v>
      </x:c>
      <x:c r="H60" s="24" t="str">
        <x:v>Flexor carpi radialis; Flexor carpi ulnaris humeral head; Flexor carpi ulnaris ulnar head; Palmaris longus</x:v>
      </x:c>
      <x:c r="I60" s="24" t="str">
        <x:v>—</x:v>
      </x:c>
      <x:c r="J60" s="24" t="str">
        <x:v>Biceps brachii long head; Biceps brachii short head; Brachialis; Brachioradialis; Flexor carpi radialis; Flexor carpi ulnaris humeral head; Flexor carpi ulnaris ulnar head; Palmaris longus</x:v>
      </x:c>
      <x:c r="K60" s="24" t="str">
        <x:v>Atlas-listed tendon/aponeurosis examples: Long-head proximal tendon; distal biceps tendon; bicipital aponeurosis; Conjoined proximal tendon; common distal biceps tendon; Brachialis insertion tendon; Distal brachioradialis tendon</x:v>
      </x:c>
      <x:c r="L60" s="24" t="str">
        <x:v>Elbow collateral ligaments stabilize elbow; NOT a stretch target</x:v>
      </x:c>
      <x:c r="M60" s="24" t="str">
        <x:v>Muscles: Biceps brachii long head; Biceps brachii short head; Brachialis; Brachioradialis; Flexor carpi radialis; Flexor carpi ulnaris humeral head; Flexor carpi ulnaris ulnar head; Palmaris longus | Tendons/fascia: Atlas-listed tendon/aponeurosis examples: Long-head proximal tendon; distal biceps tendon; bicipital aponeurosis; Conjoined proximal tendon; common distal biceps tendon; Brachialis insertion tendon; Distal brachioradialis tendon | Ligament context only: Elbow collateral ligaments stabilize elbow; NOT a stretch target</x:v>
      </x:c>
      <x:c r="N60" s="24" t="str">
        <x:v>Biceps brachii long head; Biceps brachii short head; Brachialis; Brachioradialis</x:v>
      </x:c>
      <x:c r="O60" s="24" t="str">
        <x:v>Hold bent elbow at 90° against moderate band tension.</x:v>
      </x:c>
      <x:c r="P60" s="24" t="str">
        <x:v>Band</x:v>
      </x:c>
      <x:c r="Q60" s="24" t="str">
        <x:v>2–3 × 8–12 controlled reps</x:v>
      </x:c>
      <x:c r="R60" s="24" t="str">
        <x:v>Progress gradually; stop with sharp pain, dizziness, or numbness.</x:v>
      </x:c>
      <x:c r="S60" s="24" t="str">
        <x:v>https://www.acsm.org/education-resources/trending-topics-resources/physical-activity-guidelines</x:v>
      </x:c>
      <x:c r="T60" s="24" t="str">
        <x:v>Anatomy-based mapping</x:v>
      </x:c>
    </x:row>
    <x:row r="61" ht="54" customHeight="1">
      <x:c r="A61" s="24" t="str">
        <x:v>EX0058</x:v>
      </x:c>
      <x:c r="B61" s="24" t="str">
        <x:v>Forearm rotation: resisted pronation</x:v>
      </x:c>
      <x:c r="C61" s="24" t="str">
        <x:v>Arm</x:v>
      </x:c>
      <x:c r="D61" s="24" t="str">
        <x:v>Home</x:v>
      </x:c>
      <x:c r="E61" s="24" t="str">
        <x:v>Band strength</x:v>
      </x:c>
      <x:c r="F61" s="24" t="str">
        <x:v>Pronator quadratus; Pronator teres humeral head; Pronator teres ulnar head</x:v>
      </x:c>
      <x:c r="G61" s="24" t="str">
        <x:v>Flexor carpi radialis; Flexor carpi ulnaris humeral head; Flexor carpi ulnaris ulnar head; Palmaris longus</x:v>
      </x:c>
      <x:c r="H61" s="24" t="str">
        <x:v>Biceps brachii long head; Biceps brachii short head; Brachialis; Brachioradialis</x:v>
      </x:c>
      <x:c r="I61" s="24" t="str">
        <x:v>—</x:v>
      </x:c>
      <x:c r="J61" s="24" t="str">
        <x:v>Pronator quadratus; Pronator teres humeral head; Pronator teres ulnar head; Flexor carpi radialis; Flexor carpi ulnaris humeral head; Flexor carpi ulnaris ulnar head; Palmaris longus; Biceps brachii long head; Biceps brachii short head; Brachialis; Brachioradialis</x:v>
      </x:c>
      <x:c r="K61" s="24" t="str">
        <x:v>Atlas-listed tendon/aponeurosis examples: Broad muscular insertion (no distinct long tendon); Common flexor tendon; Short insertion tendon; FCR tendon through own fibro-osseous tunnel; additional listed attachments</x:v>
      </x:c>
      <x:c r="L61" s="24" t="str">
        <x:v>Elbow collateral ligaments stabilize elbow; NOT a stretch target</x:v>
      </x:c>
      <x:c r="M61" s="24" t="str">
        <x:v>Muscles: Pronator quadratus; Pronator teres humeral head; Pronator teres ulnar head; Flexor carpi radialis; Flexor carpi ulnaris humeral head; Flexor carpi ulnaris ulnar head; Palmaris longus; Biceps brachii long head; Biceps brachii short head; Brachialis; Brachioradialis | Tendons/fascia: Atlas-listed tendon/aponeurosis examples: Broad muscular insertion (no distinct long tendon); Common flexor tendon; Short insertion tendon; FCR tendon through own fibro-osseous tunnel; additional listed attachments | Ligament context only: Elbow collateral ligaments stabilize elbow; NOT a stretch target</x:v>
      </x:c>
      <x:c r="N61" s="24" t="str">
        <x:v>Pronator quadratus; Pronator teres humeral head; Pronator teres ulnar head; Flexor carpi radialis; Flexor carpi ulnaris humeral head; Flexor carpi ulnaris ulnar head; Palmaris longus</x:v>
      </x:c>
      <x:c r="O61" s="24" t="str">
        <x:v>With elbow at 90°, rotate palm down against a light band.</x:v>
      </x:c>
      <x:c r="P61" s="24" t="str">
        <x:v>Light band</x:v>
      </x:c>
      <x:c r="Q61" s="24" t="str">
        <x:v>2–3 × 8–12 controlled reps</x:v>
      </x:c>
      <x:c r="R61" s="24" t="str">
        <x:v>Progress gradually; stop with sharp pain, dizziness, or numbness.</x:v>
      </x:c>
      <x:c r="S61" s="24" t="str">
        <x:v>https://www.acsm.org/education-resources/trending-topics-resources/physical-activity-guidelines</x:v>
      </x:c>
      <x:c r="T61" s="24" t="str">
        <x:v>Anatomy-based mapping</x:v>
      </x:c>
    </x:row>
    <x:row r="62" ht="54" customHeight="1">
      <x:c r="A62" s="24" t="str">
        <x:v>EX0059</x:v>
      </x:c>
      <x:c r="B62" s="24" t="str">
        <x:v>Forearm rotation: resisted supination</x:v>
      </x:c>
      <x:c r="C62" s="24" t="str">
        <x:v>Arm</x:v>
      </x:c>
      <x:c r="D62" s="24" t="str">
        <x:v>Home</x:v>
      </x:c>
      <x:c r="E62" s="24" t="str">
        <x:v>Band strength</x:v>
      </x:c>
      <x:c r="F62" s="24" t="str">
        <x:v>Supinator deep layer; Supinator superficial layer; Biceps brachii long head; Biceps brachii short head</x:v>
      </x:c>
      <x:c r="G62" s="24" t="str">
        <x:v>Brachioradialis</x:v>
      </x:c>
      <x:c r="H62" s="24" t="str">
        <x:v>Extensor carpi ulnaris; Extensor carpi radialis brevis; Extensor carpi radialis longus</x:v>
      </x:c>
      <x:c r="I62" s="24" t="str">
        <x:v>—</x:v>
      </x:c>
      <x:c r="J62" s="24" t="str">
        <x:v>Supinator deep layer; Supinator superficial layer; Biceps brachii long head; Biceps brachii short head; Brachioradialis; Extensor carpi ulnaris; Extensor carpi radialis brevis; Extensor carpi radialis longus</x:v>
      </x:c>
      <x:c r="K62" s="24" t="str">
        <x:v>Atlas-listed tendon/aponeurosis examples: Broad muscular insertion; Aponeurotic attachment; Long-head proximal tendon; distal biceps tendon; bicipital aponeurosis; Conjoined proximal tendon; common distal biceps tendon; additional listed attachments</x:v>
      </x:c>
      <x:c r="L62" s="24" t="str">
        <x:v>Elbow collateral ligaments stabilize elbow; NOT a stretch target</x:v>
      </x:c>
      <x:c r="M62" s="24" t="str">
        <x:v>Muscles: Supinator deep layer; Supinator superficial layer; Biceps brachii long head; Biceps brachii short head; Brachioradialis; Extensor carpi ulnaris; Extensor carpi radialis brevis; Extensor carpi radialis longus | Tendons/fascia: Atlas-listed tendon/aponeurosis examples: Broad muscular insertion; Aponeurotic attachment; Long-head proximal tendon; distal biceps tendon; bicipital aponeurosis; Conjoined proximal tendon; common distal biceps tendon; additional listed attachments | Ligament context only: Elbow collateral ligaments stabilize elbow; NOT a stretch target</x:v>
      </x:c>
      <x:c r="N62" s="24" t="str">
        <x:v>Supinator deep layer; Supinator superficial layer; Biceps brachii long head; Biceps brachii short head; Brachioradialis</x:v>
      </x:c>
      <x:c r="O62" s="24" t="str">
        <x:v>With elbow supported, rotate palm upward against a light band.</x:v>
      </x:c>
      <x:c r="P62" s="24" t="str">
        <x:v>Light band</x:v>
      </x:c>
      <x:c r="Q62" s="24" t="str">
        <x:v>2–3 × 8–12 controlled reps</x:v>
      </x:c>
      <x:c r="R62" s="24" t="str">
        <x:v>Progress gradually; stop with sharp pain, dizziness, or numbness.</x:v>
      </x:c>
      <x:c r="S62" s="24" t="str">
        <x:v>https://www.acsm.org/education-resources/trending-topics-resources/physical-activity-guidelines</x:v>
      </x:c>
      <x:c r="T62" s="24" t="str">
        <x:v>Anatomy-based mapping</x:v>
      </x:c>
    </x:row>
    <x:row r="63" ht="54" customHeight="1">
      <x:c r="A63" s="24" t="str">
        <x:v>EX0060</x:v>
      </x:c>
      <x:c r="B63" s="24" t="str">
        <x:v>Forearm pronation with light hammer</x:v>
      </x:c>
      <x:c r="C63" s="24" t="str">
        <x:v>Arm</x:v>
      </x:c>
      <x:c r="D63" s="24" t="str">
        <x:v>Home</x:v>
      </x:c>
      <x:c r="E63" s="24" t="str">
        <x:v>Isolation strength</x:v>
      </x:c>
      <x:c r="F63" s="24" t="str">
        <x:v>Pronator quadratus; Pronator teres humeral head; Pronator teres ulnar head</x:v>
      </x:c>
      <x:c r="G63" s="24" t="str">
        <x:v>—</x:v>
      </x:c>
      <x:c r="H63" s="24" t="str">
        <x:v>Extensor carpi ulnaris; Extensor carpi radialis brevis; Extensor carpi radialis longus</x:v>
      </x:c>
      <x:c r="I63" s="24" t="str">
        <x:v>—</x:v>
      </x:c>
      <x:c r="J63" s="24" t="str">
        <x:v>Pronator quadratus; Pronator teres humeral head; Pronator teres ulnar head; Extensor carpi ulnaris; Extensor carpi radialis brevis; Extensor carpi radialis longus</x:v>
      </x:c>
      <x:c r="K63" s="24" t="str">
        <x:v>Atlas-listed tendon/aponeurosis examples: Broad muscular insertion (no distinct long tendon); Common flexor tendon; Short insertion tendon</x:v>
      </x:c>
      <x:c r="L63" s="24" t="str">
        <x:v>Elbow collateral ligaments stabilize elbow; NOT a stretch target</x:v>
      </x:c>
      <x:c r="M63" s="24" t="str">
        <x:v>Muscles: Pronator quadratus; Pronator teres humeral head; Pronator teres ulnar head; Extensor carpi ulnaris; Extensor carpi radialis brevis; Extensor carpi radialis longus | Tendons/fascia: Atlas-listed tendon/aponeurosis examples: Broad muscular insertion (no distinct long tendon); Common flexor tendon; Short insertion tendon | Ligament context only: Elbow collateral ligaments stabilize elbow; NOT a stretch target</x:v>
      </x:c>
      <x:c r="N63" s="24" t="str">
        <x:v>Pronator quadratus; Pronator teres humeral head; Pronator teres ulnar head</x:v>
      </x:c>
      <x:c r="O63" s="24" t="str">
        <x:v>Hold hammer vertical by handle, slowly rotate palm down without elbow shift.</x:v>
      </x:c>
      <x:c r="P63" s="24" t="str">
        <x:v>Light hammer</x:v>
      </x:c>
      <x:c r="Q63" s="24" t="str">
        <x:v>2–3 × 8–12 controlled reps</x:v>
      </x:c>
      <x:c r="R63" s="24" t="str">
        <x:v>Progress gradually; stop with sharp pain, dizziness, or numbness.</x:v>
      </x:c>
      <x:c r="S63" s="24" t="str">
        <x:v>https://www.acsm.org/education-resources/trending-topics-resources/physical-activity-guidelines</x:v>
      </x:c>
      <x:c r="T63" s="24" t="str">
        <x:v>Anatomy-based mapping</x:v>
      </x:c>
    </x:row>
    <x:row r="64" ht="54" customHeight="1">
      <x:c r="A64" s="24" t="str">
        <x:v>EX0061</x:v>
      </x:c>
      <x:c r="B64" s="24" t="str">
        <x:v>Forearm supination with light hammer</x:v>
      </x:c>
      <x:c r="C64" s="24" t="str">
        <x:v>Arm</x:v>
      </x:c>
      <x:c r="D64" s="24" t="str">
        <x:v>Home</x:v>
      </x:c>
      <x:c r="E64" s="24" t="str">
        <x:v>Isolation strength</x:v>
      </x:c>
      <x:c r="F64" s="24" t="str">
        <x:v>Supinator deep layer; Supinator superficial layer; Biceps brachii long head; Biceps brachii short head</x:v>
      </x:c>
      <x:c r="G64" s="24" t="str">
        <x:v>—</x:v>
      </x:c>
      <x:c r="H64" s="24" t="str">
        <x:v>Extensor carpi ulnaris; Extensor carpi radialis brevis; Extensor carpi radialis longus</x:v>
      </x:c>
      <x:c r="I64" s="24" t="str">
        <x:v>—</x:v>
      </x:c>
      <x:c r="J64" s="24" t="str">
        <x:v>Supinator deep layer; Supinator superficial layer; Biceps brachii long head; Biceps brachii short head; Extensor carpi ulnaris; Extensor carpi radialis brevis; Extensor carpi radialis longus</x:v>
      </x:c>
      <x:c r="K64" s="24" t="str">
        <x:v>Atlas-listed tendon/aponeurosis examples: Broad muscular insertion; Aponeurotic attachment; Long-head proximal tendon; distal biceps tendon; bicipital aponeurosis; Conjoined proximal tendon; common distal biceps tendon</x:v>
      </x:c>
      <x:c r="L64" s="24" t="str">
        <x:v>Elbow collateral ligaments stabilize elbow; NOT a stretch target</x:v>
      </x:c>
      <x:c r="M64" s="24" t="str">
        <x:v>Muscles: Supinator deep layer; Supinator superficial layer; Biceps brachii long head; Biceps brachii short head; Extensor carpi ulnaris; Extensor carpi radialis brevis; Extensor carpi radialis longus | Tendons/fascia: Atlas-listed tendon/aponeurosis examples: Broad muscular insertion; Aponeurotic attachment; Long-head proximal tendon; distal biceps tendon; bicipital aponeurosis; Conjoined proximal tendon; common distal biceps tendon | Ligament context only: Elbow collateral ligaments stabilize elbow; NOT a stretch target</x:v>
      </x:c>
      <x:c r="N64" s="24" t="str">
        <x:v>Supinator deep layer; Supinator superficial layer; Biceps brachii long head; Biceps brachii short head</x:v>
      </x:c>
      <x:c r="O64" s="24" t="str">
        <x:v>Hold hammer and slowly rotate palm up through a comfortable arc.</x:v>
      </x:c>
      <x:c r="P64" s="24" t="str">
        <x:v>Light hammer</x:v>
      </x:c>
      <x:c r="Q64" s="24" t="str">
        <x:v>2–3 × 8–12 controlled reps</x:v>
      </x:c>
      <x:c r="R64" s="24" t="str">
        <x:v>Progress gradually; stop with sharp pain, dizziness, or numbness.</x:v>
      </x:c>
      <x:c r="S64" s="24" t="str">
        <x:v>https://www.acsm.org/education-resources/trending-topics-resources/physical-activity-guidelines</x:v>
      </x:c>
      <x:c r="T64" s="24" t="str">
        <x:v>Anatomy-based mapping</x:v>
      </x:c>
    </x:row>
    <x:row r="65" ht="54" customHeight="1">
      <x:c r="A65" s="24" t="str">
        <x:v>EX0062</x:v>
      </x:c>
      <x:c r="B65" s="24" t="str">
        <x:v>Dumbbell wrist curl</x:v>
      </x:c>
      <x:c r="C65" s="24" t="str">
        <x:v>Arm</x:v>
      </x:c>
      <x:c r="D65" s="24" t="str">
        <x:v>Gym</x:v>
      </x:c>
      <x:c r="E65" s="24" t="str">
        <x:v>Isolation strength</x:v>
      </x:c>
      <x:c r="F65" s="24" t="str">
        <x:v>Flexor carpi radialis; Flexor carpi ulnaris humeral head; Flexor carpi ulnaris ulnar head; Palmaris longus</x:v>
      </x:c>
      <x:c r="G65" s="24" t="str">
        <x:v>Flexor digitorum superficialis humeroulnar head; Flexor digitorum superficialis radial head; Flexor digitorum profundus lateral portion (digits 2-3); Flexor digitorum profundus medial portion (digits 4-5)</x:v>
      </x:c>
      <x:c r="H65" s="24" t="str">
        <x:v>—</x:v>
      </x:c>
      <x:c r="I65" s="24" t="str">
        <x:v>—</x:v>
      </x:c>
      <x:c r="J65" s="24" t="str">
        <x:v>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</x:v>
      </x:c>
      <x:c r="K65" s="24" t="str">
        <x:v>Common flexor tendon; FCR and FCU tendons</x:v>
      </x:c>
      <x:c r="L65" s="24" t="str">
        <x:v>Elbow collateral ligaments stabilize elbow; NOT a stretch target</x:v>
      </x:c>
      <x:c r="M65" s="24" t="str">
        <x:v>Muscles: 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 | Tendons/fascia: Common flexor tendon; FCR and FCU tendons | Ligament context only: Elbow collateral ligaments stabilize elbow; NOT a stretch target</x:v>
      </x:c>
      <x:c r="N65" s="24" t="str">
        <x:v>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</x:v>
      </x:c>
      <x:c r="O65" s="24" t="str">
        <x:v>Forearm supported palm up; curl wrist gently.</x:v>
      </x:c>
      <x:c r="P65" s="24" t="str">
        <x:v>Light dumbbell</x:v>
      </x:c>
      <x:c r="Q65" s="24" t="str">
        <x:v>2–3 × 8–12 controlled reps</x:v>
      </x:c>
      <x:c r="R65" s="24" t="str">
        <x:v>Progress gradually; stop with sharp pain, dizziness, or numbness.</x:v>
      </x:c>
      <x:c r="S65" s="24" t="str">
        <x:v>https://www.acsm.org/education-resources/trending-topics-resources/physical-activity-guidelines</x:v>
      </x:c>
      <x:c r="T65" s="24" t="str">
        <x:v>Anatomy-based mapping</x:v>
      </x:c>
    </x:row>
    <x:row r="66" ht="54" customHeight="1">
      <x:c r="A66" s="24" t="str">
        <x:v>EX0063</x:v>
      </x:c>
      <x:c r="B66" s="24" t="str">
        <x:v>Dumbbell reverse wrist curl</x:v>
      </x:c>
      <x:c r="C66" s="24" t="str">
        <x:v>Arm</x:v>
      </x:c>
      <x:c r="D66" s="24" t="str">
        <x:v>Gym</x:v>
      </x:c>
      <x:c r="E66" s="24" t="str">
        <x:v>Isolation strength</x:v>
      </x:c>
      <x:c r="F66" s="24" t="str">
        <x:v>Extensor carpi ulnaris; Extensor carpi radialis brevis; Extensor carpi radialis longus</x:v>
      </x:c>
      <x:c r="G66" s="24" t="str">
        <x:v>Extensor digitorum; Extensor indicis; Extensor digiti minimi</x:v>
      </x:c>
      <x:c r="H66" s="24" t="str">
        <x:v>—</x:v>
      </x:c>
      <x:c r="I66" s="24" t="str">
        <x:v>—</x:v>
      </x:c>
      <x:c r="J66" s="24" t="str">
        <x:v>Extensor carpi ulnaris; Extensor carpi radialis brevis; Extensor carpi radialis longus; Extensor digitorum; Extensor indicis; Extensor digiti minimi</x:v>
      </x:c>
      <x:c r="K66" s="24" t="str">
        <x:v>Common extensor tendon; ECRL/ECRB/ECU tendons</x:v>
      </x:c>
      <x:c r="L66" s="24" t="str">
        <x:v>Elbow collateral ligaments stabilize elbow; NOT a stretch target</x:v>
      </x:c>
      <x:c r="M66" s="24" t="str">
        <x:v>Muscles: Extensor carpi ulnaris; Extensor carpi radialis brevis; Extensor carpi radialis longus; Extensor digitorum; Extensor indicis; Extensor digiti minimi | Tendons/fascia: Common extensor tendon; ECRL/ECRB/ECU tendons | Ligament context only: Elbow collateral ligaments stabilize elbow; NOT a stretch target</x:v>
      </x:c>
      <x:c r="N66" s="24" t="str">
        <x:v>Extensor carpi ulnaris; Extensor carpi radialis brevis; Extensor carpi radialis longus; Extensor digitorum; Extensor indicis; Extensor digiti minimi</x:v>
      </x:c>
      <x:c r="O66" s="24" t="str">
        <x:v>Forearm supported palm down; extend wrist slowly.</x:v>
      </x:c>
      <x:c r="P66" s="24" t="str">
        <x:v>Light dumbbell</x:v>
      </x:c>
      <x:c r="Q66" s="24" t="str">
        <x:v>2–3 × 8–12 controlled reps</x:v>
      </x:c>
      <x:c r="R66" s="24" t="str">
        <x:v>Progress gradually; stop with sharp pain, dizziness, or numbness.</x:v>
      </x:c>
      <x:c r="S66" s="24" t="str">
        <x:v>https://www.acsm.org/education-resources/trending-topics-resources/physical-activity-guidelines</x:v>
      </x:c>
      <x:c r="T66" s="24" t="str">
        <x:v>Anatomy-based mapping</x:v>
      </x:c>
    </x:row>
    <x:row r="67" ht="54" customHeight="1">
      <x:c r="A67" s="24" t="str">
        <x:v>EX0064</x:v>
      </x:c>
      <x:c r="B67" s="24" t="str">
        <x:v>Band wrist flexion</x:v>
      </x:c>
      <x:c r="C67" s="24" t="str">
        <x:v>Arm</x:v>
      </x:c>
      <x:c r="D67" s="24" t="str">
        <x:v>Home</x:v>
      </x:c>
      <x:c r="E67" s="24" t="str">
        <x:v>Band strength</x:v>
      </x:c>
      <x:c r="F67" s="24" t="str">
        <x:v>Flexor carpi radialis; Flexor carpi ulnaris humeral head; Flexor carpi ulnaris ulnar head; Palmaris longus</x:v>
      </x:c>
      <x:c r="G67" s="24" t="str">
        <x:v>Flexor digitorum superficialis humeroulnar head; Flexor digitorum superficialis radial head; Flexor digitorum profundus lateral portion (digits 2-3); Flexor digitorum profundus medial portion (digits 4-5)</x:v>
      </x:c>
      <x:c r="H67" s="24" t="str">
        <x:v>—</x:v>
      </x:c>
      <x:c r="I67" s="24" t="str">
        <x:v>—</x:v>
      </x:c>
      <x:c r="J67" s="24" t="str">
        <x:v>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</x:v>
      </x:c>
      <x:c r="K67" s="24" t="str">
        <x:v>Common flexor tendon</x:v>
      </x:c>
      <x:c r="L67" s="24" t="str">
        <x:v>Elbow collateral ligaments stabilize elbow; NOT a stretch target</x:v>
      </x:c>
      <x:c r="M67" s="24" t="str">
        <x:v>Muscles: 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 | Tendons/fascia: Common flexor tendon | Ligament context only: Elbow collateral ligaments stabilize elbow; NOT a stretch target</x:v>
      </x:c>
      <x:c r="N67" s="24" t="str">
        <x:v>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</x:v>
      </x:c>
      <x:c r="O67" s="24" t="str">
        <x:v>Forearm supported, palm up; flex wrist slowly against band.</x:v>
      </x:c>
      <x:c r="P67" s="24" t="str">
        <x:v>Light band</x:v>
      </x:c>
      <x:c r="Q67" s="24" t="str">
        <x:v>2–3 × 8–12 controlled reps</x:v>
      </x:c>
      <x:c r="R67" s="24" t="str">
        <x:v>Progress gradually; stop with sharp pain, dizziness, or numbness.</x:v>
      </x:c>
      <x:c r="S67" s="24" t="str">
        <x:v>https://www.acsm.org/education-resources/trending-topics-resources/physical-activity-guidelines</x:v>
      </x:c>
      <x:c r="T67" s="24" t="str">
        <x:v>Anatomy-based mapping</x:v>
      </x:c>
    </x:row>
    <x:row r="68" ht="54" customHeight="1">
      <x:c r="A68" s="24" t="str">
        <x:v>EX0065</x:v>
      </x:c>
      <x:c r="B68" s="24" t="str">
        <x:v>Band wrist extension</x:v>
      </x:c>
      <x:c r="C68" s="24" t="str">
        <x:v>Arm</x:v>
      </x:c>
      <x:c r="D68" s="24" t="str">
        <x:v>Home</x:v>
      </x:c>
      <x:c r="E68" s="24" t="str">
        <x:v>Band strength</x:v>
      </x:c>
      <x:c r="F68" s="24" t="str">
        <x:v>Extensor carpi ulnaris; Extensor carpi radialis brevis; Extensor carpi radialis longus</x:v>
      </x:c>
      <x:c r="G68" s="24" t="str">
        <x:v>Extensor digitorum; Extensor indicis; Extensor digiti minimi</x:v>
      </x:c>
      <x:c r="H68" s="24" t="str">
        <x:v>—</x:v>
      </x:c>
      <x:c r="I68" s="24" t="str">
        <x:v>—</x:v>
      </x:c>
      <x:c r="J68" s="24" t="str">
        <x:v>Extensor carpi ulnaris; Extensor carpi radialis brevis; Extensor carpi radialis longus; Extensor digitorum; Extensor indicis; Extensor digiti minimi</x:v>
      </x:c>
      <x:c r="K68" s="24" t="str">
        <x:v>Common extensor tendon</x:v>
      </x:c>
      <x:c r="L68" s="24" t="str">
        <x:v>Elbow collateral ligaments stabilize elbow; NOT a stretch target</x:v>
      </x:c>
      <x:c r="M68" s="24" t="str">
        <x:v>Muscles: Extensor carpi ulnaris; Extensor carpi radialis brevis; Extensor carpi radialis longus; Extensor digitorum; Extensor indicis; Extensor digiti minimi | Tendons/fascia: Common extensor tendon | Ligament context only: Elbow collateral ligaments stabilize elbow; NOT a stretch target</x:v>
      </x:c>
      <x:c r="N68" s="24" t="str">
        <x:v>Extensor carpi ulnaris; Extensor carpi radialis brevis; Extensor carpi radialis longus; Extensor digitorum; Extensor indicis; Extensor digiti minimi</x:v>
      </x:c>
      <x:c r="O68" s="24" t="str">
        <x:v>Forearm supported, palm down; extend wrist slowly against band.</x:v>
      </x:c>
      <x:c r="P68" s="24" t="str">
        <x:v>Light band</x:v>
      </x:c>
      <x:c r="Q68" s="24" t="str">
        <x:v>2–3 × 8–12 controlled reps</x:v>
      </x:c>
      <x:c r="R68" s="24" t="str">
        <x:v>Progress gradually; stop with sharp pain, dizziness, or numbness.</x:v>
      </x:c>
      <x:c r="S68" s="24" t="str">
        <x:v>https://www.acsm.org/education-resources/trending-topics-resources/physical-activity-guidelines</x:v>
      </x:c>
      <x:c r="T68" s="24" t="str">
        <x:v>Anatomy-based mapping</x:v>
      </x:c>
    </x:row>
    <x:row r="69" ht="54" customHeight="1">
      <x:c r="A69" s="24" t="str">
        <x:v>EX0066</x:v>
      </x:c>
      <x:c r="B69" s="24" t="str">
        <x:v>Resisted radial wrist deviation</x:v>
      </x:c>
      <x:c r="C69" s="24" t="str">
        <x:v>Arm</x:v>
      </x:c>
      <x:c r="D69" s="24" t="str">
        <x:v>Home</x:v>
      </x:c>
      <x:c r="E69" s="24" t="str">
        <x:v>Band strength</x:v>
      </x:c>
      <x:c r="F69" s="24" t="str">
        <x:v>Flexor carpi radialis; Extensor carpi radialis longus; Extensor carpi radialis brevis</x:v>
      </x:c>
      <x:c r="G69" s="24" t="str">
        <x:v>—</x:v>
      </x:c>
      <x:c r="H69" s="24" t="str">
        <x:v>—</x:v>
      </x:c>
      <x:c r="I69" s="24" t="str">
        <x:v>—</x:v>
      </x:c>
      <x:c r="J69" s="24" t="str">
        <x:v>Flexor carpi radialis; Extensor carpi radialis longus; Extensor carpi radialis brevis</x:v>
      </x:c>
      <x:c r="K69" s="24" t="str">
        <x:v>Atlas-listed tendon/aponeurosis examples: FCR tendon through own fibro-osseous tunnel; ECRL tendon, second dorsal extensor compartment; ECRB tendon, second dorsal compartment</x:v>
      </x:c>
      <x:c r="L69" s="24" t="str">
        <x:v>Elbow collateral ligaments stabilize elbow; NOT a stretch target</x:v>
      </x:c>
      <x:c r="M69" s="24" t="str">
        <x:v>Muscles: Flexor carpi radialis; Extensor carpi radialis longus; Extensor carpi radialis brevis | Tendons/fascia: Atlas-listed tendon/aponeurosis examples: FCR tendon through own fibro-osseous tunnel; ECRL tendon, second dorsal extensor compartment; ECRB tendon, second dorsal compartment | Ligament context only: Elbow collateral ligaments stabilize elbow; NOT a stretch target</x:v>
      </x:c>
      <x:c r="N69" s="24" t="str">
        <x:v>Flexor carpi radialis; Extensor carpi radialis longus; Extensor carpi radialis brevis</x:v>
      </x:c>
      <x:c r="O69" s="24" t="str">
        <x:v>With thumb facing up, move wrist toward thumb against light resistance.</x:v>
      </x:c>
      <x:c r="P69" s="24" t="str">
        <x:v>Light band</x:v>
      </x:c>
      <x:c r="Q69" s="24" t="str">
        <x:v>2–3 × 8–12 controlled reps</x:v>
      </x:c>
      <x:c r="R69" s="24" t="str">
        <x:v>Progress gradually; stop with sharp pain, dizziness, or numbness.</x:v>
      </x:c>
      <x:c r="S69" s="24" t="str">
        <x:v>https://www.acsm.org/education-resources/trending-topics-resources/physical-activity-guidelines</x:v>
      </x:c>
      <x:c r="T69" s="24" t="str">
        <x:v>Anatomy-based mapping</x:v>
      </x:c>
    </x:row>
    <x:row r="70" ht="54" customHeight="1">
      <x:c r="A70" s="24" t="str">
        <x:v>EX0067</x:v>
      </x:c>
      <x:c r="B70" s="24" t="str">
        <x:v>Resisted ulnar wrist deviation</x:v>
      </x:c>
      <x:c r="C70" s="24" t="str">
        <x:v>Arm</x:v>
      </x:c>
      <x:c r="D70" s="24" t="str">
        <x:v>Home</x:v>
      </x:c>
      <x:c r="E70" s="24" t="str">
        <x:v>Band strength</x:v>
      </x:c>
      <x:c r="F70" s="24" t="str">
        <x:v>Flexor carpi ulnaris humeral head; Flexor carpi ulnaris ulnar head; Extensor carpi ulnaris</x:v>
      </x:c>
      <x:c r="G70" s="24" t="str">
        <x:v>—</x:v>
      </x:c>
      <x:c r="H70" s="24" t="str">
        <x:v>—</x:v>
      </x:c>
      <x:c r="I70" s="24" t="str">
        <x:v>—</x:v>
      </x:c>
      <x:c r="J70" s="24" t="str">
        <x:v>Flexor carpi ulnaris humeral head; Flexor carpi ulnaris ulnar head; Extensor carpi ulnaris</x:v>
      </x:c>
      <x:c r="K70" s="24" t="str">
        <x:v>Atlas-listed tendon/aponeurosis examples: FCU tendon; pisohamate and pisometacarpal fibrous extensions; FCU tendon via pisiform; ECU tendon, sixth dorsal compartment</x:v>
      </x:c>
      <x:c r="L70" s="24" t="str">
        <x:v>Elbow collateral ligaments stabilize elbow; NOT a stretch target</x:v>
      </x:c>
      <x:c r="M70" s="24" t="str">
        <x:v>Muscles: Flexor carpi ulnaris humeral head; Flexor carpi ulnaris ulnar head; Extensor carpi ulnaris | Tendons/fascia: Atlas-listed tendon/aponeurosis examples: FCU tendon; pisohamate and pisometacarpal fibrous extensions; FCU tendon via pisiform; ECU tendon, sixth dorsal compartment | Ligament context only: Elbow collateral ligaments stabilize elbow; NOT a stretch target</x:v>
      </x:c>
      <x:c r="N70" s="24" t="str">
        <x:v>Flexor carpi ulnaris humeral head; Flexor carpi ulnaris ulnar head; Extensor carpi ulnaris</x:v>
      </x:c>
      <x:c r="O70" s="24" t="str">
        <x:v>With forearm supported, move hand toward little-finger side.</x:v>
      </x:c>
      <x:c r="P70" s="24" t="str">
        <x:v>Light band</x:v>
      </x:c>
      <x:c r="Q70" s="24" t="str">
        <x:v>2–3 × 8–12 controlled reps</x:v>
      </x:c>
      <x:c r="R70" s="24" t="str">
        <x:v>Progress gradually; stop with sharp pain, dizziness, or numbness.</x:v>
      </x:c>
      <x:c r="S70" s="24" t="str">
        <x:v>https://www.acsm.org/education-resources/trending-topics-resources/physical-activity-guidelines</x:v>
      </x:c>
      <x:c r="T70" s="24" t="str">
        <x:v>Anatomy-based mapping</x:v>
      </x:c>
    </x:row>
    <x:row r="71" ht="54" customHeight="1">
      <x:c r="A71" s="24" t="str">
        <x:v>EX0068</x:v>
      </x:c>
      <x:c r="B71" s="24" t="str">
        <x:v>Wrist flexor wall stretch</x:v>
      </x:c>
      <x:c r="C71" s="24" t="str">
        <x:v>Arm</x:v>
      </x:c>
      <x:c r="D71" s="24" t="str">
        <x:v>Home</x:v>
      </x:c>
      <x:c r="E71" s="24" t="str">
        <x:v>Passive stretch</x:v>
      </x:c>
      <x:c r="F71" s="24" t="str">
        <x:v>—</x:v>
      </x:c>
      <x:c r="G71" s="24" t="str">
        <x:v>—</x:v>
      </x:c>
      <x:c r="H71" s="24" t="str">
        <x:v>—</x:v>
      </x:c>
      <x:c r="I71" s="24" t="str">
        <x:v>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</x:v>
      </x:c>
      <x:c r="J71" s="24" t="str">
        <x:v>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</x:v>
      </x:c>
      <x:c r="K71" s="24" t="str">
        <x:v>Common flexor tendon; finger flexor tendons</x:v>
      </x:c>
      <x:c r="L71" s="24" t="str">
        <x:v>Elbow collateral ligaments stabilize elbow; NOT a stretch target</x:v>
      </x:c>
      <x:c r="M71" s="24" t="str">
        <x:v>Muscles: 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 | Tendons/fascia: Common flexor tendon; finger flexor tendons | Ligament context only: Elbow collateral ligaments stabilize elbow; NOT a stretch target</x:v>
      </x:c>
      <x:c r="N71" s="24" t="str">
        <x:v>Usually none expected (stretch, mobility or relaxation; any active movers are low-load)</x:v>
      </x:c>
      <x:c r="O71" s="24" t="str">
        <x:v>Straight elbow, palm up, gently extend wrist/fingers with other hand.</x:v>
      </x:c>
      <x:c r="P71" s="24" t="str">
        <x:v>None</x:v>
      </x:c>
      <x:c r="Q71" s="24" t="str">
        <x:v>2–3 × 8–12 controlled reps</x:v>
      </x:c>
      <x:c r="R71" s="24" t="str">
        <x:v>Progress gradually; stop with sharp pain, dizziness, or numbness.</x:v>
      </x:c>
      <x:c r="S71" s="24" t="str">
        <x:v>https://www.acsm.org/education-resources/trending-topics-resources/physical-activity-guidelines</x:v>
      </x:c>
      <x:c r="T71" s="24" t="str">
        <x:v>Anatomy-based mapping</x:v>
      </x:c>
    </x:row>
    <x:row r="72" ht="54" customHeight="1">
      <x:c r="A72" s="24" t="str">
        <x:v>EX0069</x:v>
      </x:c>
      <x:c r="B72" s="24" t="str">
        <x:v>Wrist extensor stretch</x:v>
      </x:c>
      <x:c r="C72" s="24" t="str">
        <x:v>Arm</x:v>
      </x:c>
      <x:c r="D72" s="24" t="str">
        <x:v>Home</x:v>
      </x:c>
      <x:c r="E72" s="24" t="str">
        <x:v>Passive stretch</x:v>
      </x:c>
      <x:c r="F72" s="24" t="str">
        <x:v>—</x:v>
      </x:c>
      <x:c r="G72" s="24" t="str">
        <x:v>—</x:v>
      </x:c>
      <x:c r="H72" s="24" t="str">
        <x:v>—</x:v>
      </x:c>
      <x:c r="I72" s="24" t="str">
        <x:v>Extensor carpi ulnaris; Extensor carpi radialis brevis; Extensor carpi radialis longus; Extensor digitorum; Extensor indicis; Extensor digiti minimi</x:v>
      </x:c>
      <x:c r="J72" s="24" t="str">
        <x:v>Extensor carpi ulnaris; Extensor carpi radialis brevis; Extensor carpi radialis longus; Extensor digitorum; Extensor indicis; Extensor digiti minimi</x:v>
      </x:c>
      <x:c r="K72" s="24" t="str">
        <x:v>Common extensor tendon; finger extensor tendons</x:v>
      </x:c>
      <x:c r="L72" s="24" t="str">
        <x:v>Elbow collateral ligaments stabilize elbow; NOT a stretch target</x:v>
      </x:c>
      <x:c r="M72" s="24" t="str">
        <x:v>Muscles: Extensor carpi ulnaris; Extensor carpi radialis brevis; Extensor carpi radialis longus; Extensor digitorum; Extensor indicis; Extensor digiti minimi | Tendons/fascia: Common extensor tendon; finger extensor tendons | Ligament context only: Elbow collateral ligaments stabilize elbow; NOT a stretch target</x:v>
      </x:c>
      <x:c r="N72" s="24" t="str">
        <x:v>Usually none expected (stretch, mobility or relaxation; any active movers are low-load)</x:v>
      </x:c>
      <x:c r="O72" s="24" t="str">
        <x:v>Straight elbow, palm down; gently flex wrist and fingers.</x:v>
      </x:c>
      <x:c r="P72" s="24" t="str">
        <x:v>None</x:v>
      </x:c>
      <x:c r="Q72" s="24" t="str">
        <x:v>2–3 × 8–12 controlled reps</x:v>
      </x:c>
      <x:c r="R72" s="24" t="str">
        <x:v>Progress gradually; stop with sharp pain, dizziness, or numbness.</x:v>
      </x:c>
      <x:c r="S72" s="24" t="str">
        <x:v>https://www.acsm.org/education-resources/trending-topics-resources/physical-activity-guidelines</x:v>
      </x:c>
      <x:c r="T72" s="24" t="str">
        <x:v>Anatomy-based mapping</x:v>
      </x:c>
    </x:row>
    <x:row r="73" ht="54" customHeight="1">
      <x:c r="A73" s="24" t="str">
        <x:v>EX0070</x:v>
      </x:c>
      <x:c r="B73" s="24" t="str">
        <x:v>Prayer wrist extension stretch</x:v>
      </x:c>
      <x:c r="C73" s="24" t="str">
        <x:v>Arm</x:v>
      </x:c>
      <x:c r="D73" s="24" t="str">
        <x:v>Home</x:v>
      </x:c>
      <x:c r="E73" s="24" t="str">
        <x:v>Passive stretch</x:v>
      </x:c>
      <x:c r="F73" s="24" t="str">
        <x:v>—</x:v>
      </x:c>
      <x:c r="G73" s="24" t="str">
        <x:v>—</x:v>
      </x:c>
      <x:c r="H73" s="24" t="str">
        <x:v>—</x:v>
      </x:c>
      <x:c r="I73" s="24" t="str">
        <x:v>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</x:v>
      </x:c>
      <x:c r="J73" s="24" t="str">
        <x:v>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</x:v>
      </x:c>
      <x:c r="K73" s="24" t="str">
        <x:v>Atlas-listed tendon/aponeurosis examples: FCR tendon through own fibro-osseous tunnel; FCU tendon; pisohamate and pisometacarpal fibrous extensions; FCU tendon via pisiform; Long palmaris longus tendon; palmar aponeurosis; additional listed attachments</x:v>
      </x:c>
      <x:c r="L73" s="24" t="str">
        <x:v>Elbow collateral ligaments stabilize elbow; NOT a stretch target</x:v>
      </x:c>
      <x:c r="M73" s="24" t="str">
        <x:v>Muscles: 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 | Tendons/fascia: Atlas-listed tendon/aponeurosis examples: FCR tendon through own fibro-osseous tunnel; FCU tendon; pisohamate and pisometacarpal fibrous extensions; FCU tendon via pisiform; Long palmaris longus tendon; palmar aponeurosis; additional listed attachments | Ligament context only: Elbow collateral ligaments stabilize elbow; NOT a stretch target</x:v>
      </x:c>
      <x:c r="N73" s="24" t="str">
        <x:v>Usually none expected (stretch, mobility or relaxation; any active movers are low-load)</x:v>
      </x:c>
      <x:c r="O73" s="24" t="str">
        <x:v>Palms together at chest, lower joined hands without separating palms.</x:v>
      </x:c>
      <x:c r="P73" s="24" t="str">
        <x:v>None</x:v>
      </x:c>
      <x:c r="Q73" s="24" t="str">
        <x:v>2–3 × 8–12 controlled reps</x:v>
      </x:c>
      <x:c r="R73" s="24" t="str">
        <x:v>Progress gradually; stop with sharp pain, dizziness, or numbness.</x:v>
      </x:c>
      <x:c r="S73" s="24" t="str">
        <x:v>https://www.acsm.org/education-resources/trending-topics-resources/physical-activity-guidelines</x:v>
      </x:c>
      <x:c r="T73" s="24" t="str">
        <x:v>Anatomy-based mapping</x:v>
      </x:c>
    </x:row>
    <x:row r="74" ht="54" customHeight="1">
      <x:c r="A74" s="24" t="str">
        <x:v>EX0071</x:v>
      </x:c>
      <x:c r="B74" s="24" t="str">
        <x:v>Reverse prayer flexor stretch (comfortable)</x:v>
      </x:c>
      <x:c r="C74" s="24" t="str">
        <x:v>Arm</x:v>
      </x:c>
      <x:c r="D74" s="24" t="str">
        <x:v>Home</x:v>
      </x:c>
      <x:c r="E74" s="24" t="str">
        <x:v>Active stretch</x:v>
      </x:c>
      <x:c r="F74" s="24" t="str">
        <x:v>Extensor carpi ulnaris; Extensor carpi radialis brevis; Extensor carpi radialis longus</x:v>
      </x:c>
      <x:c r="G74" s="24" t="str">
        <x:v>—</x:v>
      </x:c>
      <x:c r="H74" s="24" t="str">
        <x:v>—</x:v>
      </x:c>
      <x:c r="I74" s="24" t="str">
        <x:v>Flexor carpi radialis; Flexor carpi ulnaris humeral head; Flexor carpi ulnaris ulnar head; Palmaris longus</x:v>
      </x:c>
      <x:c r="J74" s="24" t="str">
        <x:v>Extensor carpi ulnaris; Extensor carpi radialis brevis; Extensor carpi radialis longus; Flexor carpi radialis; Flexor carpi ulnaris humeral head; Flexor carpi ulnaris ulnar head; Palmaris longus</x:v>
      </x:c>
      <x:c r="K74" s="24" t="str">
        <x:v>Atlas-listed tendon/aponeurosis examples: ECU tendon, sixth dorsal compartment; ECRB tendon, second dorsal compartment; ECRL tendon, second dorsal extensor compartment; FCR tendon through own fibro-osseous tunnel; additional listed attachments</x:v>
      </x:c>
      <x:c r="L74" s="24" t="str">
        <x:v>Elbow collateral ligaments stabilize elbow; NOT a stretch target</x:v>
      </x:c>
      <x:c r="M74" s="24" t="str">
        <x:v>Muscles: Extensor carpi ulnaris; Extensor carpi radialis brevis; Extensor carpi radialis longus; Flexor carpi radialis; Flexor carpi ulnaris humeral head; Flexor carpi ulnaris ulnar head; Palmaris longus | Tendons/fascia: Atlas-listed tendon/aponeurosis examples: ECU tendon, sixth dorsal compartment; ECRB tendon, second dorsal compartment; ECRL tendon, second dorsal extensor compartment; FCR tendon through own fibro-osseous tunnel; additional listed attachments | Ligament context only: Elbow collateral ligaments stabilize elbow; NOT a stretch target</x:v>
      </x:c>
      <x:c r="N74" s="24" t="str">
        <x:v>Usually none expected (stretch, mobility or relaxation; any active movers are low-load)</x:v>
      </x:c>
      <x:c r="O74" s="24" t="str">
        <x:v>Move hand toward comfortable wrist extension without pushing into sharp pressure.</x:v>
      </x:c>
      <x:c r="P74" s="24" t="str">
        <x:v>None</x:v>
      </x:c>
      <x:c r="Q74" s="24" t="str">
        <x:v>2–3 × 8–12 controlled reps</x:v>
      </x:c>
      <x:c r="R74" s="24" t="str">
        <x:v>Progress gradually; stop with sharp pain, dizziness, or numbness.</x:v>
      </x:c>
      <x:c r="S74" s="24" t="str">
        <x:v>https://www.acsm.org/education-resources/trending-topics-resources/physical-activity-guidelines</x:v>
      </x:c>
      <x:c r="T74" s="24" t="str">
        <x:v>Anatomy-based mapping</x:v>
      </x:c>
    </x:row>
    <x:row r="75" ht="54" customHeight="1">
      <x:c r="A75" s="24" t="str">
        <x:v>EX0072</x:v>
      </x:c>
      <x:c r="B75" s="24" t="str">
        <x:v>Biceps eccentric curl lowering</x:v>
      </x:c>
      <x:c r="C75" s="24" t="str">
        <x:v>Arm</x:v>
      </x:c>
      <x:c r="D75" s="24" t="str">
        <x:v>Home</x:v>
      </x:c>
      <x:c r="E75" s="24" t="str">
        <x:v>Eccentric strength</x:v>
      </x:c>
      <x:c r="F75" s="24" t="str">
        <x:v>Biceps brachii long head; Biceps brachii short head; Brachialis</x:v>
      </x:c>
      <x:c r="G75" s="24" t="str">
        <x:v>Brachioradialis</x:v>
      </x:c>
      <x:c r="H75" s="24" t="str">
        <x:v>Flexor carpi radialis; Flexor carpi ulnaris humeral head; Flexor carpi ulnaris ulnar head; Palmaris longus</x:v>
      </x:c>
      <x:c r="I75" s="24" t="str">
        <x:v>—</x:v>
      </x:c>
      <x:c r="J75" s="24" t="str">
        <x:v>Biceps brachii long head; Biceps brachii short head; Brachialis; Brachioradialis; Flexor carpi radialis; Flexor carpi ulnaris humeral head; Flexor carpi ulnaris ulnar head; Palmaris longus</x:v>
      </x:c>
      <x:c r="K75" s="24" t="str">
        <x:v>Biceps distal tendon</x:v>
      </x:c>
      <x:c r="L75" s="24" t="str">
        <x:v>Elbow collateral ligaments stabilize elbow; NOT a stretch target</x:v>
      </x:c>
      <x:c r="M75" s="24" t="str">
        <x:v>Muscles: Biceps brachii long head; Biceps brachii short head; Brachialis; Brachioradialis; Flexor carpi radialis; Flexor carpi ulnaris humeral head; Flexor carpi ulnaris ulnar head; Palmaris longus | Tendons/fascia: Biceps distal tendon | Ligament context only: Elbow collateral ligaments stabilize elbow; NOT a stretch target</x:v>
      </x:c>
      <x:c r="N75" s="24" t="str">
        <x:v>Biceps brachii long head; Biceps brachii short head; Brachialis; Brachioradialis</x:v>
      </x:c>
      <x:c r="O75" s="24" t="str">
        <x:v>Use both hands to raise moderate weight; lower with one hand slowly.</x:v>
      </x:c>
      <x:c r="P75" s="24" t="str">
        <x:v>Water bottle or dumbbell</x:v>
      </x:c>
      <x:c r="Q75" s="24" t="str">
        <x:v>2–3 × 8–12 controlled reps</x:v>
      </x:c>
      <x:c r="R75" s="24" t="str">
        <x:v>Progress gradually; stop with sharp pain, dizziness, or numbness.</x:v>
      </x:c>
      <x:c r="S75" s="24" t="str">
        <x:v>https://www.acsm.org/education-resources/trending-topics-resources/physical-activity-guidelines</x:v>
      </x:c>
      <x:c r="T75" s="24" t="str">
        <x:v>Anatomy-based mapping</x:v>
      </x:c>
    </x:row>
    <x:row r="76" ht="54" customHeight="1">
      <x:c r="A76" s="24" t="str">
        <x:v>EX0073</x:v>
      </x:c>
      <x:c r="B76" s="24" t="str">
        <x:v>Wrist extensor eccentric lowering</x:v>
      </x:c>
      <x:c r="C76" s="24" t="str">
        <x:v>Arm</x:v>
      </x:c>
      <x:c r="D76" s="24" t="str">
        <x:v>Home</x:v>
      </x:c>
      <x:c r="E76" s="24" t="str">
        <x:v>Eccentric strength</x:v>
      </x:c>
      <x:c r="F76" s="24" t="str">
        <x:v>Extensor carpi ulnaris; Extensor carpi radialis brevis; Extensor carpi radialis longus</x:v>
      </x:c>
      <x:c r="G76" s="24" t="str">
        <x:v>—</x:v>
      </x:c>
      <x:c r="H76" s="24" t="str">
        <x:v>—</x:v>
      </x:c>
      <x:c r="I76" s="24" t="str">
        <x:v>—</x:v>
      </x:c>
      <x:c r="J76" s="24" t="str">
        <x:v>Extensor carpi ulnaris; Extensor carpi radialis brevis; Extensor carpi radialis longus</x:v>
      </x:c>
      <x:c r="K76" s="24" t="str">
        <x:v>Common extensor tendon</x:v>
      </x:c>
      <x:c r="L76" s="24" t="str">
        <x:v>Elbow collateral ligaments stabilize elbow; NOT a stretch target</x:v>
      </x:c>
      <x:c r="M76" s="24" t="str">
        <x:v>Muscles: Extensor carpi ulnaris; Extensor carpi radialis brevis; Extensor carpi radialis longus | Tendons/fascia: Common extensor tendon | Ligament context only: Elbow collateral ligaments stabilize elbow; NOT a stretch target</x:v>
      </x:c>
      <x:c r="N76" s="24" t="str">
        <x:v>Extensor carpi ulnaris; Extensor carpi radialis brevis; Extensor carpi radialis longus</x:v>
      </x:c>
      <x:c r="O76" s="24" t="str">
        <x:v>Support forearm palm down; assist lift wrist, then lower under control.</x:v>
      </x:c>
      <x:c r="P76" s="24" t="str">
        <x:v>Water bottle</x:v>
      </x:c>
      <x:c r="Q76" s="24" t="str">
        <x:v>2–3 × 8–12 controlled reps</x:v>
      </x:c>
      <x:c r="R76" s="24" t="str">
        <x:v>Progress gradually; stop with sharp pain, dizziness, or numbness.</x:v>
      </x:c>
      <x:c r="S76" s="24" t="str">
        <x:v>https://www.acsm.org/education-resources/trending-topics-resources/physical-activity-guidelines</x:v>
      </x:c>
      <x:c r="T76" s="24" t="str">
        <x:v>Anatomy-based mapping</x:v>
      </x:c>
    </x:row>
    <x:row r="77" ht="54" customHeight="1">
      <x:c r="A77" s="24" t="str">
        <x:v>EX0074</x:v>
      </x:c>
      <x:c r="B77" s="24" t="str">
        <x:v>Wrist flexor eccentric lowering</x:v>
      </x:c>
      <x:c r="C77" s="24" t="str">
        <x:v>Arm</x:v>
      </x:c>
      <x:c r="D77" s="24" t="str">
        <x:v>Home</x:v>
      </x:c>
      <x:c r="E77" s="24" t="str">
        <x:v>Eccentric strength</x:v>
      </x:c>
      <x:c r="F77" s="24" t="str">
        <x:v>Flexor carpi radialis; Flexor carpi ulnaris humeral head; Flexor carpi ulnaris ulnar head; Palmaris longus</x:v>
      </x:c>
      <x:c r="G77" s="24" t="str">
        <x:v>—</x:v>
      </x:c>
      <x:c r="H77" s="24" t="str">
        <x:v>—</x:v>
      </x:c>
      <x:c r="I77" s="24" t="str">
        <x:v>—</x:v>
      </x:c>
      <x:c r="J77" s="24" t="str">
        <x:v>Flexor carpi radialis; Flexor carpi ulnaris humeral head; Flexor carpi ulnaris ulnar head; Palmaris longus</x:v>
      </x:c>
      <x:c r="K77" s="24" t="str">
        <x:v>Common flexor tendon</x:v>
      </x:c>
      <x:c r="L77" s="24" t="str">
        <x:v>Elbow collateral ligaments stabilize elbow; NOT a stretch target</x:v>
      </x:c>
      <x:c r="M77" s="24" t="str">
        <x:v>Muscles: Flexor carpi radialis; Flexor carpi ulnaris humeral head; Flexor carpi ulnaris ulnar head; Palmaris longus | Tendons/fascia: Common flexor tendon | Ligament context only: Elbow collateral ligaments stabilize elbow; NOT a stretch target</x:v>
      </x:c>
      <x:c r="N77" s="24" t="str">
        <x:v>Flexor carpi radialis; Flexor carpi ulnaris humeral head; Flexor carpi ulnaris ulnar head; Palmaris longus</x:v>
      </x:c>
      <x:c r="O77" s="24" t="str">
        <x:v>Support forearm palm up; assist lift, slowly lower against load.</x:v>
      </x:c>
      <x:c r="P77" s="24" t="str">
        <x:v>Water bottle</x:v>
      </x:c>
      <x:c r="Q77" s="24" t="str">
        <x:v>2–3 × 8–12 controlled reps</x:v>
      </x:c>
      <x:c r="R77" s="24" t="str">
        <x:v>Progress gradually; stop with sharp pain, dizziness, or numbness.</x:v>
      </x:c>
      <x:c r="S77" s="24" t="str">
        <x:v>https://www.acsm.org/education-resources/trending-topics-resources/physical-activity-guidelines</x:v>
      </x:c>
      <x:c r="T77" s="24" t="str">
        <x:v>Anatomy-based mapping</x:v>
      </x:c>
    </x:row>
    <x:row r="78" ht="54" customHeight="1">
      <x:c r="A78" s="24" t="str">
        <x:v>EX0075</x:v>
      </x:c>
      <x:c r="B78" s="24" t="str">
        <x:v>Towel squeeze</x:v>
      </x:c>
      <x:c r="C78" s="24" t="str">
        <x:v>Hand &amp; Fingers</x:v>
      </x:c>
      <x:c r="D78" s="24" t="str">
        <x:v>Home</x:v>
      </x:c>
      <x:c r="E78" s="24" t="str">
        <x:v>Isolation strength</x:v>
      </x:c>
      <x:c r="F78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G78" s="24" t="str">
        <x:v>—</x:v>
      </x:c>
      <x:c r="H78" s="24" t="str">
        <x:v>Flexor carpi radialis; Flexor carpi ulnaris humeral head; Flexor carpi ulnaris ulnar head; Palmaris longus; Extensor carpi ulnaris; Extensor carpi radialis brevis; Extensor carpi radialis longus</x:v>
      </x:c>
      <x:c r="I78" s="24" t="str">
        <x:v>—</x:v>
      </x:c>
      <x:c r="J78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carpi radialis; Flexor carpi ulnaris humeral head; Flexor carpi ulnaris ulnar head; Palmaris longus; Extensor carpi ulnaris; Extensor carpi radialis brevis; Extensor carpi radialis longus</x:v>
      </x:c>
      <x:c r="K78" s="24" t="str">
        <x:v>Flexor digitorum profundus/superficialis tendons; thenar aponeurosis</x:v>
      </x:c>
      <x:c r="L78" s="24" t="str">
        <x:v>Digital collateral ligaments, volar plates and flexor tendon pulleys protect joints/tendons; NOT stretch targets</x:v>
      </x:c>
      <x:c r="M78" s="24" t="str">
        <x:v>Muscles: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carpi radialis; Flexor carpi ulnaris humeral head; Flexor carpi ulnaris ulnar head; Palmaris longus; Extensor carpi ulnaris; Extensor carpi radialis brevis; Extensor carpi radialis longus | Tendons/fascia: Flexor digitorum profundus/superficialis tendons; thenar aponeurosis | Ligament context only: Digital collateral ligaments, volar plates and flexor tendon pulleys protect joints/tendons; NOT stretch targets</x:v>
      </x:c>
      <x:c r="N78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O78" s="24" t="str">
        <x:v>Squeeze rolled towel firmly but comfortably, then relax.</x:v>
      </x:c>
      <x:c r="P78" s="24" t="str">
        <x:v>Towel</x:v>
      </x:c>
      <x:c r="Q78" s="24" t="str">
        <x:v>2–3 × 8–12 controlled reps</x:v>
      </x:c>
      <x:c r="R78" s="24" t="str">
        <x:v>Progress gradually; stop with sharp pain, dizziness, or numbness.</x:v>
      </x:c>
      <x:c r="S78" s="24" t="str">
        <x:v>https://www.acsm.org/education-resources/trending-topics-resources/physical-activity-guidelines</x:v>
      </x:c>
      <x:c r="T78" s="24" t="str">
        <x:v>Anatomy-based mapping</x:v>
      </x:c>
    </x:row>
    <x:row r="79" ht="54" customHeight="1">
      <x:c r="A79" s="24" t="str">
        <x:v>EX0076</x:v>
      </x:c>
      <x:c r="B79" s="24" t="str">
        <x:v>Soft therapy-putty grip</x:v>
      </x:c>
      <x:c r="C79" s="24" t="str">
        <x:v>Hand &amp; Fingers</x:v>
      </x:c>
      <x:c r="D79" s="24" t="str">
        <x:v>Home</x:v>
      </x:c>
      <x:c r="E79" s="24" t="str">
        <x:v>Isolation strength</x:v>
      </x:c>
      <x:c r="F79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G79" s="24" t="str">
        <x:v>—</x:v>
      </x:c>
      <x:c r="H79" s="24" t="str">
        <x:v>Extensor carpi ulnaris; Extensor carpi radialis brevis; Extensor carpi radialis longus</x:v>
      </x:c>
      <x:c r="I79" s="24" t="str">
        <x:v>—</x:v>
      </x:c>
      <x:c r="J79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carpi ulnaris; Extensor carpi radialis brevis; Extensor carpi radialis longus</x:v>
      </x:c>
      <x:c r="K79" s="24" t="str">
        <x:v>Flexor finger tendons</x:v>
      </x:c>
      <x:c r="L79" s="24" t="str">
        <x:v>Digital collateral ligaments, volar plates and flexor tendon pulleys protect joints/tendons; NOT stretch targets</x:v>
      </x:c>
      <x:c r="M79" s="24" t="str">
        <x:v>Muscles: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carpi ulnaris; Extensor carpi radialis brevis; Extensor carpi radialis longus | Tendons/fascia: Flexor finger tendons | Ligament context only: Digital collateral ligaments, volar plates and flexor tendon pulleys protect joints/tendons; NOT stretch targets</x:v>
      </x:c>
      <x:c r="N79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O79" s="24" t="str">
        <x:v>Squeeze soft putty and release fingers fully.</x:v>
      </x:c>
      <x:c r="P79" s="24" t="str">
        <x:v>Putty</x:v>
      </x:c>
      <x:c r="Q79" s="24" t="str">
        <x:v>2–3 × 8–12 controlled reps</x:v>
      </x:c>
      <x:c r="R79" s="24" t="str">
        <x:v>Progress gradually; stop with sharp pain, dizziness, or numbness.</x:v>
      </x:c>
      <x:c r="S79" s="24" t="str">
        <x:v>https://www.acsm.org/education-resources/trending-topics-resources/physical-activity-guidelines</x:v>
      </x:c>
      <x:c r="T79" s="24" t="str">
        <x:v>Anatomy-based mapping</x:v>
      </x:c>
    </x:row>
    <x:row r="80" ht="54" customHeight="1">
      <x:c r="A80" s="24" t="str">
        <x:v>EX0077</x:v>
      </x:c>
      <x:c r="B80" s="24" t="str">
        <x:v>Rubber-band finger opening</x:v>
      </x:c>
      <x:c r="C80" s="24" t="str">
        <x:v>Hand &amp; Fingers</x:v>
      </x:c>
      <x:c r="D80" s="24" t="str">
        <x:v>Home</x:v>
      </x:c>
      <x:c r="E80" s="24" t="str">
        <x:v>Band strength</x:v>
      </x:c>
      <x:c r="F80" s="24" t="str">
        <x:v>Extensor digitorum; Extensor indicis; Extensor digiti minimi;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G80" s="24" t="str">
        <x:v>—</x:v>
      </x:c>
      <x:c r="H80" s="24" t="str">
        <x:v>Extensor carpi ulnaris; Extensor carpi radialis brevis; Extensor carpi radialis longus</x:v>
      </x:c>
      <x:c r="I80" s="24" t="str">
        <x:v>—</x:v>
      </x:c>
      <x:c r="J80" s="24" t="str">
        <x:v>Extensor digitorum; Extensor indicis; Extensor digiti minimi;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carpi ulnaris; Extensor carpi radialis brevis; Extensor carpi radialis longus</x:v>
      </x:c>
      <x:c r="K80" s="24" t="str">
        <x:v>Extensor digitorum and extensor expansion</x:v>
      </x:c>
      <x:c r="L80" s="24" t="str">
        <x:v>Digital collateral ligaments, volar plates and flexor tendon pulleys protect joints/tendons; NOT stretch targets</x:v>
      </x:c>
      <x:c r="M80" s="24" t="str">
        <x:v>Muscles: Extensor digitorum; Extensor indicis; Extensor digiti minimi;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carpi ulnaris; Extensor carpi radialis brevis; Extensor carpi radialis longus | Tendons/fascia: Extensor digitorum and extensor expansion | Ligament context only: Digital collateral ligaments, volar plates and flexor tendon pulleys protect joints/tendons; NOT stretch targets</x:v>
      </x:c>
      <x:c r="N80" s="24" t="str">
        <x:v>Extensor digitorum; Extensor indicis; Extensor digiti minimi;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O80" s="24" t="str">
        <x:v>Loop elastic around fingers and spread/extend fingers slowly.</x:v>
      </x:c>
      <x:c r="P80" s="24" t="str">
        <x:v>Light elastic</x:v>
      </x:c>
      <x:c r="Q80" s="24" t="str">
        <x:v>2–3 × 8–12 controlled reps</x:v>
      </x:c>
      <x:c r="R80" s="24" t="str">
        <x:v>Progress gradually; stop with sharp pain, dizziness, or numbness.</x:v>
      </x:c>
      <x:c r="S80" s="24" t="str">
        <x:v>https://www.acsm.org/education-resources/trending-topics-resources/physical-activity-guidelines</x:v>
      </x:c>
      <x:c r="T80" s="24" t="str">
        <x:v>Anatomy-based mapping</x:v>
      </x:c>
    </x:row>
    <x:row r="81" ht="54" customHeight="1">
      <x:c r="A81" s="24" t="str">
        <x:v>EX0078</x:v>
      </x:c>
      <x:c r="B81" s="24" t="str">
        <x:v>Tabletop intrinsic-plus hand position</x:v>
      </x:c>
      <x:c r="C81" s="24" t="str">
        <x:v>Hand &amp; Fingers</x:v>
      </x:c>
      <x:c r="D81" s="24" t="str">
        <x:v>Home</x:v>
      </x:c>
      <x:c r="E81" s="24" t="str">
        <x:v>Motor control</x:v>
      </x:c>
      <x:c r="F81" s="24" t="str">
        <x:v>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G81" s="24" t="str">
        <x:v>Extensor digitorum; Extensor indicis; Extensor digiti minimi</x:v>
      </x:c>
      <x:c r="H81" s="24" t="str">
        <x:v>—</x:v>
      </x:c>
      <x:c r="I81" s="24" t="str">
        <x:v>—</x:v>
      </x:c>
      <x:c r="J81" s="24" t="str">
        <x:v>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digitorum; Extensor indicis; Extensor digiti minimi</x:v>
      </x:c>
      <x:c r="K81" s="24" t="str">
        <x:v>Dorsal extensor expansions; lumbrical tendinous origins</x:v>
      </x:c>
      <x:c r="L81" s="24" t="str">
        <x:v>Digital collateral ligaments, volar plates and flexor tendon pulleys protect joints/tendons; NOT stretch targets</x:v>
      </x:c>
      <x:c r="M81" s="24" t="str">
        <x:v>Muscles: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digitorum; Extensor indicis; Extensor digiti minimi | Tendons/fascia: Dorsal extensor expansions; lumbrical tendinous origins | Ligament context only: Digital collateral ligaments, volar plates and flexor tendon pulleys protect joints/tendons; NOT stretch targets</x:v>
      </x:c>
      <x:c r="N81" s="24" t="str">
        <x:v>Low-load activation, not ordinarily to fatigue: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O81" s="24" t="str">
        <x:v>Flex knuckles while keeping interphalangeal joints extended; relax fully.</x:v>
      </x:c>
      <x:c r="P81" s="24" t="str">
        <x:v>Table</x:v>
      </x:c>
      <x:c r="Q81" s="24" t="str">
        <x:v>1–2 × 5–10 controlled reps</x:v>
      </x:c>
      <x:c r="R81" s="24" t="str">
        <x:v>Progress gradually; stop with sharp pain, dizziness, or numbness.</x:v>
      </x:c>
      <x:c r="S81" s="24" t="str">
        <x:v>https://www.acsm.org/education-resources/trending-topics-resources/physical-activity-guidelines</x:v>
      </x:c>
      <x:c r="T81" s="24" t="str">
        <x:v>Anatomy-based mapping</x:v>
      </x:c>
    </x:row>
    <x:row r="82" ht="54" customHeight="1">
      <x:c r="A82" s="24" t="str">
        <x:v>EX0079</x:v>
      </x:c>
      <x:c r="B82" s="24" t="str">
        <x:v>Individual finger lift from table</x:v>
      </x:c>
      <x:c r="C82" s="24" t="str">
        <x:v>Hand &amp; Fingers</x:v>
      </x:c>
      <x:c r="D82" s="24" t="str">
        <x:v>Home</x:v>
      </x:c>
      <x:c r="E82" s="24" t="str">
        <x:v>Motor control</x:v>
      </x:c>
      <x:c r="F82" s="24" t="str">
        <x:v>Extensor digitorum; Extensor indicis; Extensor digiti minimi; Lumbrical 1 (index); Lumbrical 2 (middle); Lumbrical 3 (ring); Lumbrical 4 (little)</x:v>
      </x:c>
      <x:c r="G82" s="24" t="str">
        <x:v>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H82" s="24" t="str">
        <x:v>—</x:v>
      </x:c>
      <x:c r="I82" s="24" t="str">
        <x:v>—</x:v>
      </x:c>
      <x:c r="J82" s="24" t="str">
        <x:v>Extensor digitorum; Extensor indicis; Extensor digiti minimi;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K82" s="24" t="str">
        <x:v>Extensor tendon hood</x:v>
      </x:c>
      <x:c r="L82" s="24" t="str">
        <x:v>Digital collateral ligaments, volar plates and flexor tendon pulleys protect joints/tendons; NOT stretch targets</x:v>
      </x:c>
      <x:c r="M82" s="24" t="str">
        <x:v>Muscles: Extensor digitorum; Extensor indicis; Extensor digiti minimi;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 | Tendons/fascia: Extensor tendon hood | Ligament context only: Digital collateral ligaments, volar plates and flexor tendon pulleys protect joints/tendons; NOT stretch targets</x:v>
      </x:c>
      <x:c r="N82" s="24" t="str">
        <x:v>Low-load activation, not ordinarily to fatigue: Extensor digitorum; Extensor indicis; Extensor digiti minimi; Lumbrical 1 (index); Lumbrical 2 (middle); Lumbrical 3 (ring); Lumbrical 4 (little)</x:v>
      </x:c>
      <x:c r="O82" s="24" t="str">
        <x:v>Palm flat; raise one finger at a time without forcing joints.</x:v>
      </x:c>
      <x:c r="P82" s="24" t="str">
        <x:v>Table</x:v>
      </x:c>
      <x:c r="Q82" s="24" t="str">
        <x:v>1–2 × 5–10 controlled reps</x:v>
      </x:c>
      <x:c r="R82" s="24" t="str">
        <x:v>Progress gradually; stop with sharp pain, dizziness, or numbness.</x:v>
      </x:c>
      <x:c r="S82" s="24" t="str">
        <x:v>https://www.acsm.org/education-resources/trending-topics-resources/physical-activity-guidelines</x:v>
      </x:c>
      <x:c r="T82" s="24" t="str">
        <x:v>Anatomy-based mapping</x:v>
      </x:c>
    </x:row>
    <x:row r="83" ht="54" customHeight="1">
      <x:c r="A83" s="24" t="str">
        <x:v>EX0080</x:v>
      </x:c>
      <x:c r="B83" s="24" t="str">
        <x:v>Index finger extension with rubber band</x:v>
      </x:c>
      <x:c r="C83" s="24" t="str">
        <x:v>Hand &amp; Fingers</x:v>
      </x:c>
      <x:c r="D83" s="24" t="str">
        <x:v>Home</x:v>
      </x:c>
      <x:c r="E83" s="24" t="str">
        <x:v>Band strength</x:v>
      </x:c>
      <x:c r="F83" s="24" t="str">
        <x:v>Extensor indicis; Extensor digitorum</x:v>
      </x:c>
      <x:c r="G83" s="24" t="str">
        <x:v>—</x:v>
      </x:c>
      <x:c r="H83" s="24" t="str">
        <x:v>Extensor carpi ulnaris; Extensor carpi radialis brevis; Extensor carpi radialis longus</x:v>
      </x:c>
      <x:c r="I83" s="24" t="str">
        <x:v>—</x:v>
      </x:c>
      <x:c r="J83" s="24" t="str">
        <x:v>Extensor indicis; Extensor digitorum; Extensor carpi ulnaris; Extensor carpi radialis brevis; Extensor carpi radialis longus</x:v>
      </x:c>
      <x:c r="K83" s="24" t="str">
        <x:v>Extensor indicis tendon</x:v>
      </x:c>
      <x:c r="L83" s="24" t="str">
        <x:v>Digital collateral ligaments, volar plates and flexor tendon pulleys protect joints/tendons; NOT stretch targets</x:v>
      </x:c>
      <x:c r="M83" s="24" t="str">
        <x:v>Muscles: Extensor indicis; Extensor digitorum; Extensor carpi ulnaris; Extensor carpi radialis brevis; Extensor carpi radialis longus | Tendons/fascia: Extensor indicis tendon | Ligament context only: Digital collateral ligaments, volar plates and flexor tendon pulleys protect joints/tendons; NOT stretch targets</x:v>
      </x:c>
      <x:c r="N83" s="24" t="str">
        <x:v>Extensor indicis; Extensor digitorum</x:v>
      </x:c>
      <x:c r="O83" s="24" t="str">
        <x:v>Extend index MCP joint against light elastic.</x:v>
      </x:c>
      <x:c r="P83" s="24" t="str">
        <x:v>Light elastic</x:v>
      </x:c>
      <x:c r="Q83" s="24" t="str">
        <x:v>2–3 × 8–12 controlled reps</x:v>
      </x:c>
      <x:c r="R83" s="24" t="str">
        <x:v>Progress gradually; stop with sharp pain, dizziness, or numbness.</x:v>
      </x:c>
      <x:c r="S83" s="24" t="str">
        <x:v>https://www.acsm.org/education-resources/trending-topics-resources/physical-activity-guidelines</x:v>
      </x:c>
      <x:c r="T83" s="24" t="str">
        <x:v>Anatomy-based mapping</x:v>
      </x:c>
    </x:row>
    <x:row r="84" ht="54" customHeight="1">
      <x:c r="A84" s="24" t="str">
        <x:v>EX0081</x:v>
      </x:c>
      <x:c r="B84" s="24" t="str">
        <x:v>Little-finger extension with rubber band</x:v>
      </x:c>
      <x:c r="C84" s="24" t="str">
        <x:v>Hand &amp; Fingers</x:v>
      </x:c>
      <x:c r="D84" s="24" t="str">
        <x:v>Home</x:v>
      </x:c>
      <x:c r="E84" s="24" t="str">
        <x:v>Band strength</x:v>
      </x:c>
      <x:c r="F84" s="24" t="str">
        <x:v>Extensor digiti minimi; Extensor digitorum</x:v>
      </x:c>
      <x:c r="G84" s="24" t="str">
        <x:v>—</x:v>
      </x:c>
      <x:c r="H84" s="24" t="str">
        <x:v>Extensor carpi ulnaris; Extensor carpi radialis brevis; Extensor carpi radialis longus</x:v>
      </x:c>
      <x:c r="I84" s="24" t="str">
        <x:v>—</x:v>
      </x:c>
      <x:c r="J84" s="24" t="str">
        <x:v>Extensor digiti minimi; Extensor digitorum; Extensor carpi ulnaris; Extensor carpi radialis brevis; Extensor carpi radialis longus</x:v>
      </x:c>
      <x:c r="K84" s="24" t="str">
        <x:v>Extensor digiti minimi tendon</x:v>
      </x:c>
      <x:c r="L84" s="24" t="str">
        <x:v>Digital collateral ligaments, volar plates and flexor tendon pulleys protect joints/tendons; NOT stretch targets</x:v>
      </x:c>
      <x:c r="M84" s="24" t="str">
        <x:v>Muscles: Extensor digiti minimi; Extensor digitorum; Extensor carpi ulnaris; Extensor carpi radialis brevis; Extensor carpi radialis longus | Tendons/fascia: Extensor digiti minimi tendon | Ligament context only: Digital collateral ligaments, volar plates and flexor tendon pulleys protect joints/tendons; NOT stretch targets</x:v>
      </x:c>
      <x:c r="N84" s="24" t="str">
        <x:v>Extensor digiti minimi; Extensor digitorum</x:v>
      </x:c>
      <x:c r="O84" s="24" t="str">
        <x:v>Extend little finger against light elastic.</x:v>
      </x:c>
      <x:c r="P84" s="24" t="str">
        <x:v>Light elastic</x:v>
      </x:c>
      <x:c r="Q84" s="24" t="str">
        <x:v>2–3 × 8–12 controlled reps</x:v>
      </x:c>
      <x:c r="R84" s="24" t="str">
        <x:v>Progress gradually; stop with sharp pain, dizziness, or numbness.</x:v>
      </x:c>
      <x:c r="S84" s="24" t="str">
        <x:v>https://www.acsm.org/education-resources/trending-topics-resources/physical-activity-guidelines</x:v>
      </x:c>
      <x:c r="T84" s="24" t="str">
        <x:v>Anatomy-based mapping</x:v>
      </x:c>
    </x:row>
    <x:row r="85" ht="54" customHeight="1">
      <x:c r="A85" s="24" t="str">
        <x:v>EX0082</x:v>
      </x:c>
      <x:c r="B85" s="24" t="str">
        <x:v>Finger abduction against hair elastic</x:v>
      </x:c>
      <x:c r="C85" s="24" t="str">
        <x:v>Hand &amp; Fingers</x:v>
      </x:c>
      <x:c r="D85" s="24" t="str">
        <x:v>Home</x:v>
      </x:c>
      <x:c r="E85" s="24" t="str">
        <x:v>Band strength</x:v>
      </x:c>
      <x:c r="F85" s="24" t="str">
        <x:v>Dorsal interosseous 1 (index); Dorsal interosseous 2 (middle radial); Dorsal interosseous 3 (middle ulnar); Dorsal interosseous 4 (ring); Dorsal interosseous 1 (foot); Dorsal interosseous 2 (foot); Dorsal interosseous 3 (foot); Dorsal interosseous 4 (foot)</x:v>
      </x:c>
      <x:c r="G85" s="24" t="str">
        <x:v>Abductor digiti minimi (hand); Flexor digiti minimi brevis (hand); Opponens digiti minimi; Palmaris brevis</x:v>
      </x:c>
      <x:c r="H85" s="24" t="str">
        <x:v>—</x:v>
      </x:c>
      <x:c r="I85" s="24" t="str">
        <x:v>—</x:v>
      </x:c>
      <x:c r="J85" s="24" t="str">
        <x:v>Dorsal interosseous 1 (index); Dorsal interosseous 2 (middle radial); Dorsal interosseous 3 (middle ulnar); Dorsal interosseous 4 (ring); Dorsal interosseous 1 (foot); Dorsal interosseous 2 (foot); Dorsal interosseous 3 (foot); Dorsal interosseous 4 (foot); Abductor digiti minimi (hand); Flexor digiti minimi brevis (hand); Opponens digiti minimi; Palmaris brevis</x:v>
      </x:c>
      <x:c r="K85" s="24" t="str">
        <x:v>Dorsal interossei tendons/extensor hoods</x:v>
      </x:c>
      <x:c r="L85" s="24" t="str">
        <x:v>Digital collateral ligaments, volar plates and flexor tendon pulleys protect joints/tendons; NOT stretch targets</x:v>
      </x:c>
      <x:c r="M85" s="24" t="str">
        <x:v>Muscles: Dorsal interosseous 1 (index); Dorsal interosseous 2 (middle radial); Dorsal interosseous 3 (middle ulnar); Dorsal interosseous 4 (ring); Dorsal interosseous 1 (foot); Dorsal interosseous 2 (foot); Dorsal interosseous 3 (foot); Dorsal interosseous 4 (foot); Abductor digiti minimi (hand); Flexor digiti minimi brevis (hand); Opponens digiti minimi; Palmaris brevis | Tendons/fascia: Dorsal interossei tendons/extensor hoods | Ligament context only: Digital collateral ligaments, volar plates and flexor tendon pulleys protect joints/tendons; NOT stretch targets</x:v>
      </x:c>
      <x:c r="N85" s="24" t="str">
        <x:v>Dorsal interosseous 1 (index); Dorsal interosseous 2 (middle radial); Dorsal interosseous 3 (middle ulnar); Dorsal interosseous 4 (ring); Dorsal interosseous 1 (foot); Dorsal interosseous 2 (foot); Dorsal interosseous 3 (foot); Dorsal interosseous 4 (foot); Abductor digiti minimi (hand); Flexor digiti minimi brevis (hand); Opponens digiti minimi; Palmaris brevis</x:v>
      </x:c>
      <x:c r="O85" s="24" t="str">
        <x:v>Spread fingers apart against very light elastic; release.</x:v>
      </x:c>
      <x:c r="P85" s="24" t="str">
        <x:v>Soft elastic</x:v>
      </x:c>
      <x:c r="Q85" s="24" t="str">
        <x:v>2–3 × 8–12 controlled reps</x:v>
      </x:c>
      <x:c r="R85" s="24" t="str">
        <x:v>Progress gradually; stop with sharp pain, dizziness, or numbness.</x:v>
      </x:c>
      <x:c r="S85" s="24" t="str">
        <x:v>https://www.acsm.org/education-resources/trending-topics-resources/physical-activity-guidelines</x:v>
      </x:c>
      <x:c r="T85" s="24" t="str">
        <x:v>Anatomy-based mapping</x:v>
      </x:c>
    </x:row>
    <x:row r="86" ht="54" customHeight="1">
      <x:c r="A86" s="24" t="str">
        <x:v>EX0083</x:v>
      </x:c>
      <x:c r="B86" s="24" t="str">
        <x:v>Finger adduction with folded paper</x:v>
      </x:c>
      <x:c r="C86" s="24" t="str">
        <x:v>Hand &amp; Fingers</x:v>
      </x:c>
      <x:c r="D86" s="24" t="str">
        <x:v>Home</x:v>
      </x:c>
      <x:c r="E86" s="24" t="str">
        <x:v>Isometric strength</x:v>
      </x:c>
      <x:c r="F86" s="24" t="str">
        <x:v>Palmar interosseous 1 (index); Palmar interosseous 2 (ring); Palmar interosseous 3 (little)</x:v>
      </x:c>
      <x:c r="G86" s="24" t="str">
        <x:v>Lumbrical 1 (index); Lumbrical 2 (middle); Lumbrical 3 (ring); Lumbrical 4 (little)</x:v>
      </x:c>
      <x:c r="H86" s="24" t="str">
        <x:v>—</x:v>
      </x:c>
      <x:c r="I86" s="24" t="str">
        <x:v>—</x:v>
      </x:c>
      <x:c r="J86" s="24" t="str">
        <x:v>Palmar interosseous 1 (index); Palmar interosseous 2 (ring); Palmar interosseous 3 (little); Lumbrical 1 (index); Lumbrical 2 (middle); Lumbrical 3 (ring); Lumbrical 4 (little)</x:v>
      </x:c>
      <x:c r="K86" s="24" t="str">
        <x:v>Palmar interossei/extensor expansion</x:v>
      </x:c>
      <x:c r="L86" s="24" t="str">
        <x:v>Digital collateral ligaments, volar plates and flexor tendon pulleys protect joints/tendons; NOT stretch targets</x:v>
      </x:c>
      <x:c r="M86" s="24" t="str">
        <x:v>Muscles: Palmar interosseous 1 (index); Palmar interosseous 2 (ring); Palmar interosseous 3 (little); Lumbrical 1 (index); Lumbrical 2 (middle); Lumbrical 3 (ring); Lumbrical 4 (little) | Tendons/fascia: Palmar interossei/extensor expansion | Ligament context only: Digital collateral ligaments, volar plates and flexor tendon pulleys protect joints/tendons; NOT stretch targets</x:v>
      </x:c>
      <x:c r="N86" s="24" t="str">
        <x:v>Palmar interosseous 1 (index); Palmar interosseous 2 (ring); Palmar interosseous 3 (little); Lumbrical 1 (index); Lumbrical 2 (middle); Lumbrical 3 (ring); Lumbrical 4 (little)</x:v>
      </x:c>
      <x:c r="O86" s="24" t="str">
        <x:v>Hold slip of paper between two fingers without crushing or pain.</x:v>
      </x:c>
      <x:c r="P86" s="24" t="str">
        <x:v>Paper</x:v>
      </x:c>
      <x:c r="Q86" s="24" t="str">
        <x:v>2–3 × 8–12 controlled reps</x:v>
      </x:c>
      <x:c r="R86" s="24" t="str">
        <x:v>Progress gradually; stop with sharp pain, dizziness, or numbness.</x:v>
      </x:c>
      <x:c r="S86" s="24" t="str">
        <x:v>https://www.acsm.org/education-resources/trending-topics-resources/physical-activity-guidelines</x:v>
      </x:c>
      <x:c r="T86" s="24" t="str">
        <x:v>Anatomy-based mapping</x:v>
      </x:c>
    </x:row>
    <x:row r="87" ht="54" customHeight="1">
      <x:c r="A87" s="24" t="str">
        <x:v>EX0084</x:v>
      </x:c>
      <x:c r="B87" s="24" t="str">
        <x:v>Thumb opposition to every fingertip</x:v>
      </x:c>
      <x:c r="C87" s="24" t="str">
        <x:v>Hand &amp; Fingers</x:v>
      </x:c>
      <x:c r="D87" s="24" t="str">
        <x:v>Home</x:v>
      </x:c>
      <x:c r="E87" s="24" t="str">
        <x:v>Motor control</x:v>
      </x:c>
      <x:c r="F87" s="24" t="str">
        <x:v>Opponens pollicis; Abductor pollicis brevis; Flexor pollicis brevis deep head; Flexor pollicis brevis superficial head</x:v>
      </x:c>
      <x:c r="G87" s="24" t="str">
        <x:v>Adductor pollicis oblique head; Adductor pollicis transverse head</x:v>
      </x:c>
      <x:c r="H87" s="24" t="str">
        <x:v>—</x:v>
      </x:c>
      <x:c r="I87" s="24" t="str">
        <x:v>—</x:v>
      </x:c>
      <x:c r="J87" s="24" t="str">
        <x:v>Opponens pollicis; Abductor pollicis brevis; Flexor pollicis brevis deep head; Flexor pollicis brevis superficial head; Adductor pollicis oblique head; Adductor pollicis transverse head</x:v>
      </x:c>
      <x:c r="K87" s="24" t="str">
        <x:v>Thenar tendons; flexor pollicis brevis</x:v>
      </x:c>
      <x:c r="L87" s="24" t="str">
        <x:v>Digital collateral ligaments, volar plates and flexor tendon pulleys protect joints/tendons; NOT stretch targets</x:v>
      </x:c>
      <x:c r="M87" s="24" t="str">
        <x:v>Muscles: Opponens pollicis; Abductor pollicis brevis; Flexor pollicis brevis deep head; Flexor pollicis brevis superficial head; Adductor pollicis oblique head; Adductor pollicis transverse head | Tendons/fascia: Thenar tendons; flexor pollicis brevis | Ligament context only: Digital collateral ligaments, volar plates and flexor tendon pulleys protect joints/tendons; NOT stretch targets</x:v>
      </x:c>
      <x:c r="N87" s="24" t="str">
        <x:v>Low-load activation, not ordinarily to fatigue: Opponens pollicis; Abductor pollicis brevis; Flexor pollicis brevis deep head; Flexor pollicis brevis superficial head</x:v>
      </x:c>
      <x:c r="O87" s="24" t="str">
        <x:v>Touch thumb to each fingertip and base of little finger without collapse.</x:v>
      </x:c>
      <x:c r="P87" s="24" t="str">
        <x:v>None</x:v>
      </x:c>
      <x:c r="Q87" s="24" t="str">
        <x:v>1–2 × 5–10 controlled reps</x:v>
      </x:c>
      <x:c r="R87" s="24" t="str">
        <x:v>Progress gradually; stop with sharp pain, dizziness, or numbness.</x:v>
      </x:c>
      <x:c r="S87" s="24" t="str">
        <x:v>https://www.acsm.org/education-resources/trending-topics-resources/physical-activity-guidelines</x:v>
      </x:c>
      <x:c r="T87" s="24" t="str">
        <x:v>Anatomy-based mapping</x:v>
      </x:c>
    </x:row>
    <x:row r="88" ht="54" customHeight="1">
      <x:c r="A88" s="24" t="str">
        <x:v>EX0085</x:v>
      </x:c>
      <x:c r="B88" s="24" t="str">
        <x:v>Rubber-band thumb abduction</x:v>
      </x:c>
      <x:c r="C88" s="24" t="str">
        <x:v>Hand &amp; Fingers</x:v>
      </x:c>
      <x:c r="D88" s="24" t="str">
        <x:v>Home</x:v>
      </x:c>
      <x:c r="E88" s="24" t="str">
        <x:v>Band strength</x:v>
      </x:c>
      <x:c r="F88" s="24" t="str">
        <x:v>Abductor pollicis brevis; Abductor pollicis longus</x:v>
      </x:c>
      <x:c r="G88" s="24" t="str">
        <x:v>Opponens pollicis</x:v>
      </x:c>
      <x:c r="H88" s="24" t="str">
        <x:v>—</x:v>
      </x:c>
      <x:c r="I88" s="24" t="str">
        <x:v>—</x:v>
      </x:c>
      <x:c r="J88" s="24" t="str">
        <x:v>Abductor pollicis brevis; Abductor pollicis longus; Opponens pollicis</x:v>
      </x:c>
      <x:c r="K88" s="24" t="str">
        <x:v>APL and APB tendons</x:v>
      </x:c>
      <x:c r="L88" s="24" t="str">
        <x:v>Digital collateral ligaments, volar plates and flexor tendon pulleys protect joints/tendons; NOT stretch targets</x:v>
      </x:c>
      <x:c r="M88" s="24" t="str">
        <x:v>Muscles: Abductor pollicis brevis; Abductor pollicis longus; Opponens pollicis | Tendons/fascia: APL and APB tendons | Ligament context only: Digital collateral ligaments, volar plates and flexor tendon pulleys protect joints/tendons; NOT stretch targets</x:v>
      </x:c>
      <x:c r="N88" s="24" t="str">
        <x:v>Abductor pollicis brevis; Abductor pollicis longus; Opponens pollicis</x:v>
      </x:c>
      <x:c r="O88" s="24" t="str">
        <x:v>Gently move thumb away from palm against band.</x:v>
      </x:c>
      <x:c r="P88" s="24" t="str">
        <x:v>Light elastic</x:v>
      </x:c>
      <x:c r="Q88" s="24" t="str">
        <x:v>2–3 × 8–12 controlled reps</x:v>
      </x:c>
      <x:c r="R88" s="24" t="str">
        <x:v>Progress gradually; stop with sharp pain, dizziness, or numbness.</x:v>
      </x:c>
      <x:c r="S88" s="24" t="str">
        <x:v>https://www.acsm.org/education-resources/trending-topics-resources/physical-activity-guidelines</x:v>
      </x:c>
      <x:c r="T88" s="24" t="str">
        <x:v>Anatomy-based mapping</x:v>
      </x:c>
    </x:row>
    <x:row r="89" ht="54" customHeight="1">
      <x:c r="A89" s="24" t="str">
        <x:v>EX0086</x:v>
      </x:c>
      <x:c r="B89" s="24" t="str">
        <x:v>Thumb adduction paper pinch</x:v>
      </x:c>
      <x:c r="C89" s="24" t="str">
        <x:v>Hand &amp; Fingers</x:v>
      </x:c>
      <x:c r="D89" s="24" t="str">
        <x:v>Home</x:v>
      </x:c>
      <x:c r="E89" s="24" t="str">
        <x:v>Isometric strength</x:v>
      </x:c>
      <x:c r="F89" s="24" t="str">
        <x:v>Adductor pollicis oblique head; Adductor pollicis transverse head</x:v>
      </x:c>
      <x:c r="G89" s="24" t="str">
        <x:v>Flexor pollicis brevis deep head; Flexor pollicis brevis superficial head</x:v>
      </x:c>
      <x:c r="H89" s="24" t="str">
        <x:v>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I89" s="24" t="str">
        <x:v>—</x:v>
      </x:c>
      <x:c r="J89" s="24" t="str">
        <x:v>Adductor pollicis oblique head; Adductor pollicis transverse head; Flexor pollicis brevis deep head; Flexor pollicis brevis superficial head;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K89" s="24" t="str">
        <x:v>Adductor pollicis tendinous insertion</x:v>
      </x:c>
      <x:c r="L89" s="24" t="str">
        <x:v>Digital collateral ligaments, volar plates and flexor tendon pulleys protect joints/tendons; NOT stretch targets</x:v>
      </x:c>
      <x:c r="M89" s="24" t="str">
        <x:v>Muscles: Adductor pollicis oblique head; Adductor pollicis transverse head; Flexor pollicis brevis deep head; Flexor pollicis brevis superficial head;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 | Tendons/fascia: Adductor pollicis tendinous insertion | Ligament context only: Digital collateral ligaments, volar plates and flexor tendon pulleys protect joints/tendons; NOT stretch targets</x:v>
      </x:c>
      <x:c r="N89" s="24" t="str">
        <x:v>Adductor pollicis oblique head; Adductor pollicis transverse head; Flexor pollicis brevis deep head; Flexor pollicis brevis superficial head</x:v>
      </x:c>
      <x:c r="O89" s="24" t="str">
        <x:v>Hold paper between thumb and index without overflexing thumb IP joint.</x:v>
      </x:c>
      <x:c r="P89" s="24" t="str">
        <x:v>Paper</x:v>
      </x:c>
      <x:c r="Q89" s="24" t="str">
        <x:v>2–3 × 8–12 controlled reps</x:v>
      </x:c>
      <x:c r="R89" s="24" t="str">
        <x:v>Progress gradually; stop with sharp pain, dizziness, or numbness.</x:v>
      </x:c>
      <x:c r="S89" s="24" t="str">
        <x:v>https://www.acsm.org/education-resources/trending-topics-resources/physical-activity-guidelines</x:v>
      </x:c>
      <x:c r="T89" s="24" t="str">
        <x:v>Anatomy-based mapping</x:v>
      </x:c>
    </x:row>
    <x:row r="90" ht="54" customHeight="1">
      <x:c r="A90" s="24" t="str">
        <x:v>EX0087</x:v>
      </x:c>
      <x:c r="B90" s="24" t="str">
        <x:v>Key pinch with therapy putty</x:v>
      </x:c>
      <x:c r="C90" s="24" t="str">
        <x:v>Hand &amp; Fingers</x:v>
      </x:c>
      <x:c r="D90" s="24" t="str">
        <x:v>Home</x:v>
      </x:c>
      <x:c r="E90" s="24" t="str">
        <x:v>Isolation strength</x:v>
      </x:c>
      <x:c r="F90" s="24" t="str">
        <x:v>Adductor pollicis oblique head; Adductor pollicis transverse head; Flexor pollicis brevis deep head; Flexor pollicis brevis superficial head</x:v>
      </x:c>
      <x:c r="G90" s="24" t="str">
        <x:v>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H90" s="24" t="str">
        <x:v>Flexor carpi radialis; Flexor carpi ulnaris humeral head; Flexor carpi ulnaris ulnar head; Palmaris longus</x:v>
      </x:c>
      <x:c r="I90" s="24" t="str">
        <x:v>—</x:v>
      </x:c>
      <x:c r="J90" s="24" t="str">
        <x:v>Adductor pollicis oblique head; Adductor pollicis transverse head; Flexor pollicis brevis deep head; Flexor pollicis brevis superficial head;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carpi radialis; Flexor carpi ulnaris humeral head; Flexor carpi ulnaris ulnar head; Palmaris longus</x:v>
      </x:c>
      <x:c r="K90" s="24" t="str">
        <x:v>Adductor pollicis tendon; FPL tendon</x:v>
      </x:c>
      <x:c r="L90" s="24" t="str">
        <x:v>Digital collateral ligaments, volar plates and flexor tendon pulleys protect joints/tendons; NOT stretch targets</x:v>
      </x:c>
      <x:c r="M90" s="24" t="str">
        <x:v>Muscles: Adductor pollicis oblique head; Adductor pollicis transverse head; Flexor pollicis brevis deep head; Flexor pollicis brevis superficial head;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carpi radialis; Flexor carpi ulnaris humeral head; Flexor carpi ulnaris ulnar head; Palmaris longus | Tendons/fascia: Adductor pollicis tendon; FPL tendon | Ligament context only: Digital collateral ligaments, volar plates and flexor tendon pulleys protect joints/tendons; NOT stretch targets</x:v>
      </x:c>
      <x:c r="N90" s="24" t="str">
        <x:v>Adductor pollicis oblique head; Adductor pollicis transverse head; Flexor pollicis brevis deep head; Flexor pollicis brevis superficial head;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O90" s="24" t="str">
        <x:v>Pinch putty between thumb pad/side and index finger.</x:v>
      </x:c>
      <x:c r="P90" s="24" t="str">
        <x:v>Soft putty</x:v>
      </x:c>
      <x:c r="Q90" s="24" t="str">
        <x:v>2–3 × 8–12 controlled reps</x:v>
      </x:c>
      <x:c r="R90" s="24" t="str">
        <x:v>Progress gradually; stop with sharp pain, dizziness, or numbness.</x:v>
      </x:c>
      <x:c r="S90" s="24" t="str">
        <x:v>https://www.acsm.org/education-resources/trending-topics-resources/physical-activity-guidelines</x:v>
      </x:c>
      <x:c r="T90" s="24" t="str">
        <x:v>Anatomy-based mapping</x:v>
      </x:c>
    </x:row>
    <x:row r="91" ht="54" customHeight="1">
      <x:c r="A91" s="24" t="str">
        <x:v>EX0088</x:v>
      </x:c>
      <x:c r="B91" s="24" t="str">
        <x:v>Thumb IP flexion with light band</x:v>
      </x:c>
      <x:c r="C91" s="24" t="str">
        <x:v>Hand &amp; Fingers</x:v>
      </x:c>
      <x:c r="D91" s="24" t="str">
        <x:v>Home</x:v>
      </x:c>
      <x:c r="E91" s="24" t="str">
        <x:v>Band strength</x:v>
      </x:c>
      <x:c r="F91" s="24" t="str">
        <x:v>Flexor pollicis longus</x:v>
      </x:c>
      <x:c r="G91" s="24" t="str">
        <x:v>Flexor pollicis brevis deep head; Flexor pollicis brevis superficial head</x:v>
      </x:c>
      <x:c r="H91" s="24" t="str">
        <x:v>—</x:v>
      </x:c>
      <x:c r="I91" s="24" t="str">
        <x:v>—</x:v>
      </x:c>
      <x:c r="J91" s="24" t="str">
        <x:v>Flexor pollicis longus; Flexor pollicis brevis deep head; Flexor pollicis brevis superficial head</x:v>
      </x:c>
      <x:c r="K91" s="24" t="str">
        <x:v>Flexor pollicis longus tendon</x:v>
      </x:c>
      <x:c r="L91" s="24" t="str">
        <x:v>Digital collateral ligaments, volar plates and flexor tendon pulleys protect joints/tendons; NOT stretch targets</x:v>
      </x:c>
      <x:c r="M91" s="24" t="str">
        <x:v>Muscles: Flexor pollicis longus; Flexor pollicis brevis deep head; Flexor pollicis brevis superficial head | Tendons/fascia: Flexor pollicis longus tendon | Ligament context only: Digital collateral ligaments, volar plates and flexor tendon pulleys protect joints/tendons; NOT stretch targets</x:v>
      </x:c>
      <x:c r="N91" s="24" t="str">
        <x:v>Flexor pollicis longus; Flexor pollicis brevis deep head; Flexor pollicis brevis superficial head</x:v>
      </x:c>
      <x:c r="O91" s="24" t="str">
        <x:v>Hold thumb MCP steady; bend distal thumb joint against light band.</x:v>
      </x:c>
      <x:c r="P91" s="24" t="str">
        <x:v>Light elastic</x:v>
      </x:c>
      <x:c r="Q91" s="24" t="str">
        <x:v>2–3 × 8–12 controlled reps</x:v>
      </x:c>
      <x:c r="R91" s="24" t="str">
        <x:v>Progress gradually; stop with sharp pain, dizziness, or numbness.</x:v>
      </x:c>
      <x:c r="S91" s="24" t="str">
        <x:v>https://www.acsm.org/education-resources/trending-topics-resources/physical-activity-guidelines</x:v>
      </x:c>
      <x:c r="T91" s="24" t="str">
        <x:v>Anatomy-based mapping</x:v>
      </x:c>
    </x:row>
    <x:row r="92" ht="54" customHeight="1">
      <x:c r="A92" s="24" t="str">
        <x:v>EX0089</x:v>
      </x:c>
      <x:c r="B92" s="24" t="str">
        <x:v>Thumb extension with light band</x:v>
      </x:c>
      <x:c r="C92" s="24" t="str">
        <x:v>Hand &amp; Fingers</x:v>
      </x:c>
      <x:c r="D92" s="24" t="str">
        <x:v>Home</x:v>
      </x:c>
      <x:c r="E92" s="24" t="str">
        <x:v>Band strength</x:v>
      </x:c>
      <x:c r="F92" s="24" t="str">
        <x:v>Extensor pollicis brevis; Extensor pollicis longus; Abductor pollicis longus</x:v>
      </x:c>
      <x:c r="G92" s="24" t="str">
        <x:v>—</x:v>
      </x:c>
      <x:c r="H92" s="24" t="str">
        <x:v>Extensor carpi ulnaris; Extensor carpi radialis brevis; Extensor carpi radialis longus</x:v>
      </x:c>
      <x:c r="I92" s="24" t="str">
        <x:v>—</x:v>
      </x:c>
      <x:c r="J92" s="24" t="str">
        <x:v>Extensor pollicis brevis; Extensor pollicis longus; Abductor pollicis longus; Extensor carpi ulnaris; Extensor carpi radialis brevis; Extensor carpi radialis longus</x:v>
      </x:c>
      <x:c r="K92" s="24" t="str">
        <x:v>EPL, EPB, APL tendons</x:v>
      </x:c>
      <x:c r="L92" s="24" t="str">
        <x:v>Digital collateral ligaments, volar plates and flexor tendon pulleys protect joints/tendons; NOT stretch targets</x:v>
      </x:c>
      <x:c r="M92" s="24" t="str">
        <x:v>Muscles: Extensor pollicis brevis; Extensor pollicis longus; Abductor pollicis longus; Extensor carpi ulnaris; Extensor carpi radialis brevis; Extensor carpi radialis longus | Tendons/fascia: EPL, EPB, APL tendons | Ligament context only: Digital collateral ligaments, volar plates and flexor tendon pulleys protect joints/tendons; NOT stretch targets</x:v>
      </x:c>
      <x:c r="N92" s="24" t="str">
        <x:v>Extensor pollicis brevis; Extensor pollicis longus; Abductor pollicis longus</x:v>
      </x:c>
      <x:c r="O92" s="24" t="str">
        <x:v>Move thumb back/outward against light elastic; avoid hyperextension.</x:v>
      </x:c>
      <x:c r="P92" s="24" t="str">
        <x:v>Light elastic</x:v>
      </x:c>
      <x:c r="Q92" s="24" t="str">
        <x:v>2–3 × 8–12 controlled reps</x:v>
      </x:c>
      <x:c r="R92" s="24" t="str">
        <x:v>Progress gradually; stop with sharp pain, dizziness, or numbness.</x:v>
      </x:c>
      <x:c r="S92" s="24" t="str">
        <x:v>https://www.acsm.org/education-resources/trending-topics-resources/physical-activity-guidelines</x:v>
      </x:c>
      <x:c r="T92" s="24" t="str">
        <x:v>Anatomy-based mapping</x:v>
      </x:c>
    </x:row>
    <x:row r="93" ht="54" customHeight="1">
      <x:c r="A93" s="24" t="str">
        <x:v>EX0090</x:v>
      </x:c>
      <x:c r="B93" s="24" t="str">
        <x:v>Little finger opposition</x:v>
      </x:c>
      <x:c r="C93" s="24" t="str">
        <x:v>Hand &amp; Fingers</x:v>
      </x:c>
      <x:c r="D93" s="24" t="str">
        <x:v>Home</x:v>
      </x:c>
      <x:c r="E93" s="24" t="str">
        <x:v>Motor control</x:v>
      </x:c>
      <x:c r="F93" s="24" t="str">
        <x:v>Opponens digiti minimi; Abductor digiti minimi (hand)</x:v>
      </x:c>
      <x:c r="G93" s="24" t="str">
        <x:v>Flexor digiti minimi brevis (hand)</x:v>
      </x:c>
      <x:c r="H93" s="24" t="str">
        <x:v>—</x:v>
      </x:c>
      <x:c r="I93" s="24" t="str">
        <x:v>—</x:v>
      </x:c>
      <x:c r="J93" s="24" t="str">
        <x:v>Opponens digiti minimi; Abductor digiti minimi (hand); Flexor digiti minimi brevis (hand)</x:v>
      </x:c>
      <x:c r="K93" s="24" t="str">
        <x:v>Hypothenar tendinous insertions</x:v>
      </x:c>
      <x:c r="L93" s="24" t="str">
        <x:v>Digital collateral ligaments, volar plates and flexor tendon pulleys protect joints/tendons; NOT stretch targets</x:v>
      </x:c>
      <x:c r="M93" s="24" t="str">
        <x:v>Muscles: Opponens digiti minimi; Abductor digiti minimi (hand); Flexor digiti minimi brevis (hand) | Tendons/fascia: Hypothenar tendinous insertions | Ligament context only: Digital collateral ligaments, volar plates and flexor tendon pulleys protect joints/tendons; NOT stretch targets</x:v>
      </x:c>
      <x:c r="N93" s="24" t="str">
        <x:v>Low-load activation, not ordinarily to fatigue: Opponens digiti minimi; Abductor digiti minimi (hand)</x:v>
      </x:c>
      <x:c r="O93" s="24" t="str">
        <x:v>Cup palm by moving fifth metacarpal toward thumb.</x:v>
      </x:c>
      <x:c r="P93" s="24" t="str">
        <x:v>None</x:v>
      </x:c>
      <x:c r="Q93" s="24" t="str">
        <x:v>1–2 × 5–10 controlled reps</x:v>
      </x:c>
      <x:c r="R93" s="24" t="str">
        <x:v>Progress gradually; stop with sharp pain, dizziness, or numbness.</x:v>
      </x:c>
      <x:c r="S93" s="24" t="str">
        <x:v>https://www.acsm.org/education-resources/trending-topics-resources/physical-activity-guidelines</x:v>
      </x:c>
      <x:c r="T93" s="24" t="str">
        <x:v>Anatomy-based mapping</x:v>
      </x:c>
    </x:row>
    <x:row r="94" ht="54" customHeight="1">
      <x:c r="A94" s="24" t="str">
        <x:v>EX0091</x:v>
      </x:c>
      <x:c r="B94" s="24" t="str">
        <x:v>Little finger abduction with elastic</x:v>
      </x:c>
      <x:c r="C94" s="24" t="str">
        <x:v>Hand &amp; Fingers</x:v>
      </x:c>
      <x:c r="D94" s="24" t="str">
        <x:v>Home</x:v>
      </x:c>
      <x:c r="E94" s="24" t="str">
        <x:v>Band strength</x:v>
      </x:c>
      <x:c r="F94" s="24" t="str">
        <x:v>Abductor digiti minimi (hand)</x:v>
      </x:c>
      <x:c r="G94" s="24" t="str">
        <x:v>Dorsal interosseous 1 (index); Dorsal interosseous 2 (middle radial); Dorsal interosseous 3 (middle ulnar); Dorsal interosseous 4 (ring); Dorsal interosseous 1 (foot); Dorsal interosseous 2 (foot); Dorsal interosseous 3 (foot); Dorsal interosseous 4 (foot)</x:v>
      </x:c>
      <x:c r="H94" s="24" t="str">
        <x:v>—</x:v>
      </x:c>
      <x:c r="I94" s="24" t="str">
        <x:v>—</x:v>
      </x:c>
      <x:c r="J94" s="24" t="str">
        <x:v>Abductor digiti minimi (hand); Dorsal interosseous 1 (index); Dorsal interosseous 2 (middle radial); Dorsal interosseous 3 (middle ulnar); Dorsal interosseous 4 (ring); Dorsal interosseous 1 (foot); Dorsal interosseous 2 (foot); Dorsal interosseous 3 (foot); Dorsal interosseous 4 (foot)</x:v>
      </x:c>
      <x:c r="K94" s="24" t="str">
        <x:v>Abductor digiti minimi tendon</x:v>
      </x:c>
      <x:c r="L94" s="24" t="str">
        <x:v>Digital collateral ligaments, volar plates and flexor tendon pulleys protect joints/tendons; NOT stretch targets</x:v>
      </x:c>
      <x:c r="M94" s="24" t="str">
        <x:v>Muscles: Abductor digiti minimi (hand); Dorsal interosseous 1 (index); Dorsal interosseous 2 (middle radial); Dorsal interosseous 3 (middle ulnar); Dorsal interosseous 4 (ring); Dorsal interosseous 1 (foot); Dorsal interosseous 2 (foot); Dorsal interosseous 3 (foot); Dorsal interosseous 4 (foot) | Tendons/fascia: Abductor digiti minimi tendon | Ligament context only: Digital collateral ligaments, volar plates and flexor tendon pulleys protect joints/tendons; NOT stretch targets</x:v>
      </x:c>
      <x:c r="N94" s="24" t="str">
        <x:v>Abductor digiti minimi (hand); Dorsal interosseous 1 (index); Dorsal interosseous 2 (middle radial); Dorsal interosseous 3 (middle ulnar); Dorsal interosseous 4 (ring); Dorsal interosseous 1 (foot); Dorsal interosseous 2 (foot); Dorsal interosseous 3 (foot); Dorsal interosseous 4 (foot)</x:v>
      </x:c>
      <x:c r="O94" s="24" t="str">
        <x:v>Move fifth digit sideways against gentle loop.</x:v>
      </x:c>
      <x:c r="P94" s="24" t="str">
        <x:v>Light elastic</x:v>
      </x:c>
      <x:c r="Q94" s="24" t="str">
        <x:v>2–3 × 8–12 controlled reps</x:v>
      </x:c>
      <x:c r="R94" s="24" t="str">
        <x:v>Progress gradually; stop with sharp pain, dizziness, or numbness.</x:v>
      </x:c>
      <x:c r="S94" s="24" t="str">
        <x:v>https://www.acsm.org/education-resources/trending-topics-resources/physical-activity-guidelines</x:v>
      </x:c>
      <x:c r="T94" s="24" t="str">
        <x:v>Anatomy-based mapping</x:v>
      </x:c>
    </x:row>
    <x:row r="95" ht="54" customHeight="1">
      <x:c r="A95" s="24" t="str">
        <x:v>EX0092</x:v>
      </x:c>
      <x:c r="B95" s="24" t="str">
        <x:v>Palmaris brevis hypothenar skin tension</x:v>
      </x:c>
      <x:c r="C95" s="24" t="str">
        <x:v>Hand &amp; Fingers</x:v>
      </x:c>
      <x:c r="D95" s="24" t="str">
        <x:v>Home</x:v>
      </x:c>
      <x:c r="E95" s="24" t="str">
        <x:v>Motor control</x:v>
      </x:c>
      <x:c r="F95" s="24" t="str">
        <x:v>Palmaris brevis</x:v>
      </x:c>
      <x:c r="G95" s="24" t="str">
        <x:v>Abductor digiti minimi (hand); Flexor digiti minimi brevis (hand); Opponens digiti minimi</x:v>
      </x:c>
      <x:c r="H95" s="24" t="str">
        <x:v>—</x:v>
      </x:c>
      <x:c r="I95" s="24" t="str">
        <x:v>—</x:v>
      </x:c>
      <x:c r="J95" s="24" t="str">
        <x:v>Palmaris brevis; Abductor digiti minimi (hand); Flexor digiti minimi brevis (hand); Opponens digiti minimi</x:v>
      </x:c>
      <x:c r="K95" s="24" t="str">
        <x:v>Palmar aponeurosis</x:v>
      </x:c>
      <x:c r="L95" s="24" t="str">
        <x:v>Digital collateral ligaments, volar plates and flexor tendon pulleys protect joints/tendons; NOT stretch targets</x:v>
      </x:c>
      <x:c r="M95" s="24" t="str">
        <x:v>Muscles: Palmaris brevis; Abductor digiti minimi (hand); Flexor digiti minimi brevis (hand); Opponens digiti minimi | Tendons/fascia: Palmar aponeurosis | Ligament context only: Digital collateral ligaments, volar plates and flexor tendon pulleys protect joints/tendons; NOT stretch targets</x:v>
      </x:c>
      <x:c r="N95" s="24" t="str">
        <x:v>Low-load activation, not ordinarily to fatigue: Palmaris brevis</x:v>
      </x:c>
      <x:c r="O95" s="24" t="str">
        <x:v>Gently cup ulnar palm and wrinkle skin of hypothenar pad.</x:v>
      </x:c>
      <x:c r="P95" s="24" t="str">
        <x:v>None</x:v>
      </x:c>
      <x:c r="Q95" s="24" t="str">
        <x:v>1–2 × 5–10 controlled reps</x:v>
      </x:c>
      <x:c r="R95" s="24" t="str">
        <x:v>Progress gradually; stop with sharp pain, dizziness, or numbness.</x:v>
      </x:c>
      <x:c r="S95" s="24" t="str">
        <x:v>https://www.acsm.org/education-resources/trending-topics-resources/physical-activity-guidelines</x:v>
      </x:c>
      <x:c r="T95" s="24" t="str">
        <x:v>Anatomy-based mapping</x:v>
      </x:c>
    </x:row>
    <x:row r="96" ht="54" customHeight="1">
      <x:c r="A96" s="24" t="str">
        <x:v>EX0093</x:v>
      </x:c>
      <x:c r="B96" s="24" t="str">
        <x:v>Finger flexor tendon glide series</x:v>
      </x:c>
      <x:c r="C96" s="24" t="str">
        <x:v>Hand &amp; Fingers</x:v>
      </x:c>
      <x:c r="D96" s="24" t="str">
        <x:v>Home</x:v>
      </x:c>
      <x:c r="E96" s="24" t="str">
        <x:v>Mobility</x:v>
      </x:c>
      <x:c r="F96" s="24" t="str">
        <x:v>Flexor digitorum superficialis humeroulnar head; Flexor digitorum superficialis radial head; Flexor digitorum profundus lateral portion (digits 2-3); Flexor digitorum profundus medial portion (digits 4-5); Lumbrical 1 (index); Lumbrical 2 (middle); Lumbrical 3 (ring); Lumbrical 4 (little)</x:v>
      </x:c>
      <x:c r="G96" s="24" t="str">
        <x:v>Extensor digitorum; Extensor indicis; Extensor digiti minimi</x:v>
      </x:c>
      <x:c r="H96" s="24" t="str">
        <x:v>—</x:v>
      </x:c>
      <x:c r="I96" s="24" t="str">
        <x:v>Flexor digitorum superficialis humeroulnar head; Flexor digitorum superficialis radial head; Flexor digitorum profundus lateral portion (digits 2-3); Flexor digitorum profundus medial portion (digits 4-5)</x:v>
      </x:c>
      <x:c r="J96" s="24" t="str">
        <x:v>Flexor digitorum superficialis humeroulnar head; Flexor digitorum superficialis radial head; Flexor digitorum profundus lateral portion (digits 2-3); Flexor digitorum profundus medial portion (digits 4-5); Lumbrical 1 (index); Lumbrical 2 (middle); Lumbrical 3 (ring); Lumbrical 4 (little); Extensor digitorum; Extensor indicis; Extensor digiti minimi</x:v>
      </x:c>
      <x:c r="K96" s="24" t="str">
        <x:v>FDS/FDP tendon glide under annular pulleys</x:v>
      </x:c>
      <x:c r="L96" s="24" t="str">
        <x:v>A1–A5 annular pulleys retain tendons; do not forcibly stretch</x:v>
      </x:c>
      <x:c r="M96" s="24" t="str">
        <x:v>Muscles: Flexor digitorum superficialis humeroulnar head; Flexor digitorum superficialis radial head; Flexor digitorum profundus lateral portion (digits 2-3); Flexor digitorum profundus medial portion (digits 4-5); Lumbrical 1 (index); Lumbrical 2 (middle); Lumbrical 3 (ring); Lumbrical 4 (little); Extensor digitorum; Extensor indicis; Extensor digiti minimi | Tendons/fascia: FDS/FDP tendon glide under annular pulleys | Ligament context only: A1–A5 annular pulleys retain tendons; do not forcibly stretch</x:v>
      </x:c>
      <x:c r="N96" s="24" t="str">
        <x:v>Usually none expected (stretch, mobility or relaxation; any active movers are low-load)</x:v>
      </x:c>
      <x:c r="O96" s="24" t="str">
        <x:v>Cycle straight hand, hook fist, tabletop, full fist, straight fist without pain.</x:v>
      </x:c>
      <x:c r="P96" s="24" t="str">
        <x:v>None</x:v>
      </x:c>
      <x:c r="Q96" s="24" t="str">
        <x:v>1–2 × 5–10 controlled reps</x:v>
      </x:c>
      <x:c r="R96" s="24" t="str">
        <x:v>Progress gradually; stop with sharp pain, dizziness, or numbness.</x:v>
      </x:c>
      <x:c r="S96" s="24" t="str">
        <x:v>https://www.acsm.org/education-resources/trending-topics-resources/physical-activity-guidelines</x:v>
      </x:c>
      <x:c r="T96" s="24" t="str">
        <x:v>Anatomy-based mapping</x:v>
      </x:c>
    </x:row>
    <x:row r="97" ht="54" customHeight="1">
      <x:c r="A97" s="24" t="str">
        <x:v>EX0094</x:v>
      </x:c>
      <x:c r="B97" s="24" t="str">
        <x:v>Gentle finger extension stretch</x:v>
      </x:c>
      <x:c r="C97" s="24" t="str">
        <x:v>Hand &amp; Fingers</x:v>
      </x:c>
      <x:c r="D97" s="24" t="str">
        <x:v>Home</x:v>
      </x:c>
      <x:c r="E97" s="24" t="str">
        <x:v>Passive stretch</x:v>
      </x:c>
      <x:c r="F97" s="24" t="str">
        <x:v>—</x:v>
      </x:c>
      <x:c r="G97" s="24" t="str">
        <x:v>—</x:v>
      </x:c>
      <x:c r="H97" s="24" t="str">
        <x:v>—</x:v>
      </x:c>
      <x:c r="I97" s="24" t="str">
        <x:v>Flexor digitorum superficialis humeroulnar head; Flexor digitorum superficialis radial head; Flexor digitorum profundus lateral portion (digits 2-3); Flexor digitorum profundus medial portion (digits 4-5); Lumbrical 1 (index); Lumbrical 2 (middle); Lumbrical 3 (ring); Lumbrical 4 (little)</x:v>
      </x:c>
      <x:c r="J97" s="24" t="str">
        <x:v>Flexor digitorum superficialis humeroulnar head; Flexor digitorum superficialis radial head; Flexor digitorum profundus lateral portion (digits 2-3); Flexor digitorum profundus medial portion (digits 4-5); Lumbrical 1 (index); Lumbrical 2 (middle); Lumbrical 3 (ring); Lumbrical 4 (little)</x:v>
      </x:c>
      <x:c r="K97" s="24" t="str">
        <x:v>FDS/FDP tendon stretch</x:v>
      </x:c>
      <x:c r="L97" s="24" t="str">
        <x:v>Avoid intentional collateral or volar plate stretching</x:v>
      </x:c>
      <x:c r="M97" s="24" t="str">
        <x:v>Muscles: Flexor digitorum superficialis humeroulnar head; Flexor digitorum superficialis radial head; Flexor digitorum profundus lateral portion (digits 2-3); Flexor digitorum profundus medial portion (digits 4-5); Lumbrical 1 (index); Lumbrical 2 (middle); Lumbrical 3 (ring); Lumbrical 4 (little) | Tendons/fascia: FDS/FDP tendon stretch | Ligament context only: Avoid intentional collateral or volar plate stretching</x:v>
      </x:c>
      <x:c r="N97" s="24" t="str">
        <x:v>Usually none expected (stretch, mobility or relaxation; any active movers are low-load)</x:v>
      </x:c>
      <x:c r="O97" s="24" t="str">
        <x:v>Extend digits gently with the other hand; stop before joint hyperextension.</x:v>
      </x:c>
      <x:c r="P97" s="24" t="str">
        <x:v>None</x:v>
      </x:c>
      <x:c r="Q97" s="24" t="str">
        <x:v>2–3 × 8–12 controlled reps</x:v>
      </x:c>
      <x:c r="R97" s="24" t="str">
        <x:v>Progress gradually; stop with sharp pain, dizziness, or numbness.</x:v>
      </x:c>
      <x:c r="S97" s="24" t="str">
        <x:v>https://www.acsm.org/education-resources/trending-topics-resources/physical-activity-guidelines</x:v>
      </x:c>
      <x:c r="T97" s="24" t="str">
        <x:v>Anatomy-based mapping</x:v>
      </x:c>
    </x:row>
    <x:row r="98" ht="54" customHeight="1">
      <x:c r="A98" s="24" t="str">
        <x:v>EX0095</x:v>
      </x:c>
      <x:c r="B98" s="24" t="str">
        <x:v>Thumb web-space stretch</x:v>
      </x:c>
      <x:c r="C98" s="24" t="str">
        <x:v>Hand &amp; Fingers</x:v>
      </x:c>
      <x:c r="D98" s="24" t="str">
        <x:v>Home</x:v>
      </x:c>
      <x:c r="E98" s="24" t="str">
        <x:v>Passive stretch</x:v>
      </x:c>
      <x:c r="F98" s="24" t="str">
        <x:v>—</x:v>
      </x:c>
      <x:c r="G98" s="24" t="str">
        <x:v>—</x:v>
      </x:c>
      <x:c r="H98" s="24" t="str">
        <x:v>—</x:v>
      </x:c>
      <x:c r="I98" s="24" t="str">
        <x:v>Adductor pollicis oblique head; Adductor pollicis transverse head; Opponens pollicis</x:v>
      </x:c>
      <x:c r="J98" s="24" t="str">
        <x:v>Adductor pollicis oblique head; Adductor pollicis transverse head; Opponens pollicis</x:v>
      </x:c>
      <x:c r="K98" s="24" t="str">
        <x:v>Adductor pollicis tendon</x:v>
      </x:c>
      <x:c r="L98" s="24" t="str">
        <x:v>Thumb MCP collateral ligaments should not be stressed</x:v>
      </x:c>
      <x:c r="M98" s="24" t="str">
        <x:v>Muscles: Adductor pollicis oblique head; Adductor pollicis transverse head; Opponens pollicis | Tendons/fascia: Adductor pollicis tendon | Ligament context only: Thumb MCP collateral ligaments should not be stressed</x:v>
      </x:c>
      <x:c r="N98" s="24" t="str">
        <x:v>Usually none expected (stretch, mobility or relaxation; any active movers are low-load)</x:v>
      </x:c>
      <x:c r="O98" s="24" t="str">
        <x:v>Open thumb–index web-space gently; avoid pushing thumb joint sideways.</x:v>
      </x:c>
      <x:c r="P98" s="24" t="str">
        <x:v>None</x:v>
      </x:c>
      <x:c r="Q98" s="24" t="str">
        <x:v>2–3 × 8–12 controlled reps</x:v>
      </x:c>
      <x:c r="R98" s="24" t="str">
        <x:v>Progress gradually; stop with sharp pain, dizziness, or numbness.</x:v>
      </x:c>
      <x:c r="S98" s="24" t="str">
        <x:v>https://www.acsm.org/education-resources/trending-topics-resources/physical-activity-guidelines</x:v>
      </x:c>
      <x:c r="T98" s="24" t="str">
        <x:v>Anatomy-based mapping</x:v>
      </x:c>
    </x:row>
    <x:row r="99" ht="54" customHeight="1">
      <x:c r="A99" s="24" t="str">
        <x:v>EX0096</x:v>
      </x:c>
      <x:c r="B99" s="24" t="str">
        <x:v>Finger resistance putty extension</x:v>
      </x:c>
      <x:c r="C99" s="24" t="str">
        <x:v>Hand &amp; Fingers</x:v>
      </x:c>
      <x:c r="D99" s="24" t="str">
        <x:v>Gym</x:v>
      </x:c>
      <x:c r="E99" s="24" t="str">
        <x:v>Isolation strength</x:v>
      </x:c>
      <x:c r="F99" s="24" t="str">
        <x:v>Extensor digitorum; Extensor indicis; Extensor digiti minimi; Lumbrical 1 (index); Lumbrical 2 (middle); Lumbrical 3 (ring); Lumbrical 4 (little)</x:v>
      </x:c>
      <x:c r="G99" s="24" t="str">
        <x:v>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H99" s="24" t="str">
        <x:v>—</x:v>
      </x:c>
      <x:c r="I99" s="24" t="str">
        <x:v>—</x:v>
      </x:c>
      <x:c r="J99" s="24" t="str">
        <x:v>Extensor digitorum; Extensor indicis; Extensor digiti minimi;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K99" s="24" t="str">
        <x:v>Extensor tendons</x:v>
      </x:c>
      <x:c r="L99" s="24" t="str">
        <x:v>Digital collateral ligaments, volar plates and flexor tendon pulleys protect joints/tendons; NOT stretch targets</x:v>
      </x:c>
      <x:c r="M99" s="24" t="str">
        <x:v>Muscles: Extensor digitorum; Extensor indicis; Extensor digiti minimi;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 | Tendons/fascia: Extensor tendons | Ligament context only: Digital collateral ligaments, volar plates and flexor tendon pulleys protect joints/tendons; NOT stretch targets</x:v>
      </x:c>
      <x:c r="N99" s="24" t="str">
        <x:v>Extensor digitorum; Extensor indicis; Extensor digiti minimi;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O99" s="24" t="str">
        <x:v>Open fingers slowly in therapy putty with minimal force.</x:v>
      </x:c>
      <x:c r="P99" s="24" t="str">
        <x:v>Therapy putty</x:v>
      </x:c>
      <x:c r="Q99" s="24" t="str">
        <x:v>2–3 × 8–12 controlled reps</x:v>
      </x:c>
      <x:c r="R99" s="24" t="str">
        <x:v>Progress gradually; stop with sharp pain, dizziness, or numbness.</x:v>
      </x:c>
      <x:c r="S99" s="24" t="str">
        <x:v>https://www.acsm.org/education-resources/trending-topics-resources/physical-activity-guidelines</x:v>
      </x:c>
      <x:c r="T99" s="24" t="str">
        <x:v>Anatomy-based mapping</x:v>
      </x:c>
    </x:row>
    <x:row r="100" ht="54" customHeight="1">
      <x:c r="A100" s="24" t="str">
        <x:v>EX0097</x:v>
      </x:c>
      <x:c r="B100" s="24" t="str">
        <x:v>Forearm farmer carry with dumbbells</x:v>
      </x:c>
      <x:c r="C100" s="24" t="str">
        <x:v>Hand &amp; Fingers</x:v>
      </x:c>
      <x:c r="D100" s="24" t="str">
        <x:v>Gym</x:v>
      </x:c>
      <x:c r="E100" s="24" t="str">
        <x:v>Compound strength</x:v>
      </x:c>
      <x:c r="F100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carpi radialis; Flexor carpi ulnaris humeral head; Flexor carpi ulnaris ulnar head; Palmaris longus</x:v>
      </x:c>
      <x:c r="G100" s="24" t="str">
        <x:v>Trapezius</x:v>
      </x:c>
      <x:c r="H100" s="24" t="str">
        <x:v>Rectus abdominis; External oblique; Internal oblique; Transversus abdominis; Rhomboid major; Rhomboid minor</x:v>
      </x:c>
      <x:c r="I100" s="24" t="str">
        <x:v>—</x:v>
      </x:c>
      <x:c r="J100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carpi radialis; Flexor carpi ulnaris humeral head; Flexor carpi ulnaris ulnar head; Palmaris longus; Trapezius; Rectus abdominis; External oblique; Internal oblique; Transversus abdominis; Rhomboid major; Rhomboid minor</x:v>
      </x:c>
      <x:c r="K100" s="24" t="str">
        <x:v>Finger flexor tendons; common flexor tendon</x:v>
      </x:c>
      <x:c r="L100" s="24" t="str">
        <x:v>Digital collateral ligaments, volar plates and flexor tendon pulleys protect joints/tendons; NOT stretch targets</x:v>
      </x:c>
      <x:c r="M100" s="24" t="str">
        <x:v>Muscles: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carpi radialis; Flexor carpi ulnaris humeral head; Flexor carpi ulnaris ulnar head; Palmaris longus; Trapezius; Rectus abdominis; External oblique; Internal oblique; Transversus abdominis; Rhomboid major; Rhomboid minor | Tendons/fascia: Finger flexor tendons; common flexor tendon | Ligament context only: Digital collateral ligaments, volar plates and flexor tendon pulleys protect joints/tendons; NOT stretch targets</x:v>
      </x:c>
      <x:c r="N100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carpi radialis; Flexor carpi ulnaris humeral head; Flexor carpi ulnaris ulnar head; Palmaris longus; Trapezius</x:v>
      </x:c>
      <x:c r="O100" s="24" t="str">
        <x:v>Carry dumbbells with straight wrists and shoulders comfortably set.</x:v>
      </x:c>
      <x:c r="P100" s="24" t="str">
        <x:v>Dumbbells</x:v>
      </x:c>
      <x:c r="Q100" s="24" t="str">
        <x:v>2–3 × 8–12 controlled reps</x:v>
      </x:c>
      <x:c r="R100" s="24" t="str">
        <x:v>Progress gradually; stop with sharp pain, dizziness, or numbness.</x:v>
      </x:c>
      <x:c r="S100" s="24" t="str">
        <x:v>https://www.acsm.org/education-resources/trending-topics-resources/physical-activity-guidelines</x:v>
      </x:c>
      <x:c r="T100" s="24" t="str">
        <x:v>Anatomy-based mapping</x:v>
      </x:c>
    </x:row>
    <x:row r="101" ht="54" customHeight="1">
      <x:c r="A101" s="24" t="str">
        <x:v>EX0098</x:v>
      </x:c>
      <x:c r="B101" s="24" t="str">
        <x:v>Pinch-grip plate carry</x:v>
      </x:c>
      <x:c r="C101" s="24" t="str">
        <x:v>Hand &amp; Fingers</x:v>
      </x:c>
      <x:c r="D101" s="24" t="str">
        <x:v>Gym</x:v>
      </x:c>
      <x:c r="E101" s="24" t="str">
        <x:v>Isolation strength</x:v>
      </x:c>
      <x:c r="F101" s="24" t="str">
        <x:v>Adductor pollicis oblique head; Adductor pollicis transverse head;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G101" s="24" t="str">
        <x:v>Extensor carpi ulnaris; Extensor carpi radialis brevis; Extensor carpi radialis longus</x:v>
      </x:c>
      <x:c r="H101" s="24" t="str">
        <x:v>Rectus abdominis; External oblique; Internal oblique; Transversus abdominis</x:v>
      </x:c>
      <x:c r="I101" s="24" t="str">
        <x:v>—</x:v>
      </x:c>
      <x:c r="J101" s="24" t="str">
        <x:v>Adductor pollicis oblique head; Adductor pollicis transverse head;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carpi ulnaris; Extensor carpi radialis brevis; Extensor carpi radialis longus; Rectus abdominis; External oblique; Internal oblique; Transversus abdominis</x:v>
      </x:c>
      <x:c r="K101" s="24" t="str">
        <x:v>Thenar adductor tendon; FPL tendon</x:v>
      </x:c>
      <x:c r="L101" s="24" t="str">
        <x:v>Digital collateral ligaments, volar plates and flexor tendon pulleys protect joints/tendons; NOT stretch targets</x:v>
      </x:c>
      <x:c r="M101" s="24" t="str">
        <x:v>Muscles: Adductor pollicis oblique head; Adductor pollicis transverse head;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carpi ulnaris; Extensor carpi radialis brevis; Extensor carpi radialis longus; Rectus abdominis; External oblique; Internal oblique; Transversus abdominis | Tendons/fascia: Thenar adductor tendon; FPL tendon | Ligament context only: Digital collateral ligaments, volar plates and flexor tendon pulleys protect joints/tendons; NOT stretch targets</x:v>
      </x:c>
      <x:c r="N101" s="24" t="str">
        <x:v>Adductor pollicis oblique head; Adductor pollicis transverse head;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carpi ulnaris; Extensor carpi radialis brevis; Extensor carpi radialis longus</x:v>
      </x:c>
      <x:c r="O101" s="24" t="str">
        <x:v>Pinch light plate vertically between fingers/thumb; hold above floor.</x:v>
      </x:c>
      <x:c r="P101" s="24" t="str">
        <x:v>Light weight plate</x:v>
      </x:c>
      <x:c r="Q101" s="24" t="str">
        <x:v>2–3 × 8–12 controlled reps</x:v>
      </x:c>
      <x:c r="R101" s="24" t="str">
        <x:v>Progress gradually; stop with sharp pain, dizziness, or numbness.</x:v>
      </x:c>
      <x:c r="S101" s="24" t="str">
        <x:v>https://www.acsm.org/education-resources/trending-topics-resources/physical-activity-guidelines</x:v>
      </x:c>
      <x:c r="T101" s="24" t="str">
        <x:v>Anatomy-based mapping</x:v>
      </x:c>
    </x:row>
    <x:row r="102" ht="54" customHeight="1">
      <x:c r="A102" s="24" t="str">
        <x:v>EX0099</x:v>
      </x:c>
      <x:c r="B102" s="24" t="str">
        <x:v>Rice-bucket finger extension / spread</x:v>
      </x:c>
      <x:c r="C102" s="24" t="str">
        <x:v>Hand &amp; Fingers</x:v>
      </x:c>
      <x:c r="D102" s="24" t="str">
        <x:v>Home</x:v>
      </x:c>
      <x:c r="E102" s="24" t="str">
        <x:v>Isolation strength</x:v>
      </x:c>
      <x:c r="F102" s="24" t="str">
        <x:v>Extensor digitorum; Extensor indicis; Extensor digiti minimi;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Abductor digiti minimi (hand); Flexor digiti minimi brevis (hand); Opponens digiti minimi; Palmaris brevis</x:v>
      </x:c>
      <x:c r="G102" s="24" t="str">
        <x:v>Abductor pollicis brevis; Flexor pollicis brevis deep head; Flexor pollicis brevis superficial head; Opponens pollicis; Adductor pollicis oblique head; Adductor pollicis transverse head</x:v>
      </x:c>
      <x:c r="H102" s="24" t="str">
        <x:v>Extensor carpi ulnaris; Extensor carpi radialis brevis; Extensor carpi radialis longus</x:v>
      </x:c>
      <x:c r="I102" s="24" t="str">
        <x:v>—</x:v>
      </x:c>
      <x:c r="J102" s="24" t="str">
        <x:v>Extensor digitorum; Extensor indicis; Extensor digiti minimi;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Abductor digiti minimi (hand); Flexor digiti minimi brevis (hand); Opponens digiti minimi; Palmaris brevis; Abductor pollicis brevis; Flexor pollicis brevis deep head; Flexor pollicis brevis superficial head; Opponens pollicis; Adductor pollicis oblique head; Adductor pollicis transverse head; Extensor carpi ulnaris; Extensor carpi radialis brevis; Extensor carpi radialis longus</x:v>
      </x:c>
      <x:c r="K102" s="24" t="str">
        <x:v>Finger extensor tendons</x:v>
      </x:c>
      <x:c r="L102" s="24" t="str">
        <x:v>Digital collateral ligaments, volar plates and flexor tendon pulleys protect joints/tendons; NOT stretch targets</x:v>
      </x:c>
      <x:c r="M102" s="24" t="str">
        <x:v>Muscles: Extensor digitorum; Extensor indicis; Extensor digiti minimi;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Abductor digiti minimi (hand); Flexor digiti minimi brevis (hand); Opponens digiti minimi; Palmaris brevis; Abductor pollicis brevis; Flexor pollicis brevis deep head; Flexor pollicis brevis superficial head; Opponens pollicis; Adductor pollicis oblique head; Adductor pollicis transverse head; Extensor carpi ulnaris; Extensor carpi radialis brevis; Extensor carpi radialis longus | Tendons/fascia: Finger extensor tendons | Ligament context only: Digital collateral ligaments, volar plates and flexor tendon pulleys protect joints/tendons; NOT stretch targets</x:v>
      </x:c>
      <x:c r="N102" s="24" t="str">
        <x:v>Extensor digitorum; Extensor indicis; Extensor digiti minimi;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Abductor digiti minimi (hand); Flexor digiti minimi brevis (hand); Opponens digiti minimi; Palmaris brevis; Abductor pollicis brevis; Flexor pollicis brevis deep head; Flexor pollicis brevis superficial head; Opponens pollicis; Adductor pollicis oblique head; Adductor pollicis transverse head</x:v>
      </x:c>
      <x:c r="O102" s="24" t="str">
        <x:v>Open/spread hand slowly within rice against comfortable resistance.</x:v>
      </x:c>
      <x:c r="P102" s="24" t="str">
        <x:v>Container of dry rice</x:v>
      </x:c>
      <x:c r="Q102" s="24" t="str">
        <x:v>2–3 × 8–12 controlled reps</x:v>
      </x:c>
      <x:c r="R102" s="24" t="str">
        <x:v>Progress gradually; stop with sharp pain, dizziness, or numbness.</x:v>
      </x:c>
      <x:c r="S102" s="24" t="str">
        <x:v>https://www.acsm.org/education-resources/trending-topics-resources/physical-activity-guidelines</x:v>
      </x:c>
      <x:c r="T102" s="24" t="str">
        <x:v>Anatomy-based mapping</x:v>
      </x:c>
    </x:row>
    <x:row r="103" ht="54" customHeight="1">
      <x:c r="A103" s="24" t="str">
        <x:v>EX0100</x:v>
      </x:c>
      <x:c r="B103" s="24" t="str">
        <x:v>Rice-bucket finger flexion / grip</x:v>
      </x:c>
      <x:c r="C103" s="24" t="str">
        <x:v>Hand &amp; Fingers</x:v>
      </x:c>
      <x:c r="D103" s="24" t="str">
        <x:v>Home</x:v>
      </x:c>
      <x:c r="E103" s="24" t="str">
        <x:v>Isolation strength</x:v>
      </x:c>
      <x:c r="F103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G103" s="24" t="str">
        <x:v>—</x:v>
      </x:c>
      <x:c r="H103" s="24" t="str">
        <x:v>Extensor carpi ulnaris; Extensor carpi radialis brevis; Extensor carpi radialis longus</x:v>
      </x:c>
      <x:c r="I103" s="24" t="str">
        <x:v>—</x:v>
      </x:c>
      <x:c r="J103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carpi ulnaris; Extensor carpi radialis brevis; Extensor carpi radialis longus</x:v>
      </x:c>
      <x:c r="K103" s="24" t="str">
        <x:v>FDS/FDP tendons</x:v>
      </x:c>
      <x:c r="L103" s="24" t="str">
        <x:v>Digital collateral ligaments, volar plates and flexor tendon pulleys protect joints/tendons; NOT stretch targets</x:v>
      </x:c>
      <x:c r="M103" s="24" t="str">
        <x:v>Muscles: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carpi ulnaris; Extensor carpi radialis brevis; Extensor carpi radialis longus | Tendons/fascia: FDS/FDP tendons | Ligament context only: Digital collateral ligaments, volar plates and flexor tendon pulleys protect joints/tendons; NOT stretch targets</x:v>
      </x:c>
      <x:c r="N103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O103" s="24" t="str">
        <x:v>Close hand into rice and open with control.</x:v>
      </x:c>
      <x:c r="P103" s="24" t="str">
        <x:v>Container of dry rice</x:v>
      </x:c>
      <x:c r="Q103" s="24" t="str">
        <x:v>2–3 × 8–12 controlled reps</x:v>
      </x:c>
      <x:c r="R103" s="24" t="str">
        <x:v>Progress gradually; stop with sharp pain, dizziness, or numbness.</x:v>
      </x:c>
      <x:c r="S103" s="24" t="str">
        <x:v>https://www.acsm.org/education-resources/trending-topics-resources/physical-activity-guidelines</x:v>
      </x:c>
      <x:c r="T103" s="24" t="str">
        <x:v>Anatomy-based mapping</x:v>
      </x:c>
    </x:row>
    <x:row r="104" ht="54" customHeight="1">
      <x:c r="A104" s="24" t="str">
        <x:v>EX0101</x:v>
      </x:c>
      <x:c r="B104" s="24" t="str">
        <x:v>Digit-by-digit towel drag</x:v>
      </x:c>
      <x:c r="C104" s="24" t="str">
        <x:v>Hand &amp; Fingers</x:v>
      </x:c>
      <x:c r="D104" s="24" t="str">
        <x:v>Home</x:v>
      </x:c>
      <x:c r="E104" s="24" t="str">
        <x:v>Motor control</x:v>
      </x:c>
      <x:c r="F104" s="24" t="str">
        <x:v>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digitorum superficialis humeroulnar head; Flexor digitorum superficialis radial head; Flexor digitorum profundus lateral portion (digits 2-3); Flexor digitorum profundus medial portion (digits 4-5)</x:v>
      </x:c>
      <x:c r="G104" s="24" t="str">
        <x:v>—</x:v>
      </x:c>
      <x:c r="H104" s="24" t="str">
        <x:v>Flexor carpi radialis; Flexor carpi ulnaris humeral head; Flexor carpi ulnaris ulnar head; Palmaris longus</x:v>
      </x:c>
      <x:c r="I104" s="24" t="str">
        <x:v>—</x:v>
      </x:c>
      <x:c r="J104" s="24" t="str">
        <x:v>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digitorum superficialis humeroulnar head; Flexor digitorum superficialis radial head; Flexor digitorum profundus lateral portion (digits 2-3); Flexor digitorum profundus medial portion (digits 4-5); Flexor carpi radialis; Flexor carpi ulnaris humeral head; Flexor carpi ulnaris ulnar head; Palmaris longus</x:v>
      </x:c>
      <x:c r="K104" s="24" t="str">
        <x:v>Digital flexor tendons</x:v>
      </x:c>
      <x:c r="L104" s="24" t="str">
        <x:v>Digital collateral ligaments, volar plates and flexor tendon pulleys protect joints/tendons; NOT stretch targets</x:v>
      </x:c>
      <x:c r="M104" s="24" t="str">
        <x:v>Muscles: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digitorum superficialis humeroulnar head; Flexor digitorum superficialis radial head; Flexor digitorum profundus lateral portion (digits 2-3); Flexor digitorum profundus medial portion (digits 4-5); Flexor carpi radialis; Flexor carpi ulnaris humeral head; Flexor carpi ulnaris ulnar head; Palmaris longus | Tendons/fascia: Digital flexor tendons | Ligament context only: Digital collateral ligaments, volar plates and flexor tendon pulleys protect joints/tendons; NOT stretch targets</x:v>
      </x:c>
      <x:c r="N104" s="24" t="str">
        <x:v>Low-load activation, not ordinarily to fatigue: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digitorum superficialis humeroulnar head; Flexor digitorum superficialis radial head; Flexor digitorum profundus lateral portion (digits 2-3); Flexor digitorum profundus medial portion (digits 4-5)</x:v>
      </x:c>
      <x:c r="O104" s="24" t="str">
        <x:v>Use individual fingers to gather cloth, keeping wrist relaxed.</x:v>
      </x:c>
      <x:c r="P104" s="24" t="str">
        <x:v>Towel</x:v>
      </x:c>
      <x:c r="Q104" s="24" t="str">
        <x:v>1–2 × 5–10 controlled reps</x:v>
      </x:c>
      <x:c r="R104" s="24" t="str">
        <x:v>Progress gradually; stop with sharp pain, dizziness, or numbness.</x:v>
      </x:c>
      <x:c r="S104" s="24" t="str">
        <x:v>https://www.acsm.org/education-resources/trending-topics-resources/physical-activity-guidelines</x:v>
      </x:c>
      <x:c r="T104" s="24" t="str">
        <x:v>Anatomy-based mapping</x:v>
      </x:c>
    </x:row>
    <x:row r="105" ht="54" customHeight="1">
      <x:c r="A105" s="24" t="str">
        <x:v>EX0102</x:v>
      </x:c>
      <x:c r="B105" s="24" t="str">
        <x:v>Bodyweight glute bridge</x:v>
      </x:c>
      <x:c r="C105" s="24" t="str">
        <x:v>Hip &amp; Gluteal</x:v>
      </x:c>
      <x:c r="D105" s="24" t="str">
        <x:v>Home</x:v>
      </x:c>
      <x:c r="E105" s="24" t="str">
        <x:v>Compound strength</x:v>
      </x:c>
      <x:c r="F105" s="24" t="str">
        <x:v>Gluteus maximus</x:v>
      </x:c>
      <x:c r="G105" s="24" t="str">
        <x:v>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05" s="24" t="str">
        <x:v>Rectus abdominis; External oblique; Internal oblique; Transversus abdominis; Gluteus medius; Gluteus minimus; Tensor fasciae latae</x:v>
      </x:c>
      <x:c r="I105" s="24" t="str">
        <x:v>—</x:v>
      </x:c>
      <x:c r="J105" s="24" t="str">
        <x:v>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Gluteus medius; Gluteus minimus; Tensor fasciae latae</x:v>
      </x:c>
      <x:c r="K105" s="24" t="str">
        <x:v>Gluteus maximus tendon; proximal hamstring origin</x:v>
      </x:c>
      <x:c r="L105" s="24" t="str">
        <x:v>Iliofemoral, ischiofemoral, pubofemoral ligaments stabilize hip passively; NOT stretched deliberately</x:v>
      </x:c>
      <x:c r="M105" s="24" t="str">
        <x:v>Muscles: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Gluteus medius; Gluteus minimus; Tensor fasciae latae | Tendons/fascia: Gluteus maximus tendon; proximal hamstring origin | Ligament context only: Iliofemoral, ischiofemoral, pubofemoral ligaments stabilize hip passively; NOT stretched deliberately</x:v>
      </x:c>
      <x:c r="N105" s="24" t="str">
        <x:v>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05" s="24" t="str">
        <x:v>Feet flat; drive hips up without arching lumbar spine.</x:v>
      </x:c>
      <x:c r="P105" s="24" t="str">
        <x:v>Mat</x:v>
      </x:c>
      <x:c r="Q105" s="24" t="str">
        <x:v>2–3 × 8–12 controlled reps</x:v>
      </x:c>
      <x:c r="R105" s="24" t="str">
        <x:v>Progress gradually; stop with sharp pain, dizziness, or numbness.</x:v>
      </x:c>
      <x:c r="S105" s="24" t="str">
        <x:v>https://orthoinfo.aaos.org/globalassets/pdfs/hip-conditioning-rehab-program-2025.pdf</x:v>
      </x:c>
      <x:c r="T105" s="24" t="str">
        <x:v>Anatomy-based mapping</x:v>
      </x:c>
    </x:row>
    <x:row r="106" ht="54" customHeight="1">
      <x:c r="A106" s="24" t="str">
        <x:v>EX0103</x:v>
      </x:c>
      <x:c r="B106" s="24" t="str">
        <x:v>Single-leg glute bridge</x:v>
      </x:c>
      <x:c r="C106" s="24" t="str">
        <x:v>Hip &amp; Gluteal</x:v>
      </x:c>
      <x:c r="D106" s="24" t="str">
        <x:v>Home</x:v>
      </x:c>
      <x:c r="E106" s="24" t="str">
        <x:v>Compound strength</x:v>
      </x:c>
      <x:c r="F106" s="24" t="str">
        <x:v>Gluteus maximus</x:v>
      </x:c>
      <x:c r="G106" s="24" t="str">
        <x:v>Biceps femoris long head; Biceps femoris short head; Semimembranosus; Semitendinosus</x:v>
      </x:c>
      <x:c r="H106" s="24" t="str">
        <x:v>Rectus abdominis; External oblique; Internal oblique; Transversus abdominis; Gluteus medius; Gluteus minimus; Tensor fasciae latae</x:v>
      </x:c>
      <x:c r="I106" s="24" t="str">
        <x:v>—</x:v>
      </x:c>
      <x:c r="J106" s="24" t="str">
        <x:v>Gluteus maximus; Biceps femoris long head; Biceps femoris short head; Semimembranosus; Semitendinosus; Rectus abdominis; External oblique; Internal oblique; Transversus abdominis; Gluteus medius; Gluteus minimus; Tensor fasciae latae</x:v>
      </x:c>
      <x:c r="K106" s="24" t="str">
        <x:v>Atlas-listed tendon/aponeurosis examples: Iliotibial tract aponeurosis and gluteal tendon; Common hamstring proximal tendon; distal biceps tendon; Common biceps femoris distal tendon; Broad proximal membrane; distal semimembranosus tendon; additional listed attachments</x:v>
      </x:c>
      <x:c r="L106" s="24" t="str">
        <x:v>Iliofemoral, ischiofemoral, pubofemoral ligaments stabilize hip passively; NOT stretched deliberately</x:v>
      </x:c>
      <x:c r="M106" s="24" t="str">
        <x:v>Muscles: Gluteus maximus; Biceps femoris long head; Biceps femoris short head; Semimembranosus; Semitendinosus; Rectus abdominis; External oblique; Internal oblique; Transversus abdominis; Gluteus medius; Gluteus minimus; Tensor fasciae latae | Tendons/fascia: Atlas-listed tendon/aponeurosis examples: Iliotibial tract aponeurosis and gluteal tendon; Common hamstring proximal tendon; distal biceps tendon; Common biceps femoris distal tendon; Broad proximal membrane; distal semimembranosus tendon; additional listed attachments | Ligament context only: Iliofemoral, ischiofemoral, pubofemoral ligaments stabilize hip passively; NOT stretched deliberately</x:v>
      </x:c>
      <x:c r="N106" s="24" t="str">
        <x:v>Gluteus maximus; Biceps femoris long head; Biceps femoris short head; Semimembranosus; Semitendinosus</x:v>
      </x:c>
      <x:c r="O106" s="24" t="str">
        <x:v>One foot grounded; lift hips evenly without pelvic twist.</x:v>
      </x:c>
      <x:c r="P106" s="24" t="str">
        <x:v>Mat</x:v>
      </x:c>
      <x:c r="Q106" s="24" t="str">
        <x:v>2–3 × 8–12 controlled reps</x:v>
      </x:c>
      <x:c r="R106" s="24" t="str">
        <x:v>Progress gradually; stop with sharp pain, dizziness, or numbness.</x:v>
      </x:c>
      <x:c r="S106" s="24" t="str">
        <x:v>https://orthoinfo.aaos.org/globalassets/pdfs/hip-conditioning-rehab-program-2025.pdf</x:v>
      </x:c>
      <x:c r="T106" s="24" t="str">
        <x:v>Anatomy-based mapping</x:v>
      </x:c>
    </x:row>
    <x:row r="107" ht="54" customHeight="1">
      <x:c r="A107" s="24" t="str">
        <x:v>EX0104</x:v>
      </x:c>
      <x:c r="B107" s="24" t="str">
        <x:v>Banded glute bridge with abduction</x:v>
      </x:c>
      <x:c r="C107" s="24" t="str">
        <x:v>Hip &amp; Gluteal</x:v>
      </x:c>
      <x:c r="D107" s="24" t="str">
        <x:v>Home</x:v>
      </x:c>
      <x:c r="E107" s="24" t="str">
        <x:v>Band strength</x:v>
      </x:c>
      <x:c r="F107" s="24" t="str">
        <x:v>Gluteus maximus; Gluteus medius; Gluteus minimus; Tensor fasciae latae</x:v>
      </x:c>
      <x:c r="G107" s="24" t="str">
        <x:v>Biceps femoris long head; Biceps femoris short head; Semimembranosus; Semitendinosus</x:v>
      </x:c>
      <x:c r="H107" s="24" t="str">
        <x:v>Rectus abdominis; External oblique; Internal oblique; Transversus abdominis</x:v>
      </x:c>
      <x:c r="I107" s="24" t="str">
        <x:v>—</x:v>
      </x:c>
      <x:c r="J107" s="24" t="str">
        <x:v>Gluteus maximus; Gluteus medius; Gluteus minimus; Tensor fasciae latae; Biceps femoris long head; Biceps femoris short head; Semimembranosus; Semitendinosus; Rectus abdominis; External oblique; Internal oblique; Transversus abdominis</x:v>
      </x:c>
      <x:c r="K107" s="24" t="str">
        <x:v>Atlas-listed tendon/aponeurosis examples: Iliotibial tract aponeurosis and gluteal tendon; Gluteus medius tendon; Gluteus minimus tendon and joint-capsule expansions; Iliotibial tract (fascial thickening); additional listed attachments</x:v>
      </x:c>
      <x:c r="L107" s="24" t="str">
        <x:v>Iliofemoral, ischiofemoral, pubofemoral ligaments stabilize hip passively; NOT stretched deliberately</x:v>
      </x:c>
      <x:c r="M107" s="24" t="str">
        <x:v>Muscles: Gluteus maximus; Gluteus medius; Gluteus minimus; Tensor fasciae latae; Biceps femoris long head; Biceps femoris short head; Semimembranosus; Semitendinosus; Rectus abdominis; External oblique; Internal oblique; Transversus abdominis | Tendons/fascia: Atlas-listed tendon/aponeurosis examples: Iliotibial tract aponeurosis and gluteal tendon; Gluteus medius tendon; Gluteus minimus tendon and joint-capsule expansions; Iliotibial tract (fascial thickening); additional listed attachments | Ligament context only: Iliofemoral, ischiofemoral, pubofemoral ligaments stabilize hip passively; NOT stretched deliberately</x:v>
      </x:c>
      <x:c r="N107" s="24" t="str">
        <x:v>Gluteus maximus; Gluteus medius; Gluteus minimus; Tensor fasciae latae; Biceps femoris long head; Biceps femoris short head; Semimembranosus; Semitendinosus</x:v>
      </x:c>
      <x:c r="O107" s="24" t="str">
        <x:v>Band above knees; bridge while keeping knees aligned against elastic.</x:v>
      </x:c>
      <x:c r="P107" s="24" t="str">
        <x:v>Miniband</x:v>
      </x:c>
      <x:c r="Q107" s="24" t="str">
        <x:v>2–3 × 8–12 controlled reps</x:v>
      </x:c>
      <x:c r="R107" s="24" t="str">
        <x:v>Progress gradually; stop with sharp pain, dizziness, or numbness.</x:v>
      </x:c>
      <x:c r="S107" s="24" t="str">
        <x:v>https://orthoinfo.aaos.org/globalassets/pdfs/hip-conditioning-rehab-program-2025.pdf</x:v>
      </x:c>
      <x:c r="T107" s="24" t="str">
        <x:v>Anatomy-based mapping</x:v>
      </x:c>
    </x:row>
    <x:row r="108" ht="54" customHeight="1">
      <x:c r="A108" s="24" t="str">
        <x:v>EX0105</x:v>
      </x:c>
      <x:c r="B108" s="24" t="str">
        <x:v>Hip thrust with dumbbell</x:v>
      </x:c>
      <x:c r="C108" s="24" t="str">
        <x:v>Hip &amp; Gluteal</x:v>
      </x:c>
      <x:c r="D108" s="24" t="str">
        <x:v>Gym</x:v>
      </x:c>
      <x:c r="E108" s="24" t="str">
        <x:v>Compound strength</x:v>
      </x:c>
      <x:c r="F108" s="24" t="str">
        <x:v>Gluteus maximus</x:v>
      </x:c>
      <x:c r="G108" s="24" t="str">
        <x:v>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08" s="24" t="str">
        <x:v>Rectus abdominis; External oblique; Internal oblique; Transversus abdominis; Gluteus medius; Gluteus minimus; Tensor fasciae latae</x:v>
      </x:c>
      <x:c r="I108" s="24" t="str">
        <x:v>—</x:v>
      </x:c>
      <x:c r="J108" s="24" t="str">
        <x:v>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Gluteus medius; Gluteus minimus; Tensor fasciae latae</x:v>
      </x:c>
      <x:c r="K108" s="24" t="str">
        <x:v>Gluteus maximus tendon</x:v>
      </x:c>
      <x:c r="L108" s="24" t="str">
        <x:v>Iliofemoral, ischiofemoral, pubofemoral ligaments stabilize hip passively; NOT stretched deliberately</x:v>
      </x:c>
      <x:c r="M108" s="24" t="str">
        <x:v>Muscles: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Gluteus medius; Gluteus minimus; Tensor fasciae latae | Tendons/fascia: Gluteus maximus tendon | Ligament context only: Iliofemoral, ischiofemoral, pubofemoral ligaments stabilize hip passively; NOT stretched deliberately</x:v>
      </x:c>
      <x:c r="N108" s="24" t="str">
        <x:v>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08" s="24" t="str">
        <x:v>Upper back supported on bench; extend hips while keeping ribs down.</x:v>
      </x:c>
      <x:c r="P108" s="24" t="str">
        <x:v>Bench; dumbbell</x:v>
      </x:c>
      <x:c r="Q108" s="24" t="str">
        <x:v>2–3 × 8–12 controlled reps</x:v>
      </x:c>
      <x:c r="R108" s="24" t="str">
        <x:v>Progress gradually; stop with sharp pain, dizziness, or numbness.</x:v>
      </x:c>
      <x:c r="S108" s="24" t="str">
        <x:v>https://orthoinfo.aaos.org/globalassets/pdfs/hip-conditioning-rehab-program-2025.pdf</x:v>
      </x:c>
      <x:c r="T108" s="24" t="str">
        <x:v>Anatomy-based mapping</x:v>
      </x:c>
    </x:row>
    <x:row r="109" ht="54" customHeight="1">
      <x:c r="A109" s="24" t="str">
        <x:v>EX0106</x:v>
      </x:c>
      <x:c r="B109" s="24" t="str">
        <x:v>Cable hip extension / kickback</x:v>
      </x:c>
      <x:c r="C109" s="24" t="str">
        <x:v>Hip &amp; Gluteal</x:v>
      </x:c>
      <x:c r="D109" s="24" t="str">
        <x:v>Gym</x:v>
      </x:c>
      <x:c r="E109" s="24" t="str">
        <x:v>Isolation strength</x:v>
      </x:c>
      <x:c r="F109" s="24" t="str">
        <x:v>Gluteus maximus</x:v>
      </x:c>
      <x:c r="G109" s="24" t="str">
        <x:v>Biceps femoris long head; Biceps femoris short head; Semimembranosus; Semitendinosus</x:v>
      </x:c>
      <x:c r="H109" s="24" t="str">
        <x:v>Rectus abdominis; External oblique; Internal oblique; Transversus abdominis; Gluteus medius; Gluteus minimus; Tensor fasciae latae</x:v>
      </x:c>
      <x:c r="I109" s="24" t="str">
        <x:v>—</x:v>
      </x:c>
      <x:c r="J109" s="24" t="str">
        <x:v>Gluteus maximus; Biceps femoris long head; Biceps femoris short head; Semimembranosus; Semitendinosus; Rectus abdominis; External oblique; Internal oblique; Transversus abdominis; Gluteus medius; Gluteus minimus; Tensor fasciae latae</x:v>
      </x:c>
      <x:c r="K109" s="24" t="str">
        <x:v>Atlas-listed tendon/aponeurosis examples: Iliotibial tract aponeurosis and gluteal tendon; Common hamstring proximal tendon; distal biceps tendon; Common biceps femoris distal tendon; Broad proximal membrane; distal semimembranosus tendon; additional listed attachments</x:v>
      </x:c>
      <x:c r="L109" s="24" t="str">
        <x:v>Iliofemoral, ischiofemoral, pubofemoral ligaments stabilize hip passively; NOT stretched deliberately</x:v>
      </x:c>
      <x:c r="M109" s="24" t="str">
        <x:v>Muscles: Gluteus maximus; Biceps femoris long head; Biceps femoris short head; Semimembranosus; Semitendinosus; Rectus abdominis; External oblique; Internal oblique; Transversus abdominis; Gluteus medius; Gluteus minimus; Tensor fasciae latae | Tendons/fascia: Atlas-listed tendon/aponeurosis examples: Iliotibial tract aponeurosis and gluteal tendon; Common hamstring proximal tendon; distal biceps tendon; Common biceps femoris distal tendon; Broad proximal membrane; distal semimembranosus tendon; additional listed attachments | Ligament context only: Iliofemoral, ischiofemoral, pubofemoral ligaments stabilize hip passively; NOT stretched deliberately</x:v>
      </x:c>
      <x:c r="N109" s="24" t="str">
        <x:v>Gluteus maximus; Biceps femoris long head; Biceps femoris short head; Semimembranosus; Semitendinosus</x:v>
      </x:c>
      <x:c r="O109" s="24" t="str">
        <x:v>Hinge slightly; sweep straightish leg back without arching back.</x:v>
      </x:c>
      <x:c r="P109" s="24" t="str">
        <x:v>Cable ankle strap</x:v>
      </x:c>
      <x:c r="Q109" s="24" t="str">
        <x:v>2–3 × 8–12 controlled reps</x:v>
      </x:c>
      <x:c r="R109" s="24" t="str">
        <x:v>Progress gradually; stop with sharp pain, dizziness, or numbness.</x:v>
      </x:c>
      <x:c r="S109" s="24" t="str">
        <x:v>https://orthoinfo.aaos.org/globalassets/pdfs/hip-conditioning-rehab-program-2025.pdf</x:v>
      </x:c>
      <x:c r="T109" s="24" t="str">
        <x:v>Anatomy-based mapping</x:v>
      </x:c>
    </x:row>
    <x:row r="110" ht="54" customHeight="1">
      <x:c r="A110" s="24" t="str">
        <x:v>EX0107</x:v>
      </x:c>
      <x:c r="B110" s="24" t="str">
        <x:v>Quadruped bent-knee donkey kick</x:v>
      </x:c>
      <x:c r="C110" s="24" t="str">
        <x:v>Hip &amp; Gluteal</x:v>
      </x:c>
      <x:c r="D110" s="24" t="str">
        <x:v>Home</x:v>
      </x:c>
      <x:c r="E110" s="24" t="str">
        <x:v>Isolation strength</x:v>
      </x:c>
      <x:c r="F110" s="24" t="str">
        <x:v>Gluteus maximus</x:v>
      </x:c>
      <x:c r="G110" s="24" t="str">
        <x:v>Biceps femoris long head; Biceps femoris short head; Semimembranosus; Semitendinosus</x:v>
      </x:c>
      <x:c r="H110" s="24" t="str">
        <x:v>Rectus abdominis; External oblique; Internal oblique; Transversus abdominis; Gluteus medius; Gluteus minimus; Tensor fasciae latae</x:v>
      </x:c>
      <x:c r="I110" s="24" t="str">
        <x:v>—</x:v>
      </x:c>
      <x:c r="J110" s="24" t="str">
        <x:v>Gluteus maximus; Biceps femoris long head; Biceps femoris short head; Semimembranosus; Semitendinosus; Rectus abdominis; External oblique; Internal oblique; Transversus abdominis; Gluteus medius; Gluteus minimus; Tensor fasciae latae</x:v>
      </x:c>
      <x:c r="K110" s="24" t="str">
        <x:v>Atlas-listed tendon/aponeurosis examples: Iliotibial tract aponeurosis and gluteal tendon; Common hamstring proximal tendon; distal biceps tendon; Common biceps femoris distal tendon; Broad proximal membrane; distal semimembranosus tendon; additional listed attachments</x:v>
      </x:c>
      <x:c r="L110" s="24" t="str">
        <x:v>Iliofemoral, ischiofemoral, pubofemoral ligaments stabilize hip passively; NOT stretched deliberately</x:v>
      </x:c>
      <x:c r="M110" s="24" t="str">
        <x:v>Muscles: Gluteus maximus; Biceps femoris long head; Biceps femoris short head; Semimembranosus; Semitendinosus; Rectus abdominis; External oblique; Internal oblique; Transversus abdominis; Gluteus medius; Gluteus minimus; Tensor fasciae latae | Tendons/fascia: Atlas-listed tendon/aponeurosis examples: Iliotibial tract aponeurosis and gluteal tendon; Common hamstring proximal tendon; distal biceps tendon; Common biceps femoris distal tendon; Broad proximal membrane; distal semimembranosus tendon; additional listed attachments | Ligament context only: Iliofemoral, ischiofemoral, pubofemoral ligaments stabilize hip passively; NOT stretched deliberately</x:v>
      </x:c>
      <x:c r="N110" s="24" t="str">
        <x:v>Gluteus maximus; Biceps femoris long head; Biceps femoris short head; Semimembranosus; Semitendinosus</x:v>
      </x:c>
      <x:c r="O110" s="24" t="str">
        <x:v>With knee bent, press heel upward keeping pelvis level.</x:v>
      </x:c>
      <x:c r="P110" s="24" t="str">
        <x:v>Mat</x:v>
      </x:c>
      <x:c r="Q110" s="24" t="str">
        <x:v>2–3 × 8–12 controlled reps</x:v>
      </x:c>
      <x:c r="R110" s="24" t="str">
        <x:v>Progress gradually; stop with sharp pain, dizziness, or numbness.</x:v>
      </x:c>
      <x:c r="S110" s="24" t="str">
        <x:v>https://orthoinfo.aaos.org/globalassets/pdfs/hip-conditioning-rehab-program-2025.pdf</x:v>
      </x:c>
      <x:c r="T110" s="24" t="str">
        <x:v>Anatomy-based mapping</x:v>
      </x:c>
    </x:row>
    <x:row r="111" ht="54" customHeight="1">
      <x:c r="A111" s="24" t="str">
        <x:v>EX0108</x:v>
      </x:c>
      <x:c r="B111" s="24" t="str">
        <x:v>Side-lying hip abduction</x:v>
      </x:c>
      <x:c r="C111" s="24" t="str">
        <x:v>Hip &amp; Gluteal</x:v>
      </x:c>
      <x:c r="D111" s="24" t="str">
        <x:v>Home</x:v>
      </x:c>
      <x:c r="E111" s="24" t="str">
        <x:v>Isolation strength</x:v>
      </x:c>
      <x:c r="F111" s="24" t="str">
        <x:v>Gluteus medius; Gluteus minimus; Tensor fasciae latae</x:v>
      </x:c>
      <x:c r="G111" s="24" t="str">
        <x:v>—</x:v>
      </x:c>
      <x:c r="H111" s="24" t="str">
        <x:v>Rectus abdominis; External oblique; Internal oblique; Transversus abdominis</x:v>
      </x:c>
      <x:c r="I111" s="24" t="str">
        <x:v>—</x:v>
      </x:c>
      <x:c r="J111" s="24" t="str">
        <x:v>Gluteus medius; Gluteus minimus; Tensor fasciae latae; Rectus abdominis; External oblique; Internal oblique; Transversus abdominis</x:v>
      </x:c>
      <x:c r="K111" s="24" t="str">
        <x:v>Gluteus medius/minimus tendons</x:v>
      </x:c>
      <x:c r="L111" s="24" t="str">
        <x:v>Iliofemoral, ischiofemoral, pubofemoral ligaments stabilize hip passively; NOT stretched deliberately</x:v>
      </x:c>
      <x:c r="M111" s="24" t="str">
        <x:v>Muscles: Gluteus medius; Gluteus minimus; Tensor fasciae latae; Rectus abdominis; External oblique; Internal oblique; Transversus abdominis | Tendons/fascia: Gluteus medius/minimus tendons | Ligament context only: Iliofemoral, ischiofemoral, pubofemoral ligaments stabilize hip passively; NOT stretched deliberately</x:v>
      </x:c>
      <x:c r="N111" s="24" t="str">
        <x:v>Gluteus medius; Gluteus minimus; Tensor fasciae latae</x:v>
      </x:c>
      <x:c r="O111" s="24" t="str">
        <x:v>Top leg straight slightly behind body; raise without rotating hip upward.</x:v>
      </x:c>
      <x:c r="P111" s="24" t="str">
        <x:v>Mat</x:v>
      </x:c>
      <x:c r="Q111" s="24" t="str">
        <x:v>2–3 × 8–12 controlled reps</x:v>
      </x:c>
      <x:c r="R111" s="24" t="str">
        <x:v>Progress gradually; stop with sharp pain, dizziness, or numbness.</x:v>
      </x:c>
      <x:c r="S111" s="24" t="str">
        <x:v>https://orthoinfo.aaos.org/globalassets/pdfs/hip-conditioning-rehab-program-2025.pdf</x:v>
      </x:c>
      <x:c r="T111" s="24" t="str">
        <x:v>Anatomy-based mapping</x:v>
      </x:c>
    </x:row>
    <x:row r="112" ht="54" customHeight="1">
      <x:c r="A112" s="24" t="str">
        <x:v>EX0109</x:v>
      </x:c>
      <x:c r="B112" s="24" t="str">
        <x:v>Standing band lateral walk</x:v>
      </x:c>
      <x:c r="C112" s="24" t="str">
        <x:v>Hip &amp; Gluteal</x:v>
      </x:c>
      <x:c r="D112" s="24" t="str">
        <x:v>Home</x:v>
      </x:c>
      <x:c r="E112" s="24" t="str">
        <x:v>Band strength</x:v>
      </x:c>
      <x:c r="F112" s="24" t="str">
        <x:v>Gluteus medius; Gluteus minimus; Tensor fasciae latae</x:v>
      </x:c>
      <x:c r="G112" s="24" t="str">
        <x:v>Gluteus maximus</x:v>
      </x:c>
      <x:c r="H112" s="24" t="str">
        <x:v>Rectus abdominis; External oblique; Internal oblique; Transversus abdominis; Vastus intermedius; Vastus lateralis; Vastus medialis; Rectus femoris reflected head; Rectus femoris straight head</x:v>
      </x:c>
      <x:c r="I112" s="24" t="str">
        <x:v>—</x:v>
      </x:c>
      <x:c r="J112" s="24" t="str">
        <x:v>Gluteus medius; Gluteus minimus; Tensor fasciae latae; Gluteus maximus; Rectus abdominis; External oblique; Internal oblique; Transversus abdominis; Vastus intermedius; Vastus lateralis; Vastus medialis; Rectus femoris reflected head; Rectus femoris straight head</x:v>
      </x:c>
      <x:c r="K112" s="24" t="str">
        <x:v>Gluteus medius/minimus insertion tendons</x:v>
      </x:c>
      <x:c r="L112" s="24" t="str">
        <x:v>Iliofemoral, ischiofemoral, pubofemoral ligaments stabilize hip passively; NOT stretched deliberately</x:v>
      </x:c>
      <x:c r="M112" s="24" t="str">
        <x:v>Muscles: Gluteus medius; Gluteus minimus; Tensor fasciae latae; Gluteus maximus; Rectus abdominis; External oblique; Internal oblique; Transversus abdominis; Vastus intermedius; Vastus lateralis; Vastus medialis; Rectus femoris reflected head; Rectus femoris straight head | Tendons/fascia: Gluteus medius/minimus insertion tendons | Ligament context only: Iliofemoral, ischiofemoral, pubofemoral ligaments stabilize hip passively; NOT stretched deliberately</x:v>
      </x:c>
      <x:c r="N112" s="24" t="str">
        <x:v>Gluteus medius; Gluteus minimus; Tensor fasciae latae; Gluteus maximus</x:v>
      </x:c>
      <x:c r="O112" s="24" t="str">
        <x:v>Band around knees/ankles; take small controlled side steps.</x:v>
      </x:c>
      <x:c r="P112" s="24" t="str">
        <x:v>Miniband</x:v>
      </x:c>
      <x:c r="Q112" s="24" t="str">
        <x:v>2–3 × 8–12 controlled reps</x:v>
      </x:c>
      <x:c r="R112" s="24" t="str">
        <x:v>Progress gradually; stop with sharp pain, dizziness, or numbness.</x:v>
      </x:c>
      <x:c r="S112" s="24" t="str">
        <x:v>https://orthoinfo.aaos.org/globalassets/pdfs/hip-conditioning-rehab-program-2025.pdf</x:v>
      </x:c>
      <x:c r="T112" s="24" t="str">
        <x:v>Anatomy-based mapping</x:v>
      </x:c>
    </x:row>
    <x:row r="113" ht="54" customHeight="1">
      <x:c r="A113" s="24" t="str">
        <x:v>EX0110</x:v>
      </x:c>
      <x:c r="B113" s="24" t="str">
        <x:v>Monster walk with resistance band</x:v>
      </x:c>
      <x:c r="C113" s="24" t="str">
        <x:v>Hip &amp; Gluteal</x:v>
      </x:c>
      <x:c r="D113" s="24" t="str">
        <x:v>Home</x:v>
      </x:c>
      <x:c r="E113" s="24" t="str">
        <x:v>Band strength</x:v>
      </x:c>
      <x:c r="F113" s="24" t="str">
        <x:v>Gluteus medius; Gluteus minimus; Tensor fasciae latae; Gluteus maximus</x:v>
      </x:c>
      <x:c r="G113" s="24" t="str">
        <x:v>Vastus intermedius; Vastus lateralis; Vastus medialis; Rectus femoris reflected head; Rectus femoris straight head</x:v>
      </x:c>
      <x:c r="H113" s="24" t="str">
        <x:v>Rectus abdominis; External oblique; Internal oblique; Transversus abdominis</x:v>
      </x:c>
      <x:c r="I113" s="24" t="str">
        <x:v>—</x:v>
      </x:c>
      <x:c r="J113" s="24" t="str">
        <x:v>Gluteus medius; Gluteus minimus; Tensor fasciae latae; Gluteus maximus; Vastus intermedius; Vastus lateralis; Vastus medialis; Rectus femoris reflected head; Rectus femoris straight head; Rectus abdominis; External oblique; Internal oblique; Transversus abdominis</x:v>
      </x:c>
      <x:c r="K113" s="24" t="str">
        <x:v>Atlas-listed tendon/aponeurosis examples: Gluteus medius tendon; Gluteus minimus tendon and joint-capsule expansions; Iliotibial tract (fascial thickening); Iliotibial tract aponeurosis and gluteal tendon; additional listed attachments</x:v>
      </x:c>
      <x:c r="L113" s="24" t="str">
        <x:v>Iliofemoral, ischiofemoral, pubofemoral ligaments stabilize hip passively; NOT stretched deliberately</x:v>
      </x:c>
      <x:c r="M113" s="24" t="str">
        <x:v>Muscles: Gluteus medius; Gluteus minimus; Tensor fasciae latae; Gluteus maximus; Vastus intermedius; Vastus lateralis; Vastus medialis; Rectus femoris reflected head; Rectus femoris straight head; Rectus abdominis; External oblique; Internal oblique; Transversus abdominis | Tendons/fascia: Atlas-listed tendon/aponeurosis examples: Gluteus medius tendon; Gluteus minimus tendon and joint-capsule expansions; Iliotibial tract (fascial thickening); Iliotibial tract aponeurosis and gluteal tendon; additional listed attachments | Ligament context only: Iliofemoral, ischiofemoral, pubofemoral ligaments stabilize hip passively; NOT stretched deliberately</x:v>
      </x:c>
      <x:c r="N113" s="24" t="str">
        <x:v>Gluteus medius; Gluteus minimus; Tensor fasciae latae; Gluteus maximus; Vastus intermedius; Vastus lateralis; Vastus medialis; Rectus femoris reflected head; Rectus femoris straight head</x:v>
      </x:c>
      <x:c r="O113" s="24" t="str">
        <x:v>Maintain small squat, step diagonally forward and backward.</x:v>
      </x:c>
      <x:c r="P113" s="24" t="str">
        <x:v>Miniband</x:v>
      </x:c>
      <x:c r="Q113" s="24" t="str">
        <x:v>2–3 × 8–12 controlled reps</x:v>
      </x:c>
      <x:c r="R113" s="24" t="str">
        <x:v>Progress gradually; stop with sharp pain, dizziness, or numbness.</x:v>
      </x:c>
      <x:c r="S113" s="24" t="str">
        <x:v>https://orthoinfo.aaos.org/globalassets/pdfs/hip-conditioning-rehab-program-2025.pdf</x:v>
      </x:c>
      <x:c r="T113" s="24" t="str">
        <x:v>Anatomy-based mapping</x:v>
      </x:c>
    </x:row>
    <x:row r="114" ht="54" customHeight="1">
      <x:c r="A114" s="24" t="str">
        <x:v>EX0111</x:v>
      </x:c>
      <x:c r="B114" s="24" t="str">
        <x:v>Cable standing hip abduction</x:v>
      </x:c>
      <x:c r="C114" s="24" t="str">
        <x:v>Hip &amp; Gluteal</x:v>
      </x:c>
      <x:c r="D114" s="24" t="str">
        <x:v>Gym</x:v>
      </x:c>
      <x:c r="E114" s="24" t="str">
        <x:v>Isolation strength</x:v>
      </x:c>
      <x:c r="F114" s="24" t="str">
        <x:v>Gluteus medius; Gluteus minimus; Tensor fasciae latae</x:v>
      </x:c>
      <x:c r="G114" s="24" t="str">
        <x:v>—</x:v>
      </x:c>
      <x:c r="H114" s="24" t="str">
        <x:v>Rectus abdominis; External oblique; Internal oblique; Transversus abdominis</x:v>
      </x:c>
      <x:c r="I114" s="24" t="str">
        <x:v>—</x:v>
      </x:c>
      <x:c r="J114" s="24" t="str">
        <x:v>Gluteus medius; Gluteus minimus; Tensor fasciae latae; Rectus abdominis; External oblique; Internal oblique; Transversus abdominis</x:v>
      </x:c>
      <x:c r="K114" s="24" t="str">
        <x:v>Gluteus medius/minimus tendon</x:v>
      </x:c>
      <x:c r="L114" s="24" t="str">
        <x:v>Iliofemoral, ischiofemoral, pubofemoral ligaments stabilize hip passively; NOT stretched deliberately</x:v>
      </x:c>
      <x:c r="M114" s="24" t="str">
        <x:v>Muscles: Gluteus medius; Gluteus minimus; Tensor fasciae latae; Rectus abdominis; External oblique; Internal oblique; Transversus abdominis | Tendons/fascia: Gluteus medius/minimus tendon | Ligament context only: Iliofemoral, ischiofemoral, pubofemoral ligaments stabilize hip passively; NOT stretched deliberately</x:v>
      </x:c>
      <x:c r="N114" s="24" t="str">
        <x:v>Gluteus medius; Gluteus minimus; Tensor fasciae latae</x:v>
      </x:c>
      <x:c r="O114" s="24" t="str">
        <x:v>Stand tall with ankle strap; move leg sideways slightly backward.</x:v>
      </x:c>
      <x:c r="P114" s="24" t="str">
        <x:v>Cable ankle strap</x:v>
      </x:c>
      <x:c r="Q114" s="24" t="str">
        <x:v>2–3 × 8–12 controlled reps</x:v>
      </x:c>
      <x:c r="R114" s="24" t="str">
        <x:v>Progress gradually; stop with sharp pain, dizziness, or numbness.</x:v>
      </x:c>
      <x:c r="S114" s="24" t="str">
        <x:v>https://orthoinfo.aaos.org/globalassets/pdfs/hip-conditioning-rehab-program-2025.pdf</x:v>
      </x:c>
      <x:c r="T114" s="24" t="str">
        <x:v>Anatomy-based mapping</x:v>
      </x:c>
    </x:row>
    <x:row r="115" ht="54" customHeight="1">
      <x:c r="A115" s="24" t="str">
        <x:v>EX0112</x:v>
      </x:c>
      <x:c r="B115" s="24" t="str">
        <x:v>Hip abduction machine</x:v>
      </x:c>
      <x:c r="C115" s="24" t="str">
        <x:v>Hip &amp; Gluteal</x:v>
      </x:c>
      <x:c r="D115" s="24" t="str">
        <x:v>Gym</x:v>
      </x:c>
      <x:c r="E115" s="24" t="str">
        <x:v>Isolation strength</x:v>
      </x:c>
      <x:c r="F115" s="24" t="str">
        <x:v>Gluteus medius; Gluteus minimus; Tensor fasciae latae</x:v>
      </x:c>
      <x:c r="G115" s="24" t="str">
        <x:v>Gluteus maximus</x:v>
      </x:c>
      <x:c r="H115" s="24" t="str">
        <x:v>—</x:v>
      </x:c>
      <x:c r="I115" s="24" t="str">
        <x:v>—</x:v>
      </x:c>
      <x:c r="J115" s="24" t="str">
        <x:v>Gluteus medius; Gluteus minimus; Tensor fasciae latae; Gluteus maximus</x:v>
      </x:c>
      <x:c r="K115" s="24" t="str">
        <x:v>Atlas-listed tendon/aponeurosis examples: Gluteus medius tendon; Gluteus minimus tendon and joint-capsule expansions; Iliotibial tract (fascial thickening); Iliotibial tract aponeurosis and gluteal tendon</x:v>
      </x:c>
      <x:c r="L115" s="24" t="str">
        <x:v>Iliofemoral, ischiofemoral, pubofemoral ligaments stabilize hip passively; NOT stretched deliberately</x:v>
      </x:c>
      <x:c r="M115" s="24" t="str">
        <x:v>Muscles: Gluteus medius; Gluteus minimus; Tensor fasciae latae; Gluteus maximus | Tendons/fascia: Atlas-listed tendon/aponeurosis examples: Gluteus medius tendon; Gluteus minimus tendon and joint-capsule expansions; Iliotibial tract (fascial thickening); Iliotibial tract aponeurosis and gluteal tendon | Ligament context only: Iliofemoral, ischiofemoral, pubofemoral ligaments stabilize hip passively; NOT stretched deliberately</x:v>
      </x:c>
      <x:c r="N115" s="24" t="str">
        <x:v>Gluteus medius; Gluteus minimus; Tensor fasciae latae; Gluteus maximus</x:v>
      </x:c>
      <x:c r="O115" s="24" t="str">
        <x:v>Open knees against pads without shifting torso.</x:v>
      </x:c>
      <x:c r="P115" s="24" t="str">
        <x:v>Seated abduction machine</x:v>
      </x:c>
      <x:c r="Q115" s="24" t="str">
        <x:v>2–3 × 8–12 controlled reps</x:v>
      </x:c>
      <x:c r="R115" s="24" t="str">
        <x:v>Progress gradually; stop with sharp pain, dizziness, or numbness.</x:v>
      </x:c>
      <x:c r="S115" s="24" t="str">
        <x:v>https://orthoinfo.aaos.org/globalassets/pdfs/hip-conditioning-rehab-program-2025.pdf</x:v>
      </x:c>
      <x:c r="T115" s="24" t="str">
        <x:v>Anatomy-based mapping</x:v>
      </x:c>
    </x:row>
    <x:row r="116" ht="54" customHeight="1">
      <x:c r="A116" s="24" t="str">
        <x:v>EX0113</x:v>
      </x:c>
      <x:c r="B116" s="24" t="str">
        <x:v>Clamshell with resistance band</x:v>
      </x:c>
      <x:c r="C116" s="24" t="str">
        <x:v>Hip &amp; Gluteal</x:v>
      </x:c>
      <x:c r="D116" s="24" t="str">
        <x:v>Home</x:v>
      </x:c>
      <x:c r="E116" s="24" t="str">
        <x:v>Band strength</x:v>
      </x:c>
      <x:c r="F116" s="24" t="str">
        <x:v>Gluteus medius; Gluteus minimus; Tensor fasciae latae; Piriformis; Obturator internus; Obturator externus; Superior gemellus; Inferior gemellus; Quadratus femoris</x:v>
      </x:c>
      <x:c r="G116" s="24" t="str">
        <x:v>—</x:v>
      </x:c>
      <x:c r="H116" s="24" t="str">
        <x:v>Rectus abdominis; External oblique; Internal oblique; Transversus abdominis</x:v>
      </x:c>
      <x:c r="I116" s="24" t="str">
        <x:v>—</x:v>
      </x:c>
      <x:c r="J116" s="24" t="str">
        <x:v>Gluteus medius; Gluteus minimus; Tensor fasciae latae; Piriformis; Obturator internus; Obturator externus; Superior gemellus; Inferior gemellus; Quadratus femoris; Rectus abdominis; External oblique; Internal oblique; Transversus abdominis</x:v>
      </x:c>
      <x:c r="K116" s="24" t="str">
        <x:v>Gluteus medius and deep rotator tendons</x:v>
      </x:c>
      <x:c r="L116" s="24" t="str">
        <x:v>Iliofemoral, ischiofemoral, pubofemoral ligaments stabilize hip passively; NOT stretched deliberately</x:v>
      </x:c>
      <x:c r="M116" s="24" t="str">
        <x:v>Muscles: Gluteus medius; Gluteus minimus; Tensor fasciae latae; Piriformis; Obturator internus; Obturator externus; Superior gemellus; Inferior gemellus; Quadratus femoris; Rectus abdominis; External oblique; Internal oblique; Transversus abdominis | Tendons/fascia: Gluteus medius and deep rotator tendons | Ligament context only: Iliofemoral, ischiofemoral, pubofemoral ligaments stabilize hip passively; NOT stretched deliberately</x:v>
      </x:c>
      <x:c r="N116" s="24" t="str">
        <x:v>Gluteus medius; Gluteus minimus; Tensor fasciae latae; Piriformis; Obturator internus; Obturator externus; Superior gemellus; Inferior gemellus; Quadratus femoris</x:v>
      </x:c>
      <x:c r="O116" s="24" t="str">
        <x:v>Lie on side hips/knees bent; open top knee without rolling pelvis.</x:v>
      </x:c>
      <x:c r="P116" s="24" t="str">
        <x:v>Miniband</x:v>
      </x:c>
      <x:c r="Q116" s="24" t="str">
        <x:v>2–3 × 8–12 controlled reps</x:v>
      </x:c>
      <x:c r="R116" s="24" t="str">
        <x:v>Progress gradually; stop with sharp pain, dizziness, or numbness.</x:v>
      </x:c>
      <x:c r="S116" s="24" t="str">
        <x:v>https://orthoinfo.aaos.org/globalassets/pdfs/hip-conditioning-rehab-program-2025.pdf</x:v>
      </x:c>
      <x:c r="T116" s="24" t="str">
        <x:v>Anatomy-based mapping</x:v>
      </x:c>
    </x:row>
    <x:row r="117" ht="54" customHeight="1">
      <x:c r="A117" s="24" t="str">
        <x:v>EX0114</x:v>
      </x:c>
      <x:c r="B117" s="24" t="str">
        <x:v>Side plank hip abduction</x:v>
      </x:c>
      <x:c r="C117" s="24" t="str">
        <x:v>Hip &amp; Gluteal</x:v>
      </x:c>
      <x:c r="D117" s="24" t="str">
        <x:v>Home</x:v>
      </x:c>
      <x:c r="E117" s="24" t="str">
        <x:v>Compound strength</x:v>
      </x:c>
      <x:c r="F117" s="24" t="str">
        <x:v>Gluteus medius; Gluteus minimus; Tensor fasciae latae</x:v>
      </x:c>
      <x:c r="G117" s="24" t="str">
        <x:v>External oblique; Internal oblique; Transversus abdominis</x:v>
      </x:c>
      <x:c r="H117" s="24" t="str">
        <x:v>Rectus abdominis</x:v>
      </x:c>
      <x:c r="I117" s="24" t="str">
        <x:v>—</x:v>
      </x:c>
      <x:c r="J117" s="24" t="str">
        <x:v>Gluteus medius; Gluteus minimus; Tensor fasciae latae; External oblique; Internal oblique; Transversus abdominis; Rectus abdominis</x:v>
      </x:c>
      <x:c r="K117" s="24" t="str">
        <x:v>Atlas-listed tendon/aponeurosis examples: Gluteus medius tendon; Gluteus minimus tendon and joint-capsule expansions; Iliotibial tract (fascial thickening); Broad external oblique aponeurosis; additional listed attachments</x:v>
      </x:c>
      <x:c r="L117" s="24" t="str">
        <x:v>Iliofemoral, ischiofemoral, pubofemoral ligaments stabilize hip passively; NOT stretched deliberately</x:v>
      </x:c>
      <x:c r="M117" s="24" t="str">
        <x:v>Muscles: Gluteus medius; Gluteus minimus; Tensor fasciae latae; External oblique; Internal oblique; Transversus abdominis; Rectus abdominis | Tendons/fascia: Atlas-listed tendon/aponeurosis examples: Gluteus medius tendon; Gluteus minimus tendon and joint-capsule expansions; Iliotibial tract (fascial thickening); Broad external oblique aponeurosis; additional listed attachments | Ligament context only: Iliofemoral, ischiofemoral, pubofemoral ligaments stabilize hip passively; NOT stretched deliberately</x:v>
      </x:c>
      <x:c r="N117" s="24" t="str">
        <x:v>Gluteus medius; Gluteus minimus; Tensor fasciae latae; External oblique; Internal oblique; Transversus abdominis</x:v>
      </x:c>
      <x:c r="O117" s="24" t="str">
        <x:v>In side plank, lift top leg a short distance without losing line.</x:v>
      </x:c>
      <x:c r="P117" s="24" t="str">
        <x:v>Mat</x:v>
      </x:c>
      <x:c r="Q117" s="24" t="str">
        <x:v>2–3 × 8–12 controlled reps</x:v>
      </x:c>
      <x:c r="R117" s="24" t="str">
        <x:v>Progress gradually; stop with sharp pain, dizziness, or numbness.</x:v>
      </x:c>
      <x:c r="S117" s="24" t="str">
        <x:v>https://orthoinfo.aaos.org/globalassets/pdfs/hip-conditioning-rehab-program-2025.pdf</x:v>
      </x:c>
      <x:c r="T117" s="24" t="str">
        <x:v>Anatomy-based mapping</x:v>
      </x:c>
    </x:row>
    <x:row r="118" ht="54" customHeight="1">
      <x:c r="A118" s="24" t="str">
        <x:v>EX0115</x:v>
      </x:c>
      <x:c r="B118" s="24" t="str">
        <x:v>Supported standing hip external rotation</x:v>
      </x:c>
      <x:c r="C118" s="24" t="str">
        <x:v>Hip &amp; Gluteal</x:v>
      </x:c>
      <x:c r="D118" s="24" t="str">
        <x:v>Home</x:v>
      </x:c>
      <x:c r="E118" s="24" t="str">
        <x:v>Band strength</x:v>
      </x:c>
      <x:c r="F118" s="24" t="str">
        <x:v>Piriformis; Obturator internus; Obturator externus; Superior gemellus; Inferior gemellus; Quadratus femoris</x:v>
      </x:c>
      <x:c r="G118" s="24" t="str">
        <x:v>Gluteus maximus</x:v>
      </x:c>
      <x:c r="H118" s="24" t="str">
        <x:v>Gluteus medius; Gluteus minimus; Tensor fasciae latae</x:v>
      </x:c>
      <x:c r="I118" s="24" t="str">
        <x:v>—</x:v>
      </x:c>
      <x:c r="J118" s="24" t="str">
        <x:v>Piriformis; Obturator internus; Obturator externus; Superior gemellus; Inferior gemellus; Quadratus femoris; Gluteus maximus; Gluteus medius; Gluteus minimus; Tensor fasciae latae</x:v>
      </x:c>
      <x:c r="K118" s="24" t="str">
        <x:v>Piriformis/obturator/gemelli/quadratus femoris tendons</x:v>
      </x:c>
      <x:c r="L118" s="24" t="str">
        <x:v>Iliofemoral, ischiofemoral, pubofemoral ligaments stabilize hip passively; NOT stretched deliberately</x:v>
      </x:c>
      <x:c r="M118" s="24" t="str">
        <x:v>Muscles: Piriformis; Obturator internus; Obturator externus; Superior gemellus; Inferior gemellus; Quadratus femoris; Gluteus maximus; Gluteus medius; Gluteus minimus; Tensor fasciae latae | Tendons/fascia: Piriformis/obturator/gemelli/quadratus femoris tendons | Ligament context only: Iliofemoral, ischiofemoral, pubofemoral ligaments stabilize hip passively; NOT stretched deliberately</x:v>
      </x:c>
      <x:c r="N118" s="24" t="str">
        <x:v>Piriformis; Obturator internus; Obturator externus; Superior gemellus; Inferior gemellus; Quadratus femoris; Gluteus maximus</x:v>
      </x:c>
      <x:c r="O118" s="24" t="str">
        <x:v>With hip stable, rotate thigh outward against light elastic.</x:v>
      </x:c>
      <x:c r="P118" s="24" t="str">
        <x:v>Light band</x:v>
      </x:c>
      <x:c r="Q118" s="24" t="str">
        <x:v>2–3 × 8–12 controlled reps</x:v>
      </x:c>
      <x:c r="R118" s="24" t="str">
        <x:v>Progress gradually; stop with sharp pain, dizziness, or numbness.</x:v>
      </x:c>
      <x:c r="S118" s="24" t="str">
        <x:v>https://orthoinfo.aaos.org/globalassets/pdfs/hip-conditioning-rehab-program-2025.pdf</x:v>
      </x:c>
      <x:c r="T118" s="24" t="str">
        <x:v>Anatomy-based mapping</x:v>
      </x:c>
    </x:row>
    <x:row r="119" ht="54" customHeight="1">
      <x:c r="A119" s="24" t="str">
        <x:v>EX0116</x:v>
      </x:c>
      <x:c r="B119" s="24" t="str">
        <x:v>Seated hip external rotation with light band</x:v>
      </x:c>
      <x:c r="C119" s="24" t="str">
        <x:v>Hip &amp; Gluteal</x:v>
      </x:c>
      <x:c r="D119" s="24" t="str">
        <x:v>Home</x:v>
      </x:c>
      <x:c r="E119" s="24" t="str">
        <x:v>Band strength</x:v>
      </x:c>
      <x:c r="F119" s="24" t="str">
        <x:v>Piriformis; Obturator internus; Obturator externus; Superior gemellus; Inferior gemellus; Quadratus femoris</x:v>
      </x:c>
      <x:c r="G119" s="24" t="str">
        <x:v>Gluteus maximus</x:v>
      </x:c>
      <x:c r="H119" s="24" t="str">
        <x:v>Gluteus medius; Gluteus minimus; Tensor fasciae latae</x:v>
      </x:c>
      <x:c r="I119" s="24" t="str">
        <x:v>—</x:v>
      </x:c>
      <x:c r="J119" s="24" t="str">
        <x:v>Piriformis; Obturator internus; Obturator externus; Superior gemellus; Inferior gemellus; Quadratus femoris; Gluteus maximus; Gluteus medius; Gluteus minimus; Tensor fasciae latae</x:v>
      </x:c>
      <x:c r="K119" s="24" t="str">
        <x:v>Atlas-listed tendon/aponeurosis examples: Piriformis insertion tendon; Tendon bends around lesser sciatic notch; Obturator externus tendon; Common tendon with obturator internus; additional listed attachments</x:v>
      </x:c>
      <x:c r="L119" s="24" t="str">
        <x:v>Iliofemoral, ischiofemoral, pubofemoral ligaments stabilize hip passively; NOT stretched deliberately</x:v>
      </x:c>
      <x:c r="M119" s="24" t="str">
        <x:v>Muscles: Piriformis; Obturator internus; Obturator externus; Superior gemellus; Inferior gemellus; Quadratus femoris; Gluteus maximus; Gluteus medius; Gluteus minimus; Tensor fasciae latae | Tendons/fascia: Atlas-listed tendon/aponeurosis examples: Piriformis insertion tendon; Tendon bends around lesser sciatic notch; Obturator externus tendon; Common tendon with obturator internus; additional listed attachments | Ligament context only: Iliofemoral, ischiofemoral, pubofemoral ligaments stabilize hip passively; NOT stretched deliberately</x:v>
      </x:c>
      <x:c r="N119" s="24" t="str">
        <x:v>Piriformis; Obturator internus; Obturator externus; Superior gemellus; Inferior gemellus; Quadratus femoris; Gluteus maximus</x:v>
      </x:c>
      <x:c r="O119" s="24" t="str">
        <x:v>Knee at 90°, move lower leg inward to externally rotate femur against band.</x:v>
      </x:c>
      <x:c r="P119" s="24" t="str">
        <x:v>Light band</x:v>
      </x:c>
      <x:c r="Q119" s="24" t="str">
        <x:v>2–3 × 8–12 controlled reps</x:v>
      </x:c>
      <x:c r="R119" s="24" t="str">
        <x:v>Progress gradually; stop with sharp pain, dizziness, or numbness.</x:v>
      </x:c>
      <x:c r="S119" s="24" t="str">
        <x:v>https://orthoinfo.aaos.org/globalassets/pdfs/hip-conditioning-rehab-program-2025.pdf</x:v>
      </x:c>
      <x:c r="T119" s="24" t="str">
        <x:v>Anatomy-based mapping</x:v>
      </x:c>
    </x:row>
    <x:row r="120" ht="54" customHeight="1">
      <x:c r="A120" s="24" t="str">
        <x:v>EX0117</x:v>
      </x:c>
      <x:c r="B120" s="24" t="str">
        <x:v>Hip internal rotation with band (seated)</x:v>
      </x:c>
      <x:c r="C120" s="24" t="str">
        <x:v>Hip &amp; Gluteal</x:v>
      </x:c>
      <x:c r="D120" s="24" t="str">
        <x:v>Home</x:v>
      </x:c>
      <x:c r="E120" s="24" t="str">
        <x:v>Band strength</x:v>
      </x:c>
      <x:c r="F120" s="24" t="str">
        <x:v>Gluteus minimus; Tensor fasciae latae; Gluteus medius</x:v>
      </x:c>
      <x:c r="G120" s="24" t="str">
        <x:v>—</x:v>
      </x:c>
      <x:c r="H120" s="24" t="str">
        <x:v>Piriformis; Obturator internus; Obturator externus; Superior gemellus; Inferior gemellus; Quadratus femoris</x:v>
      </x:c>
      <x:c r="I120" s="24" t="str">
        <x:v>—</x:v>
      </x:c>
      <x:c r="J120" s="24" t="str">
        <x:v>Gluteus minimus; Tensor fasciae latae; Gluteus medius; Piriformis; Obturator internus; Obturator externus; Superior gemellus; Inferior gemellus; Quadratus femoris</x:v>
      </x:c>
      <x:c r="K120" s="24" t="str">
        <x:v>Atlas-listed tendon/aponeurosis examples: Gluteus minimus tendon and joint-capsule expansions; Iliotibial tract (fascial thickening); Gluteus medius tendon</x:v>
      </x:c>
      <x:c r="L120" s="24" t="str">
        <x:v>Iliofemoral, ischiofemoral, pubofemoral ligaments stabilize hip passively; NOT stretched deliberately</x:v>
      </x:c>
      <x:c r="M120" s="24" t="str">
        <x:v>Muscles: Gluteus minimus; Tensor fasciae latae; Gluteus medius; Piriformis; Obturator internus; Obturator externus; Superior gemellus; Inferior gemellus; Quadratus femoris | Tendons/fascia: Atlas-listed tendon/aponeurosis examples: Gluteus minimus tendon and joint-capsule expansions; Iliotibial tract (fascial thickening); Gluteus medius tendon | Ligament context only: Iliofemoral, ischiofemoral, pubofemoral ligaments stabilize hip passively; NOT stretched deliberately</x:v>
      </x:c>
      <x:c r="N120" s="24" t="str">
        <x:v>Gluteus minimus; Tensor fasciae latae; Gluteus medius</x:v>
      </x:c>
      <x:c r="O120" s="24" t="str">
        <x:v>Keeping knee still, move foot outward to internally rotate femur.</x:v>
      </x:c>
      <x:c r="P120" s="24" t="str">
        <x:v>Light band</x:v>
      </x:c>
      <x:c r="Q120" s="24" t="str">
        <x:v>2–3 × 8–12 controlled reps</x:v>
      </x:c>
      <x:c r="R120" s="24" t="str">
        <x:v>Progress gradually; stop with sharp pain, dizziness, or numbness.</x:v>
      </x:c>
      <x:c r="S120" s="24" t="str">
        <x:v>https://orthoinfo.aaos.org/globalassets/pdfs/hip-conditioning-rehab-program-2025.pdf</x:v>
      </x:c>
      <x:c r="T120" s="24" t="str">
        <x:v>Anatomy-based mapping</x:v>
      </x:c>
    </x:row>
    <x:row r="121" ht="54" customHeight="1">
      <x:c r="A121" s="24" t="str">
        <x:v>EX0118</x:v>
      </x:c>
      <x:c r="B121" s="24" t="str">
        <x:v>Cable hip internal rotation</x:v>
      </x:c>
      <x:c r="C121" s="24" t="str">
        <x:v>Hip &amp; Gluteal</x:v>
      </x:c>
      <x:c r="D121" s="24" t="str">
        <x:v>Gym</x:v>
      </x:c>
      <x:c r="E121" s="24" t="str">
        <x:v>Isolation strength</x:v>
      </x:c>
      <x:c r="F121" s="24" t="str">
        <x:v>Gluteus minimus; Tensor fasciae latae</x:v>
      </x:c>
      <x:c r="G121" s="24" t="str">
        <x:v>Gluteus medius</x:v>
      </x:c>
      <x:c r="H121" s="24" t="str">
        <x:v>—</x:v>
      </x:c>
      <x:c r="I121" s="24" t="str">
        <x:v>—</x:v>
      </x:c>
      <x:c r="J121" s="24" t="str">
        <x:v>Gluteus minimus; Tensor fasciae latae; Gluteus medius</x:v>
      </x:c>
      <x:c r="K121" s="24" t="str">
        <x:v>Atlas-listed tendon/aponeurosis examples: Gluteus minimus tendon and joint-capsule expansions; Iliotibial tract (fascial thickening); Gluteus medius tendon</x:v>
      </x:c>
      <x:c r="L121" s="24" t="str">
        <x:v>Iliofemoral, ischiofemoral, pubofemoral ligaments stabilize hip passively; NOT stretched deliberately</x:v>
      </x:c>
      <x:c r="M121" s="24" t="str">
        <x:v>Muscles: Gluteus minimus; Tensor fasciae latae; Gluteus medius | Tendons/fascia: Atlas-listed tendon/aponeurosis examples: Gluteus minimus tendon and joint-capsule expansions; Iliotibial tract (fascial thickening); Gluteus medius tendon | Ligament context only: Iliofemoral, ischiofemoral, pubofemoral ligaments stabilize hip passively; NOT stretched deliberately</x:v>
      </x:c>
      <x:c r="N121" s="24" t="str">
        <x:v>Gluteus minimus; Tensor fasciae latae; Gluteus medius</x:v>
      </x:c>
      <x:c r="O121" s="24" t="str">
        <x:v>At 90° knee flexion, rotate femur inward against very light cable.</x:v>
      </x:c>
      <x:c r="P121" s="24" t="str">
        <x:v>Cable ankle strap</x:v>
      </x:c>
      <x:c r="Q121" s="24" t="str">
        <x:v>2–3 × 8–12 controlled reps</x:v>
      </x:c>
      <x:c r="R121" s="24" t="str">
        <x:v>Progress gradually; stop with sharp pain, dizziness, or numbness.</x:v>
      </x:c>
      <x:c r="S121" s="24" t="str">
        <x:v>https://orthoinfo.aaos.org/globalassets/pdfs/hip-conditioning-rehab-program-2025.pdf</x:v>
      </x:c>
      <x:c r="T121" s="24" t="str">
        <x:v>Anatomy-based mapping</x:v>
      </x:c>
    </x:row>
    <x:row r="122" ht="54" customHeight="1">
      <x:c r="A122" s="24" t="str">
        <x:v>EX0119</x:v>
      </x:c>
      <x:c r="B122" s="24" t="str">
        <x:v>Standing band hip flexion march</x:v>
      </x:c>
      <x:c r="C122" s="24" t="str">
        <x:v>Hip &amp; Gluteal</x:v>
      </x:c>
      <x:c r="D122" s="24" t="str">
        <x:v>Home</x:v>
      </x:c>
      <x:c r="E122" s="24" t="str">
        <x:v>Band strength</x:v>
      </x:c>
      <x:c r="F122" s="24" t="str">
        <x:v>Iliacus; Psoas major; Sartorius; Tensor fasciae latae; Rectus femoris reflected head; Rectus femoris straight head; Pectineus</x:v>
      </x:c>
      <x:c r="G122" s="24" t="str">
        <x:v>Rectus abdominis; External oblique; Internal oblique; Transversus abdominis</x:v>
      </x:c>
      <x:c r="H122" s="24" t="str">
        <x:v>Gluteus medius; Gluteus minimus</x:v>
      </x:c>
      <x:c r="I122" s="24" t="str">
        <x:v>—</x:v>
      </x:c>
      <x:c r="J122" s="24" t="str">
        <x:v>Iliacus; Psoas major; Sartorius; Tensor fasciae latae; Rectus femoris reflected head; Rectus femoris straight head; Pectineus; Rectus abdominis; External oblique; Internal oblique; Transversus abdominis; Gluteus medius; Gluteus minimus</x:v>
      </x:c>
      <x:c r="K122" s="24" t="str">
        <x:v>Atlas-listed tendon/aponeurosis examples: Iliopsoas shared tendon; Pes anserinus superficial tendon; Iliotibial tract (fascial thickening); Reflected proximal tendon; quadriceps tendon; additional listed attachments</x:v>
      </x:c>
      <x:c r="L122" s="24" t="str">
        <x:v>Iliofemoral, ischiofemoral, pubofemoral ligaments stabilize hip passively; NOT stretched deliberately</x:v>
      </x:c>
      <x:c r="M122" s="24" t="str">
        <x:v>Muscles: Iliacus; Psoas major; Sartorius; Tensor fasciae latae; Rectus femoris reflected head; Rectus femoris straight head; Pectineus; Rectus abdominis; External oblique; Internal oblique; Transversus abdominis; Gluteus medius; Gluteus minimus | Tendons/fascia: Atlas-listed tendon/aponeurosis examples: Iliopsoas shared tendon; Pes anserinus superficial tendon; Iliotibial tract (fascial thickening); Reflected proximal tendon; quadriceps tendon; additional listed attachments | Ligament context only: Iliofemoral, ischiofemoral, pubofemoral ligaments stabilize hip passively; NOT stretched deliberately</x:v>
      </x:c>
      <x:c r="N122" s="24" t="str">
        <x:v>Iliacus; Psoas major; Sartorius; Tensor fasciae latae; Rectus femoris reflected head; Rectus femoris straight head; Pectineus; Rectus abdominis; External oblique; Internal oblique; Transversus abdominis</x:v>
      </x:c>
      <x:c r="O122" s="24" t="str">
        <x:v>Anchor band behind ankle; drive knee upward without leaning back.</x:v>
      </x:c>
      <x:c r="P122" s="24" t="str">
        <x:v>Resistance band</x:v>
      </x:c>
      <x:c r="Q122" s="24" t="str">
        <x:v>2–3 × 8–12 controlled reps</x:v>
      </x:c>
      <x:c r="R122" s="24" t="str">
        <x:v>Progress gradually; stop with sharp pain, dizziness, or numbness.</x:v>
      </x:c>
      <x:c r="S122" s="24" t="str">
        <x:v>https://orthoinfo.aaos.org/globalassets/pdfs/hip-conditioning-rehab-program-2025.pdf</x:v>
      </x:c>
      <x:c r="T122" s="24" t="str">
        <x:v>Anatomy-based mapping</x:v>
      </x:c>
    </x:row>
    <x:row r="123" ht="54" customHeight="1">
      <x:c r="A123" s="24" t="str">
        <x:v>EX0120</x:v>
      </x:c>
      <x:c r="B123" s="24" t="str">
        <x:v>Supine straight-leg raise</x:v>
      </x:c>
      <x:c r="C123" s="24" t="str">
        <x:v>Hip &amp; Gluteal</x:v>
      </x:c>
      <x:c r="D123" s="24" t="str">
        <x:v>Home</x:v>
      </x:c>
      <x:c r="E123" s="24" t="str">
        <x:v>Isolation strength</x:v>
      </x:c>
      <x:c r="F123" s="24" t="str">
        <x:v>Iliacus; Psoas major; Sartorius; Tensor fasciae latae; Rectus femoris reflected head; Rectus femoris straight head; Pectineus; Vastus intermedius; Vastus lateralis; Vastus medialis</x:v>
      </x:c>
      <x:c r="G123" s="24" t="str">
        <x:v>—</x:v>
      </x:c>
      <x:c r="H123" s="24" t="str">
        <x:v>Rectus abdominis; External oblique; Internal oblique; Transversus abdominis</x:v>
      </x:c>
      <x:c r="I123" s="24" t="str">
        <x:v>—</x:v>
      </x:c>
      <x:c r="J123" s="24" t="str">
        <x:v>Iliacus; Psoas major; Sartorius; Tensor fasciae latae; Rectus femoris reflected head; Rectus femoris straight head; Pectineus; Vastus intermedius; Vastus lateralis; Vastus medialis; Rectus abdominis; External oblique; Internal oblique; Transversus abdominis</x:v>
      </x:c>
      <x:c r="K123" s="24" t="str">
        <x:v>Iliopsoas tendons; quadriceps tendon</x:v>
      </x:c>
      <x:c r="L123" s="24" t="str">
        <x:v>Iliofemoral, ischiofemoral, pubofemoral ligaments stabilize hip passively; NOT stretched deliberately</x:v>
      </x:c>
      <x:c r="M123" s="24" t="str">
        <x:v>Muscles: Iliacus; Psoas major; Sartorius; Tensor fasciae latae; Rectus femoris reflected head; Rectus femoris straight head; Pectineus; Vastus intermedius; Vastus lateralis; Vastus medialis; Rectus abdominis; External oblique; Internal oblique; Transversus abdominis | Tendons/fascia: Iliopsoas tendons; quadriceps tendon | Ligament context only: Iliofemoral, ischiofemoral, pubofemoral ligaments stabilize hip passively; NOT stretched deliberately</x:v>
      </x:c>
      <x:c r="N123" s="24" t="str">
        <x:v>Iliacus; Psoas major; Sartorius; Tensor fasciae latae; Rectus femoris reflected head; Rectus femoris straight head; Pectineus; Vastus intermedius; Vastus lateralis; Vastus medialis</x:v>
      </x:c>
      <x:c r="O123" s="24" t="str">
        <x:v>With knee straight and opposite knee bent, lift leg slowly to 45°.</x:v>
      </x:c>
      <x:c r="P123" s="24" t="str">
        <x:v>Mat</x:v>
      </x:c>
      <x:c r="Q123" s="24" t="str">
        <x:v>2–3 × 8–12 controlled reps</x:v>
      </x:c>
      <x:c r="R123" s="24" t="str">
        <x:v>Progress gradually; stop with sharp pain, dizziness, or numbness.</x:v>
      </x:c>
      <x:c r="S123" s="24" t="str">
        <x:v>https://orthoinfo.aaos.org/globalassets/pdfs/hip-conditioning-rehab-program-2025.pdf</x:v>
      </x:c>
      <x:c r="T123" s="24" t="str">
        <x:v>Anatomy-based mapping</x:v>
      </x:c>
    </x:row>
    <x:row r="124" ht="54" customHeight="1">
      <x:c r="A124" s="24" t="str">
        <x:v>EX0121</x:v>
      </x:c>
      <x:c r="B124" s="24" t="str">
        <x:v>Standing cable knee drive</x:v>
      </x:c>
      <x:c r="C124" s="24" t="str">
        <x:v>Hip &amp; Gluteal</x:v>
      </x:c>
      <x:c r="D124" s="24" t="str">
        <x:v>Gym</x:v>
      </x:c>
      <x:c r="E124" s="24" t="str">
        <x:v>Isolation strength</x:v>
      </x:c>
      <x:c r="F124" s="24" t="str">
        <x:v>Iliacus; Psoas major; Sartorius; Tensor fasciae latae; Rectus femoris reflected head; Rectus femoris straight head; Pectineus</x:v>
      </x:c>
      <x:c r="G124" s="24" t="str">
        <x:v>Vastus intermedius; Vastus lateralis; Vastus medialis</x:v>
      </x:c>
      <x:c r="H124" s="24" t="str">
        <x:v>Rectus abdominis; External oblique; Internal oblique; Transversus abdominis; Gluteus medius; Gluteus minimus</x:v>
      </x:c>
      <x:c r="I124" s="24" t="str">
        <x:v>—</x:v>
      </x:c>
      <x:c r="J124" s="24" t="str">
        <x:v>Iliacus; Psoas major; Sartorius; Tensor fasciae latae; Rectus femoris reflected head; Rectus femoris straight head; Pectineus; Vastus intermedius; Vastus lateralis; Vastus medialis; Rectus abdominis; External oblique; Internal oblique; Transversus abdominis; Gluteus medius; Gluteus minimus</x:v>
      </x:c>
      <x:c r="K124" s="24" t="str">
        <x:v>Atlas-listed tendon/aponeurosis examples: Iliopsoas shared tendon; Pes anserinus superficial tendon; Iliotibial tract (fascial thickening); Reflected proximal tendon; quadriceps tendon; additional listed attachments</x:v>
      </x:c>
      <x:c r="L124" s="24" t="str">
        <x:v>Iliofemoral, ischiofemoral, pubofemoral ligaments stabilize hip passively; NOT stretched deliberately</x:v>
      </x:c>
      <x:c r="M124" s="24" t="str">
        <x:v>Muscles: Iliacus; Psoas major; Sartorius; Tensor fasciae latae; Rectus femoris reflected head; Rectus femoris straight head; Pectineus; Vastus intermedius; Vastus lateralis; Vastus medialis; Rectus abdominis; External oblique; Internal oblique; Transversus abdominis; Gluteus medius; Gluteus minimus | Tendons/fascia: Atlas-listed tendon/aponeurosis examples: Iliopsoas shared tendon; Pes anserinus superficial tendon; Iliotibial tract (fascial thickening); Reflected proximal tendon; quadriceps tendon; additional listed attachments | Ligament context only: Iliofemoral, ischiofemoral, pubofemoral ligaments stabilize hip passively; NOT stretched deliberately</x:v>
      </x:c>
      <x:c r="N124" s="24" t="str">
        <x:v>Iliacus; Psoas major; Sartorius; Tensor fasciae latae; Rectus femoris reflected head; Rectus femoris straight head; Pectineus; Vastus intermedius; Vastus lateralis; Vastus medialis</x:v>
      </x:c>
      <x:c r="O124" s="24" t="str">
        <x:v>Raise knee toward torso against cable while maintaining level pelvis.</x:v>
      </x:c>
      <x:c r="P124" s="24" t="str">
        <x:v>Cable ankle strap</x:v>
      </x:c>
      <x:c r="Q124" s="24" t="str">
        <x:v>2–3 × 8–12 controlled reps</x:v>
      </x:c>
      <x:c r="R124" s="24" t="str">
        <x:v>Progress gradually; stop with sharp pain, dizziness, or numbness.</x:v>
      </x:c>
      <x:c r="S124" s="24" t="str">
        <x:v>https://orthoinfo.aaos.org/globalassets/pdfs/hip-conditioning-rehab-program-2025.pdf</x:v>
      </x:c>
      <x:c r="T124" s="24" t="str">
        <x:v>Anatomy-based mapping</x:v>
      </x:c>
    </x:row>
    <x:row r="125" ht="54" customHeight="1">
      <x:c r="A125" s="24" t="str">
        <x:v>EX0122</x:v>
      </x:c>
      <x:c r="B125" s="24" t="str">
        <x:v>Seated resisted hip flexion with band</x:v>
      </x:c>
      <x:c r="C125" s="24" t="str">
        <x:v>Hip &amp; Gluteal</x:v>
      </x:c>
      <x:c r="D125" s="24" t="str">
        <x:v>Home</x:v>
      </x:c>
      <x:c r="E125" s="24" t="str">
        <x:v>Band strength</x:v>
      </x:c>
      <x:c r="F125" s="24" t="str">
        <x:v>Iliacus; Psoas major; Sartorius</x:v>
      </x:c>
      <x:c r="G125" s="24" t="str">
        <x:v>Rectus femoris reflected head; Rectus femoris straight head</x:v>
      </x:c>
      <x:c r="H125" s="24" t="str">
        <x:v>Rectus abdominis; External oblique; Internal oblique; Transversus abdominis</x:v>
      </x:c>
      <x:c r="I125" s="24" t="str">
        <x:v>—</x:v>
      </x:c>
      <x:c r="J125" s="24" t="str">
        <x:v>Iliacus; Psoas major; Sartorius; Rectus femoris reflected head; Rectus femoris straight head; Rectus abdominis; External oblique; Internal oblique; Transversus abdominis</x:v>
      </x:c>
      <x:c r="K125" s="24" t="str">
        <x:v>Atlas-listed tendon/aponeurosis examples: Iliopsoas shared tendon; Pes anserinus superficial tendon; Reflected proximal tendon; quadriceps tendon; Quadriceps tendon; patellar ligament continuation</x:v>
      </x:c>
      <x:c r="L125" s="24" t="str">
        <x:v>Iliofemoral, ischiofemoral, pubofemoral ligaments stabilize hip passively; NOT stretched deliberately</x:v>
      </x:c>
      <x:c r="M125" s="24" t="str">
        <x:v>Muscles: Iliacus; Psoas major; Sartorius; Rectus femoris reflected head; Rectus femoris straight head; Rectus abdominis; External oblique; Internal oblique; Transversus abdominis | Tendons/fascia: Atlas-listed tendon/aponeurosis examples: Iliopsoas shared tendon; Pes anserinus superficial tendon; Reflected proximal tendon; quadriceps tendon; Quadriceps tendon; patellar ligament continuation | Ligament context only: Iliofemoral, ischiofemoral, pubofemoral ligaments stabilize hip passively; NOT stretched deliberately</x:v>
      </x:c>
      <x:c r="N125" s="24" t="str">
        <x:v>Iliacus; Psoas major; Sartorius; Rectus femoris reflected head; Rectus femoris straight head</x:v>
      </x:c>
      <x:c r="O125" s="24" t="str">
        <x:v>Lift bent knee from sitting against a low band gently.</x:v>
      </x:c>
      <x:c r="P125" s="24" t="str">
        <x:v>Band</x:v>
      </x:c>
      <x:c r="Q125" s="24" t="str">
        <x:v>2–3 × 8–12 controlled reps</x:v>
      </x:c>
      <x:c r="R125" s="24" t="str">
        <x:v>Progress gradually; stop with sharp pain, dizziness, or numbness.</x:v>
      </x:c>
      <x:c r="S125" s="24" t="str">
        <x:v>https://orthoinfo.aaos.org/globalassets/pdfs/hip-conditioning-rehab-program-2025.pdf</x:v>
      </x:c>
      <x:c r="T125" s="24" t="str">
        <x:v>Anatomy-based mapping</x:v>
      </x:c>
    </x:row>
    <x:row r="126" ht="54" customHeight="1">
      <x:c r="A126" s="24" t="str">
        <x:v>EX0123</x:v>
      </x:c>
      <x:c r="B126" s="24" t="str">
        <x:v>Standing hip hike on step</x:v>
      </x:c>
      <x:c r="C126" s="24" t="str">
        <x:v>Hip &amp; Gluteal</x:v>
      </x:c>
      <x:c r="D126" s="24" t="str">
        <x:v>Home</x:v>
      </x:c>
      <x:c r="E126" s="24" t="str">
        <x:v>Isolation strength</x:v>
      </x:c>
      <x:c r="F126" s="24" t="str">
        <x:v>Gluteus medius; Gluteus minimus; Quadratus lumborum</x:v>
      </x:c>
      <x:c r="G126" s="24" t="str">
        <x:v>—</x:v>
      </x:c>
      <x:c r="H126" s="24" t="str">
        <x:v>Rectus abdominis; External oblique; Internal oblique; Transversus abdominis</x:v>
      </x:c>
      <x:c r="I126" s="24" t="str">
        <x:v>—</x:v>
      </x:c>
      <x:c r="J126" s="24" t="str">
        <x:v>Gluteus medius; Gluteus minimus; Quadratus lumborum; Rectus abdominis; External oblique; Internal oblique; Transversus abdominis</x:v>
      </x:c>
      <x:c r="K126" s="24" t="str">
        <x:v>Atlas-listed tendon/aponeurosis examples: Gluteus medius tendon; Gluteus minimus tendon and joint-capsule expansions; Short aponeuroses to lumbar transverse processes</x:v>
      </x:c>
      <x:c r="L126" s="24" t="str">
        <x:v>Iliofemoral, ischiofemoral, pubofemoral ligaments stabilize hip passively; NOT stretched deliberately</x:v>
      </x:c>
      <x:c r="M126" s="24" t="str">
        <x:v>Muscles: Gluteus medius; Gluteus minimus; Quadratus lumborum; Rectus abdominis; External oblique; Internal oblique; Transversus abdominis | Tendons/fascia: Atlas-listed tendon/aponeurosis examples: Gluteus medius tendon; Gluteus minimus tendon and joint-capsule expansions; Short aponeuroses to lumbar transverse processes | Ligament context only: Iliofemoral, ischiofemoral, pubofemoral ligaments stabilize hip passively; NOT stretched deliberately</x:v>
      </x:c>
      <x:c r="N126" s="24" t="str">
        <x:v>Gluteus medius; Gluteus minimus; Quadratus lumborum</x:v>
      </x:c>
      <x:c r="O126" s="24" t="str">
        <x:v>Stand on step, lower free-side pelvis then raise using stance hip.</x:v>
      </x:c>
      <x:c r="P126" s="24" t="str">
        <x:v>Low stable step</x:v>
      </x:c>
      <x:c r="Q126" s="24" t="str">
        <x:v>2–3 × 8–12 controlled reps</x:v>
      </x:c>
      <x:c r="R126" s="24" t="str">
        <x:v>Progress gradually; stop with sharp pain, dizziness, or numbness.</x:v>
      </x:c>
      <x:c r="S126" s="24" t="str">
        <x:v>https://orthoinfo.aaos.org/globalassets/pdfs/hip-conditioning-rehab-program-2025.pdf</x:v>
      </x:c>
      <x:c r="T126" s="24" t="str">
        <x:v>Anatomy-based mapping</x:v>
      </x:c>
    </x:row>
    <x:row r="127" ht="54" customHeight="1">
      <x:c r="A127" s="24" t="str">
        <x:v>EX0124</x:v>
      </x:c>
      <x:c r="B127" s="24" t="str">
        <x:v>Isometric wall hip abduction press</x:v>
      </x:c>
      <x:c r="C127" s="24" t="str">
        <x:v>Hip &amp; Gluteal</x:v>
      </x:c>
      <x:c r="D127" s="24" t="str">
        <x:v>Home</x:v>
      </x:c>
      <x:c r="E127" s="24" t="str">
        <x:v>Isometric strength</x:v>
      </x:c>
      <x:c r="F127" s="24" t="str">
        <x:v>Gluteus medius; Gluteus minimus; Tensor fasciae latae</x:v>
      </x:c>
      <x:c r="G127" s="24" t="str">
        <x:v>—</x:v>
      </x:c>
      <x:c r="H127" s="24" t="str">
        <x:v>Rectus abdominis; External oblique; Internal oblique; Transversus abdominis</x:v>
      </x:c>
      <x:c r="I127" s="24" t="str">
        <x:v>—</x:v>
      </x:c>
      <x:c r="J127" s="24" t="str">
        <x:v>Gluteus medius; Gluteus minimus; Tensor fasciae latae; Rectus abdominis; External oblique; Internal oblique; Transversus abdominis</x:v>
      </x:c>
      <x:c r="K127" s="24" t="str">
        <x:v>Atlas-listed tendon/aponeurosis examples: Gluteus medius tendon; Gluteus minimus tendon and joint-capsule expansions; Iliotibial tract (fascial thickening)</x:v>
      </x:c>
      <x:c r="L127" s="24" t="str">
        <x:v>Iliofemoral, ischiofemoral, pubofemoral ligaments stabilize hip passively; NOT stretched deliberately</x:v>
      </x:c>
      <x:c r="M127" s="24" t="str">
        <x:v>Muscles: Gluteus medius; Gluteus minimus; Tensor fasciae latae; Rectus abdominis; External oblique; Internal oblique; Transversus abdominis | Tendons/fascia: Atlas-listed tendon/aponeurosis examples: Gluteus medius tendon; Gluteus minimus tendon and joint-capsule expansions; Iliotibial tract (fascial thickening) | Ligament context only: Iliofemoral, ischiofemoral, pubofemoral ligaments stabilize hip passively; NOT stretched deliberately</x:v>
      </x:c>
      <x:c r="N127" s="24" t="str">
        <x:v>Gluteus medius; Gluteus minimus; Tensor fasciae latae</x:v>
      </x:c>
      <x:c r="O127" s="24" t="str">
        <x:v>Side-on to wall; press outside of bent knee into wall while pelvis level.</x:v>
      </x:c>
      <x:c r="P127" s="24" t="str">
        <x:v>Wall</x:v>
      </x:c>
      <x:c r="Q127" s="24" t="str">
        <x:v>2–3 × 8–12 controlled reps</x:v>
      </x:c>
      <x:c r="R127" s="24" t="str">
        <x:v>Progress gradually; stop with sharp pain, dizziness, or numbness.</x:v>
      </x:c>
      <x:c r="S127" s="24" t="str">
        <x:v>https://orthoinfo.aaos.org/globalassets/pdfs/hip-conditioning-rehab-program-2025.pdf</x:v>
      </x:c>
      <x:c r="T127" s="24" t="str">
        <x:v>Anatomy-based mapping</x:v>
      </x:c>
    </x:row>
    <x:row r="128" ht="54" customHeight="1">
      <x:c r="A128" s="24" t="str">
        <x:v>EX0125</x:v>
      </x:c>
      <x:c r="B128" s="24" t="str">
        <x:v>Adductor ball squeeze</x:v>
      </x:c>
      <x:c r="C128" s="24" t="str">
        <x:v>Hip &amp; Gluteal</x:v>
      </x:c>
      <x:c r="D128" s="24" t="str">
        <x:v>Home</x:v>
      </x:c>
      <x:c r="E128" s="24" t="str">
        <x:v>Isometric strength</x:v>
      </x:c>
      <x:c r="F128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G128" s="24" t="str">
        <x:v>—</x:v>
      </x:c>
      <x:c r="H128" s="24" t="str">
        <x:v>Rectus abdominis; External oblique; Internal oblique; Transversus abdominis</x:v>
      </x:c>
      <x:c r="I128" s="24" t="str">
        <x:v>—</x:v>
      </x:c>
      <x:c r="J128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</x:v>
      </x:c>
      <x:c r="K128" s="24" t="str">
        <x:v>Adductor tendon origins</x:v>
      </x:c>
      <x:c r="L128" s="24" t="str">
        <x:v>Iliofemoral, ischiofemoral, pubofemoral ligaments stabilize hip passively; NOT stretched deliberately</x:v>
      </x:c>
      <x:c r="M128" s="24" t="str">
        <x:v>Muscles: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 | Tendons/fascia: Adductor tendon origins | Ligament context only: Iliofemoral, ischiofemoral, pubofemoral ligaments stabilize hip passively; NOT stretched deliberately</x:v>
      </x:c>
      <x:c r="N128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28" s="24" t="str">
        <x:v>Squeeze soft ball/pillow between knees for short comfortable hold.</x:v>
      </x:c>
      <x:c r="P128" s="24" t="str">
        <x:v>Pillow</x:v>
      </x:c>
      <x:c r="Q128" s="24" t="str">
        <x:v>2–3 × 8–12 controlled reps</x:v>
      </x:c>
      <x:c r="R128" s="24" t="str">
        <x:v>Progress gradually; stop with sharp pain, dizziness, or numbness.</x:v>
      </x:c>
      <x:c r="S128" s="24" t="str">
        <x:v>https://orthoinfo.aaos.org/globalassets/pdfs/hip-conditioning-rehab-program-2025.pdf</x:v>
      </x:c>
      <x:c r="T128" s="24" t="str">
        <x:v>Anatomy-based mapping</x:v>
      </x:c>
    </x:row>
    <x:row r="129" ht="54" customHeight="1">
      <x:c r="A129" s="24" t="str">
        <x:v>EX0126</x:v>
      </x:c>
      <x:c r="B129" s="24" t="str">
        <x:v>Side-lying adductor raise</x:v>
      </x:c>
      <x:c r="C129" s="24" t="str">
        <x:v>Hip &amp; Gluteal</x:v>
      </x:c>
      <x:c r="D129" s="24" t="str">
        <x:v>Home</x:v>
      </x:c>
      <x:c r="E129" s="24" t="str">
        <x:v>Isolation strength</x:v>
      </x:c>
      <x:c r="F129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G129" s="24" t="str">
        <x:v>—</x:v>
      </x:c>
      <x:c r="H129" s="24" t="str">
        <x:v>Rectus abdominis; External oblique; Internal oblique; Transversus abdominis</x:v>
      </x:c>
      <x:c r="I129" s="24" t="str">
        <x:v>—</x:v>
      </x:c>
      <x:c r="J129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</x:v>
      </x:c>
      <x:c r="K129" s="24" t="str">
        <x:v>Atlas-listed tendon/aponeurosis examples: Adductor tendon through ulnar sesamoid; Common adductor tendon; Broad short insertion; Short proximal tendon; additional listed attachments</x:v>
      </x:c>
      <x:c r="L129" s="24" t="str">
        <x:v>Iliofemoral, ischiofemoral, pubofemoral ligaments stabilize hip passively; NOT stretched deliberately</x:v>
      </x:c>
      <x:c r="M129" s="24" t="str">
        <x:v>Muscles: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 | Tendons/fascia: Atlas-listed tendon/aponeurosis examples: Adductor tendon through ulnar sesamoid; Common adductor tendon; Broad short insertion; Short proximal tendon; additional listed attachments | Ligament context only: Iliofemoral, ischiofemoral, pubofemoral ligaments stabilize hip passively; NOT stretched deliberately</x:v>
      </x:c>
      <x:c r="N129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29" s="24" t="str">
        <x:v>Top foot planted in front; lift bottom straight leg slowly.</x:v>
      </x:c>
      <x:c r="P129" s="24" t="str">
        <x:v>Mat</x:v>
      </x:c>
      <x:c r="Q129" s="24" t="str">
        <x:v>2–3 × 8–12 controlled reps</x:v>
      </x:c>
      <x:c r="R129" s="24" t="str">
        <x:v>Progress gradually; stop with sharp pain, dizziness, or numbness.</x:v>
      </x:c>
      <x:c r="S129" s="24" t="str">
        <x:v>https://orthoinfo.aaos.org/globalassets/pdfs/hip-conditioning-rehab-program-2025.pdf</x:v>
      </x:c>
      <x:c r="T129" s="24" t="str">
        <x:v>Anatomy-based mapping</x:v>
      </x:c>
    </x:row>
    <x:row r="130" ht="54" customHeight="1">
      <x:c r="A130" s="24" t="str">
        <x:v>EX0127</x:v>
      </x:c>
      <x:c r="B130" s="24" t="str">
        <x:v>Cable standing hip adduction</x:v>
      </x:c>
      <x:c r="C130" s="24" t="str">
        <x:v>Hip &amp; Gluteal</x:v>
      </x:c>
      <x:c r="D130" s="24" t="str">
        <x:v>Gym</x:v>
      </x:c>
      <x:c r="E130" s="24" t="str">
        <x:v>Isolation strength</x:v>
      </x:c>
      <x:c r="F130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G130" s="24" t="str">
        <x:v>—</x:v>
      </x:c>
      <x:c r="H130" s="24" t="str">
        <x:v>Rectus abdominis; External oblique; Internal oblique; Transversus abdominis; Gluteus medius; Gluteus minimus; Tensor fasciae latae</x:v>
      </x:c>
      <x:c r="I130" s="24" t="str">
        <x:v>—</x:v>
      </x:c>
      <x:c r="J130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Gluteus medius; Gluteus minimus; Tensor fasciae latae</x:v>
      </x:c>
      <x:c r="K130" s="24" t="str">
        <x:v>Adductor longus/brevis/magnus tendons</x:v>
      </x:c>
      <x:c r="L130" s="24" t="str">
        <x:v>Iliofemoral, ischiofemoral, pubofemoral ligaments stabilize hip passively; NOT stretched deliberately</x:v>
      </x:c>
      <x:c r="M130" s="24" t="str">
        <x:v>Muscles: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Gluteus medius; Gluteus minimus; Tensor fasciae latae | Tendons/fascia: Adductor longus/brevis/magnus tendons | Ligament context only: Iliofemoral, ischiofemoral, pubofemoral ligaments stabilize hip passively; NOT stretched deliberately</x:v>
      </x:c>
      <x:c r="N130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30" s="24" t="str">
        <x:v>Bring ankle across body against light cable without torso lean.</x:v>
      </x:c>
      <x:c r="P130" s="24" t="str">
        <x:v>Cable ankle strap</x:v>
      </x:c>
      <x:c r="Q130" s="24" t="str">
        <x:v>2–3 × 8–12 controlled reps</x:v>
      </x:c>
      <x:c r="R130" s="24" t="str">
        <x:v>Progress gradually; stop with sharp pain, dizziness, or numbness.</x:v>
      </x:c>
      <x:c r="S130" s="24" t="str">
        <x:v>https://orthoinfo.aaos.org/globalassets/pdfs/hip-conditioning-rehab-program-2025.pdf</x:v>
      </x:c>
      <x:c r="T130" s="24" t="str">
        <x:v>Anatomy-based mapping</x:v>
      </x:c>
    </x:row>
    <x:row r="131" ht="54" customHeight="1">
      <x:c r="A131" s="24" t="str">
        <x:v>EX0128</x:v>
      </x:c>
      <x:c r="B131" s="24" t="str">
        <x:v>Copenhagen adduction (short lever)</x:v>
      </x:c>
      <x:c r="C131" s="24" t="str">
        <x:v>Hip &amp; Gluteal</x:v>
      </x:c>
      <x:c r="D131" s="24" t="str">
        <x:v>Home</x:v>
      </x:c>
      <x:c r="E131" s="24" t="str">
        <x:v>Compound strength</x:v>
      </x:c>
      <x:c r="F131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G131" s="24" t="str">
        <x:v>External oblique; Internal oblique; Transversus abdominis</x:v>
      </x:c>
      <x:c r="H131" s="24" t="str">
        <x:v>Rectus abdominis; Gluteus medius; Gluteus minimus; Tensor fasciae latae</x:v>
      </x:c>
      <x:c r="I131" s="24" t="str">
        <x:v>—</x:v>
      </x:c>
      <x:c r="J131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External oblique; Internal oblique; Transversus abdominis; Rectus abdominis; Gluteus medius; Gluteus minimus; Tensor fasciae latae</x:v>
      </x:c>
      <x:c r="K131" s="24" t="str">
        <x:v>Proximal adductor tendons</x:v>
      </x:c>
      <x:c r="L131" s="24" t="str">
        <x:v>Iliofemoral, ischiofemoral, pubofemoral ligaments stabilize hip passively; NOT stretched deliberately</x:v>
      </x:c>
      <x:c r="M131" s="24" t="str">
        <x:v>Muscles: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External oblique; Internal oblique; Transversus abdominis; Rectus abdominis; Gluteus medius; Gluteus minimus; Tensor fasciae latae | Tendons/fascia: Proximal adductor tendons | Ligament context only: Iliofemoral, ischiofemoral, pubofemoral ligaments stabilize hip passively; NOT stretched deliberately</x:v>
      </x:c>
      <x:c r="N131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External oblique; Internal oblique; Transversus abdominis</x:v>
      </x:c>
      <x:c r="O131" s="24" t="str">
        <x:v>Top knee supported on sturdy bench, bottom hip lifts; use short lever.</x:v>
      </x:c>
      <x:c r="P131" s="24" t="str">
        <x:v>Stable bench</x:v>
      </x:c>
      <x:c r="Q131" s="24" t="str">
        <x:v>2–3 × 8–12 controlled reps</x:v>
      </x:c>
      <x:c r="R131" s="24" t="str">
        <x:v>Advanced; increase very gradually with no groin pain.</x:v>
      </x:c>
      <x:c r="S131" s="24" t="str">
        <x:v>https://orthoinfo.aaos.org/globalassets/pdfs/hip-conditioning-rehab-program-2025.pdf</x:v>
      </x:c>
      <x:c r="T131" s="24" t="str">
        <x:v>Anatomy-based mapping</x:v>
      </x:c>
    </x:row>
    <x:row r="132" ht="54" customHeight="1">
      <x:c r="A132" s="24" t="str">
        <x:v>EX0129</x:v>
      </x:c>
      <x:c r="B132" s="24" t="str">
        <x:v>Cable hip pull-through</x:v>
      </x:c>
      <x:c r="C132" s="24" t="str">
        <x:v>Hip &amp; Gluteal</x:v>
      </x:c>
      <x:c r="D132" s="24" t="str">
        <x:v>Gym</x:v>
      </x:c>
      <x:c r="E132" s="24" t="str">
        <x:v>Compound strength</x:v>
      </x:c>
      <x:c r="F132" s="24" t="str">
        <x:v>Gluteus maximus; Biceps femoris long head; Biceps femoris short head; Semimembranosus; Semitendinosus</x:v>
      </x:c>
      <x:c r="G132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32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I132" s="24" t="str">
        <x:v>—</x:v>
      </x:c>
      <x:c r="J132" s="24" t="str">
        <x:v>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132" s="24" t="str">
        <x:v>Proximal hamstring and gluteal tendons</x:v>
      </x:c>
      <x:c r="L132" s="24" t="str">
        <x:v>Iliofemoral, ischiofemoral, pubofemoral ligaments stabilize hip passively; NOT stretched deliberately</x:v>
      </x:c>
      <x:c r="M132" s="24" t="str">
        <x:v>Muscles: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Proximal hamstring and gluteal tendons | Ligament context only: Iliofemoral, ischiofemoral, pubofemoral ligaments stabilize hip passively; NOT stretched deliberately</x:v>
      </x:c>
      <x:c r="N132" s="24" t="str">
        <x:v>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32" s="24" t="str">
        <x:v>Face away from low cable; hinge at hips and stand tall.</x:v>
      </x:c>
      <x:c r="P132" s="24" t="str">
        <x:v>Cable rope</x:v>
      </x:c>
      <x:c r="Q132" s="24" t="str">
        <x:v>2–3 × 8–12 controlled reps</x:v>
      </x:c>
      <x:c r="R132" s="24" t="str">
        <x:v>Progress gradually; stop with sharp pain, dizziness, or numbness.</x:v>
      </x:c>
      <x:c r="S132" s="24" t="str">
        <x:v>https://orthoinfo.aaos.org/globalassets/pdfs/hip-conditioning-rehab-program-2025.pdf</x:v>
      </x:c>
      <x:c r="T132" s="24" t="str">
        <x:v>Anatomy-based mapping</x:v>
      </x:c>
    </x:row>
    <x:row r="133" ht="54" customHeight="1">
      <x:c r="A133" s="24" t="str">
        <x:v>EX0130</x:v>
      </x:c>
      <x:c r="B133" s="24" t="str">
        <x:v>Single-leg hip hinge wall tap</x:v>
      </x:c>
      <x:c r="C133" s="24" t="str">
        <x:v>Hip &amp; Gluteal</x:v>
      </x:c>
      <x:c r="D133" s="24" t="str">
        <x:v>Home</x:v>
      </x:c>
      <x:c r="E133" s="24" t="str">
        <x:v>Compound strength</x:v>
      </x:c>
      <x:c r="F133" s="24" t="str">
        <x:v>Biceps femoris long head; Biceps femoris short head; Semimembranosus; Semitendinosus; Gluteus maximus</x:v>
      </x:c>
      <x:c r="G133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H133" s="24" t="str">
        <x:v>Gluteus medius; Gluteus minimus; Tensor fasciae latae; Rectus abdominis; External oblique; Internal oblique; Transversus abdominis</x:v>
      </x:c>
      <x:c r="I133" s="24" t="str">
        <x:v>—</x:v>
      </x:c>
      <x:c r="J133" s="24" t="str">
        <x:v>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latae; Rectus abdominis; External oblique; Internal oblique; Transversus abdominis</x:v>
      </x:c>
      <x:c r="K133" s="24" t="str">
        <x:v>Atlas-listed tendon/aponeurosis examples: Common hamstring proximal tendon; distal biceps tendon; Common biceps femoris distal tendon; Broad proximal membrane; distal semimembranosus tendon; Long distal pes anserinus tendon; additional listed attachments</x:v>
      </x:c>
      <x:c r="L133" s="24" t="str">
        <x:v>Iliofemoral, ischiofemoral, pubofemoral ligaments stabilize hip passively; NOT stretched deliberately</x:v>
      </x:c>
      <x:c r="M133" s="24" t="str">
        <x:v>Muscles: 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latae; Rectus abdominis; External oblique; Internal oblique; Transversus abdominis | Tendons/fascia: Atlas-listed tendon/aponeurosis examples: Common hamstring proximal tendon; distal biceps tendon; Common biceps femoris distal tendon; Broad proximal membrane; distal semimembranosus tendon; Long distal pes anserinus tendon; additional listed attachments | Ligament context only: Iliofemoral, ischiofemoral, pubofemoral ligaments stabilize hip passively; NOT stretched deliberately</x:v>
      </x:c>
      <x:c r="N133" s="24" t="str">
        <x:v>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O133" s="24" t="str">
        <x:v>Balance on one leg and hinge until free foot lightly taps wall behind.</x:v>
      </x:c>
      <x:c r="P133" s="24" t="str">
        <x:v>Wall</x:v>
      </x:c>
      <x:c r="Q133" s="24" t="str">
        <x:v>2–3 × 8–12 controlled reps</x:v>
      </x:c>
      <x:c r="R133" s="24" t="str">
        <x:v>Progress gradually; stop with sharp pain, dizziness, or numbness.</x:v>
      </x:c>
      <x:c r="S133" s="24" t="str">
        <x:v>https://orthoinfo.aaos.org/globalassets/pdfs/hip-conditioning-rehab-program-2025.pdf</x:v>
      </x:c>
      <x:c r="T133" s="24" t="str">
        <x:v>Anatomy-based mapping</x:v>
      </x:c>
    </x:row>
    <x:row r="134" ht="54" customHeight="1">
      <x:c r="A134" s="24" t="str">
        <x:v>EX0131</x:v>
      </x:c>
      <x:c r="B134" s="24" t="str">
        <x:v>Resistance-band good morning</x:v>
      </x:c>
      <x:c r="C134" s="24" t="str">
        <x:v>Hip &amp; Gluteal</x:v>
      </x:c>
      <x:c r="D134" s="24" t="str">
        <x:v>Home</x:v>
      </x:c>
      <x:c r="E134" s="24" t="str">
        <x:v>Band strength</x:v>
      </x:c>
      <x:c r="F134" s="24" t="str">
        <x:v>Biceps femoris long head; Biceps femoris short head; Semimembranosus; Semitendinosus; Gluteus maximus</x:v>
      </x:c>
      <x:c r="G134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H134" s="24" t="str">
        <x:v>Rectus abdominis; External oblique; Internal oblique; Transversus abdominis</x:v>
      </x:c>
      <x:c r="I134" s="24" t="str">
        <x:v>—</x:v>
      </x:c>
      <x:c r="J134" s="24" t="str">
        <x:v>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134" s="24" t="str">
        <x:v>Atlas-listed tendon/aponeurosis examples: Common hamstring proximal tendon; distal biceps tendon; Common biceps femoris distal tendon; Broad proximal membrane; distal semimembranosus tendon; Long distal pes anserinus tendon; additional listed attachments</x:v>
      </x:c>
      <x:c r="L134" s="24" t="str">
        <x:v>Iliofemoral, ischiofemoral, pubofemoral ligaments stabilize hip passively; NOT stretched deliberately</x:v>
      </x:c>
      <x:c r="M134" s="24" t="str">
        <x:v>Muscles: 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Atlas-listed tendon/aponeurosis examples: Common hamstring proximal tendon; distal biceps tendon; Common biceps femoris distal tendon; Broad proximal membrane; distal semimembranosus tendon; Long distal pes anserinus tendon; additional listed attachments | Ligament context only: Iliofemoral, ischiofemoral, pubofemoral ligaments stabilize hip passively; NOT stretched deliberately</x:v>
      </x:c>
      <x:c r="N134" s="24" t="str">
        <x:v>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O134" s="24" t="str">
        <x:v>Band under feet and over shoulders; hinge hips back with neutral spine.</x:v>
      </x:c>
      <x:c r="P134" s="24" t="str">
        <x:v>Long band</x:v>
      </x:c>
      <x:c r="Q134" s="24" t="str">
        <x:v>2–3 × 8–12 controlled reps</x:v>
      </x:c>
      <x:c r="R134" s="24" t="str">
        <x:v>Progress gradually; stop with sharp pain, dizziness, or numbness.</x:v>
      </x:c>
      <x:c r="S134" s="24" t="str">
        <x:v>https://orthoinfo.aaos.org/globalassets/pdfs/hip-conditioning-rehab-program-2025.pdf</x:v>
      </x:c>
      <x:c r="T134" s="24" t="str">
        <x:v>Anatomy-based mapping</x:v>
      </x:c>
    </x:row>
    <x:row r="135" ht="54" customHeight="1">
      <x:c r="A135" s="24" t="str">
        <x:v>EX0132</x:v>
      </x:c>
      <x:c r="B135" s="24" t="str">
        <x:v>Figure-4 glute stretch supine</x:v>
      </x:c>
      <x:c r="C135" s="24" t="str">
        <x:v>Hip &amp; Gluteal</x:v>
      </x:c>
      <x:c r="D135" s="24" t="str">
        <x:v>Home</x:v>
      </x:c>
      <x:c r="E135" s="24" t="str">
        <x:v>Passive stretch</x:v>
      </x:c>
      <x:c r="F135" s="24" t="str">
        <x:v>—</x:v>
      </x:c>
      <x:c r="G135" s="24" t="str">
        <x:v>—</x:v>
      </x:c>
      <x:c r="H135" s="24" t="str">
        <x:v>—</x:v>
      </x:c>
      <x:c r="I135" s="24" t="str">
        <x:v>Gluteus maximus; Piriformis; Obturator internus; Obturator externus; Superior gemellus; Inferior gemellus; Quadratus femoris</x:v>
      </x:c>
      <x:c r="J135" s="24" t="str">
        <x:v>Gluteus maximus; Piriformis; Obturator internus; Obturator externus; Superior gemellus; Inferior gemellus; Quadratus femoris</x:v>
      </x:c>
      <x:c r="K135" s="24" t="str">
        <x:v>Piriformis tendon</x:v>
      </x:c>
      <x:c r="L135" s="24" t="str">
        <x:v>Iliofemoral, ischiofemoral, pubofemoral ligaments stabilize hip passively; NOT stretched deliberately</x:v>
      </x:c>
      <x:c r="M135" s="24" t="str">
        <x:v>Muscles: Gluteus maximus; Piriformis; Obturator internus; Obturator externus; Superior gemellus; Inferior gemellus; Quadratus femoris | Tendons/fascia: Piriformis tendon | Ligament context only: Iliofemoral, ischiofemoral, pubofemoral ligaments stabilize hip passively; NOT stretched deliberately</x:v>
      </x:c>
      <x:c r="N135" s="24" t="str">
        <x:v>Usually none expected (stretch, mobility or relaxation; any active movers are low-load)</x:v>
      </x:c>
      <x:c r="O135" s="24" t="str">
        <x:v>Cross ankle over opposite knee and draw thigh gently toward chest.</x:v>
      </x:c>
      <x:c r="P135" s="24" t="str">
        <x:v>Mat</x:v>
      </x:c>
      <x:c r="Q135" s="24" t="str">
        <x:v>2–3 × 8–12 controlled reps</x:v>
      </x:c>
      <x:c r="R135" s="24" t="str">
        <x:v>Progress gradually; stop with sharp pain, dizziness, or numbness.</x:v>
      </x:c>
      <x:c r="S135" s="24" t="str">
        <x:v>https://orthoinfo.aaos.org/globalassets/pdfs/hip-conditioning-rehab-program-2025.pdf</x:v>
      </x:c>
      <x:c r="T135" s="24" t="str">
        <x:v>Anatomy-based mapping</x:v>
      </x:c>
    </x:row>
    <x:row r="136" ht="54" customHeight="1">
      <x:c r="A136" s="24" t="str">
        <x:v>EX0133</x:v>
      </x:c>
      <x:c r="B136" s="24" t="str">
        <x:v>Seated piriformis stretch</x:v>
      </x:c>
      <x:c r="C136" s="24" t="str">
        <x:v>Hip &amp; Gluteal</x:v>
      </x:c>
      <x:c r="D136" s="24" t="str">
        <x:v>Home</x:v>
      </x:c>
      <x:c r="E136" s="24" t="str">
        <x:v>Passive stretch</x:v>
      </x:c>
      <x:c r="F136" s="24" t="str">
        <x:v>—</x:v>
      </x:c>
      <x:c r="G136" s="24" t="str">
        <x:v>—</x:v>
      </x:c>
      <x:c r="H136" s="24" t="str">
        <x:v>—</x:v>
      </x:c>
      <x:c r="I136" s="24" t="str">
        <x:v>Piriformis; Obturator internus; Obturator externus; Superior gemellus; Inferior gemellus; Quadratus femoris</x:v>
      </x:c>
      <x:c r="J136" s="24" t="str">
        <x:v>Piriformis; Obturator internus; Obturator externus; Superior gemellus; Inferior gemellus; Quadratus femoris</x:v>
      </x:c>
      <x:c r="K136" s="24" t="str">
        <x:v>Atlas-listed tendon/aponeurosis examples: Piriformis insertion tendon; Tendon bends around lesser sciatic notch; Obturator externus tendon; Common tendon with obturator internus; additional listed attachments</x:v>
      </x:c>
      <x:c r="L136" s="24" t="str">
        <x:v>Iliofemoral, ischiofemoral, pubofemoral ligaments stabilize hip passively; NOT stretched deliberately</x:v>
      </x:c>
      <x:c r="M136" s="24" t="str">
        <x:v>Muscles: Piriformis; Obturator internus; Obturator externus; Superior gemellus; Inferior gemellus; Quadratus femoris | Tendons/fascia: Atlas-listed tendon/aponeurosis examples: Piriformis insertion tendon; Tendon bends around lesser sciatic notch; Obturator externus tendon; Common tendon with obturator internus; additional listed attachments | Ligament context only: Iliofemoral, ischiofemoral, pubofemoral ligaments stabilize hip passively; NOT stretched deliberately</x:v>
      </x:c>
      <x:c r="N136" s="24" t="str">
        <x:v>Usually none expected (stretch, mobility or relaxation; any active movers are low-load)</x:v>
      </x:c>
      <x:c r="O136" s="24" t="str">
        <x:v>Cross ankle on opposite knee; hinge forward from hips gently.</x:v>
      </x:c>
      <x:c r="P136" s="24" t="str">
        <x:v>Chair</x:v>
      </x:c>
      <x:c r="Q136" s="24" t="str">
        <x:v>2–3 × 8–12 controlled reps</x:v>
      </x:c>
      <x:c r="R136" s="24" t="str">
        <x:v>Progress gradually; stop with sharp pain, dizziness, or numbness.</x:v>
      </x:c>
      <x:c r="S136" s="24" t="str">
        <x:v>https://orthoinfo.aaos.org/globalassets/pdfs/hip-conditioning-rehab-program-2025.pdf</x:v>
      </x:c>
      <x:c r="T136" s="24" t="str">
        <x:v>Anatomy-based mapping</x:v>
      </x:c>
    </x:row>
    <x:row r="137" ht="54" customHeight="1">
      <x:c r="A137" s="24" t="str">
        <x:v>EX0134</x:v>
      </x:c>
      <x:c r="B137" s="24" t="str">
        <x:v>Half-kneeling iliopsoas stretch</x:v>
      </x:c>
      <x:c r="C137" s="24" t="str">
        <x:v>Hip &amp; Gluteal</x:v>
      </x:c>
      <x:c r="D137" s="24" t="str">
        <x:v>Home</x:v>
      </x:c>
      <x:c r="E137" s="24" t="str">
        <x:v>Passive stretch</x:v>
      </x:c>
      <x:c r="F137" s="24" t="str">
        <x:v>—</x:v>
      </x:c>
      <x:c r="G137" s="24" t="str">
        <x:v>—</x:v>
      </x:c>
      <x:c r="H137" s="24" t="str">
        <x:v>—</x:v>
      </x:c>
      <x:c r="I137" s="24" t="str">
        <x:v>Iliacus; Psoas major; Rectus femoris reflected head; Rectus femoris straight head</x:v>
      </x:c>
      <x:c r="J137" s="24" t="str">
        <x:v>Iliacus; Psoas major; Rectus femoris reflected head; Rectus femoris straight head</x:v>
      </x:c>
      <x:c r="K137" s="24" t="str">
        <x:v>Iliopsoas and rectus femoris tendons</x:v>
      </x:c>
      <x:c r="L137" s="24" t="str">
        <x:v>Iliofemoral, ischiofemoral, pubofemoral ligaments stabilize hip passively; NOT stretched deliberately</x:v>
      </x:c>
      <x:c r="M137" s="24" t="str">
        <x:v>Muscles: Iliacus; Psoas major; Rectus femoris reflected head; Rectus femoris straight head | Tendons/fascia: Iliopsoas and rectus femoris tendons | Ligament context only: Iliofemoral, ischiofemoral, pubofemoral ligaments stabilize hip passively; NOT stretched deliberately</x:v>
      </x:c>
      <x:c r="N137" s="24" t="str">
        <x:v>Usually none expected (stretch, mobility or relaxation; any active movers are low-load)</x:v>
      </x:c>
      <x:c r="O137" s="24" t="str">
        <x:v>Posteriorly tilt pelvis then shift hips forward while upright.</x:v>
      </x:c>
      <x:c r="P137" s="24" t="str">
        <x:v>Mat</x:v>
      </x:c>
      <x:c r="Q137" s="24" t="str">
        <x:v>2–3 × 8–12 controlled reps</x:v>
      </x:c>
      <x:c r="R137" s="24" t="str">
        <x:v>Progress gradually; stop with sharp pain, dizziness, or numbness.</x:v>
      </x:c>
      <x:c r="S137" s="24" t="str">
        <x:v>https://orthoinfo.aaos.org/globalassets/pdfs/hip-conditioning-rehab-program-2025.pdf</x:v>
      </x:c>
      <x:c r="T137" s="24" t="str">
        <x:v>Anatomy-based mapping</x:v>
      </x:c>
    </x:row>
    <x:row r="138" ht="54" customHeight="1">
      <x:c r="A138" s="24" t="str">
        <x:v>EX0135</x:v>
      </x:c>
      <x:c r="B138" s="24" t="str">
        <x:v>Standing quadriceps / hip-flexor stretch</x:v>
      </x:c>
      <x:c r="C138" s="24" t="str">
        <x:v>Hip &amp; Gluteal</x:v>
      </x:c>
      <x:c r="D138" s="24" t="str">
        <x:v>Home</x:v>
      </x:c>
      <x:c r="E138" s="24" t="str">
        <x:v>Passive stretch</x:v>
      </x:c>
      <x:c r="F138" s="24" t="str">
        <x:v>—</x:v>
      </x:c>
      <x:c r="G138" s="24" t="str">
        <x:v>—</x:v>
      </x:c>
      <x:c r="H138" s="24" t="str">
        <x:v>—</x:v>
      </x:c>
      <x:c r="I138" s="24" t="str">
        <x:v>Rectus femoris reflected head; Rectus femoris straight head; Vastus intermedius; Vastus lateralis; Vastus medialis</x:v>
      </x:c>
      <x:c r="J138" s="24" t="str">
        <x:v>Rectus femoris reflected head; Rectus femoris straight head; Vastus intermedius; Vastus lateralis; Vastus medialis</x:v>
      </x:c>
      <x:c r="K138" s="24" t="str">
        <x:v>Quadriceps tendon; patellar tendon</x:v>
      </x:c>
      <x:c r="L138" s="24" t="str">
        <x:v>Iliofemoral, ischiofemoral, pubofemoral ligaments stabilize hip passively; NOT stretched deliberately</x:v>
      </x:c>
      <x:c r="M138" s="24" t="str">
        <x:v>Muscles: Rectus femoris reflected head; Rectus femoris straight head; Vastus intermedius; Vastus lateralis; Vastus medialis | Tendons/fascia: Quadriceps tendon; patellar tendon | Ligament context only: Iliofemoral, ischiofemoral, pubofemoral ligaments stabilize hip passively; NOT stretched deliberately</x:v>
      </x:c>
      <x:c r="N138" s="24" t="str">
        <x:v>Usually none expected (stretch, mobility or relaxation; any active movers are low-load)</x:v>
      </x:c>
      <x:c r="O138" s="24" t="str">
        <x:v>Hold ankle behind body with knees aligned and pelvis neutral.</x:v>
      </x:c>
      <x:c r="P138" s="24" t="str">
        <x:v>Wall for balance</x:v>
      </x:c>
      <x:c r="Q138" s="24" t="str">
        <x:v>2–3 × 8–12 controlled reps</x:v>
      </x:c>
      <x:c r="R138" s="24" t="str">
        <x:v>Progress gradually; stop with sharp pain, dizziness, or numbness.</x:v>
      </x:c>
      <x:c r="S138" s="24" t="str">
        <x:v>https://orthoinfo.aaos.org/globalassets/pdfs/hip-conditioning-rehab-program-2025.pdf</x:v>
      </x:c>
      <x:c r="T138" s="24" t="str">
        <x:v>Anatomy-based mapping</x:v>
      </x:c>
    </x:row>
    <x:row r="139" ht="54" customHeight="1">
      <x:c r="A139" s="24" t="str">
        <x:v>EX0136</x:v>
      </x:c>
      <x:c r="B139" s="24" t="str">
        <x:v>Side-lying tensor fascia lata stretch</x:v>
      </x:c>
      <x:c r="C139" s="24" t="str">
        <x:v>Hip &amp; Gluteal</x:v>
      </x:c>
      <x:c r="D139" s="24" t="str">
        <x:v>Home</x:v>
      </x:c>
      <x:c r="E139" s="24" t="str">
        <x:v>Passive stretch</x:v>
      </x:c>
      <x:c r="F139" s="24" t="str">
        <x:v>—</x:v>
      </x:c>
      <x:c r="G139" s="24" t="str">
        <x:v>—</x:v>
      </x:c>
      <x:c r="H139" s="24" t="str">
        <x:v>—</x:v>
      </x:c>
      <x:c r="I139" s="24" t="str">
        <x:v>Tensor fasciae latae; Gluteus medius</x:v>
      </x:c>
      <x:c r="J139" s="24" t="str">
        <x:v>Tensor fasciae latae; Gluteus medius</x:v>
      </x:c>
      <x:c r="K139" s="24" t="str">
        <x:v>Iliotibial tract receives TFL forces; IT band itself minimally extensible</x:v>
      </x:c>
      <x:c r="L139" s="24" t="str">
        <x:v>Iliofemoral, ischiofemoral, pubofemoral ligaments stabilize hip passively; NOT stretched deliberately</x:v>
      </x:c>
      <x:c r="M139" s="24" t="str">
        <x:v>Muscles: Tensor fasciae latae; Gluteus medius | Tendons/fascia: Iliotibial tract receives TFL forces; IT band itself minimally extensible | Ligament context only: Iliofemoral, ischiofemoral, pubofemoral ligaments stabilize hip passively; NOT stretched deliberately</x:v>
      </x:c>
      <x:c r="N139" s="24" t="str">
        <x:v>Usually none expected (stretch, mobility or relaxation; any active movers are low-load)</x:v>
      </x:c>
      <x:c r="O139" s="24" t="str">
        <x:v>Let upper leg extend and adduct gently behind bottom leg.</x:v>
      </x:c>
      <x:c r="P139" s="24" t="str">
        <x:v>Mat</x:v>
      </x:c>
      <x:c r="Q139" s="24" t="str">
        <x:v>2–3 × 8–12 controlled reps</x:v>
      </x:c>
      <x:c r="R139" s="24" t="str">
        <x:v>Progress gradually; stop with sharp pain, dizziness, or numbness.</x:v>
      </x:c>
      <x:c r="S139" s="24" t="str">
        <x:v>https://orthoinfo.aaos.org/globalassets/pdfs/hip-conditioning-rehab-program-2025.pdf</x:v>
      </x:c>
      <x:c r="T139" s="24" t="str">
        <x:v>Anatomy-based mapping</x:v>
      </x:c>
    </x:row>
    <x:row r="140" ht="54" customHeight="1">
      <x:c r="A140" s="24" t="str">
        <x:v>EX0137</x:v>
      </x:c>
      <x:c r="B140" s="24" t="str">
        <x:v>Seated butterfly adductor stretch</x:v>
      </x:c>
      <x:c r="C140" s="24" t="str">
        <x:v>Hip &amp; Gluteal</x:v>
      </x:c>
      <x:c r="D140" s="24" t="str">
        <x:v>Home</x:v>
      </x:c>
      <x:c r="E140" s="24" t="str">
        <x:v>Passive stretch</x:v>
      </x:c>
      <x:c r="F140" s="24" t="str">
        <x:v>—</x:v>
      </x:c>
      <x:c r="G140" s="24" t="str">
        <x:v>—</x:v>
      </x:c>
      <x:c r="H140" s="24" t="str">
        <x:v>—</x:v>
      </x:c>
      <x:c r="I140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J140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K140" s="24" t="str">
        <x:v>Adductor origins</x:v>
      </x:c>
      <x:c r="L140" s="24" t="str">
        <x:v>Iliofemoral, ischiofemoral, pubofemoral ligaments stabilize hip passively; NOT stretched deliberately</x:v>
      </x:c>
      <x:c r="M140" s="24" t="str">
        <x:v>Muscles: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 | Tendons/fascia: Adductor origins | Ligament context only: Iliofemoral, ischiofemoral, pubofemoral ligaments stabilize hip passively; NOT stretched deliberately</x:v>
      </x:c>
      <x:c r="N140" s="24" t="str">
        <x:v>Usually none expected (stretch, mobility or relaxation; any active movers are low-load)</x:v>
      </x:c>
      <x:c r="O140" s="24" t="str">
        <x:v>Feet together, knees out; hinge slightly forward without forcing knees.</x:v>
      </x:c>
      <x:c r="P140" s="24" t="str">
        <x:v>Mat</x:v>
      </x:c>
      <x:c r="Q140" s="24" t="str">
        <x:v>2–3 × 8–12 controlled reps</x:v>
      </x:c>
      <x:c r="R140" s="24" t="str">
        <x:v>Progress gradually; stop with sharp pain, dizziness, or numbness.</x:v>
      </x:c>
      <x:c r="S140" s="24" t="str">
        <x:v>https://orthoinfo.aaos.org/globalassets/pdfs/hip-conditioning-rehab-program-2025.pdf</x:v>
      </x:c>
      <x:c r="T140" s="24" t="str">
        <x:v>Anatomy-based mapping</x:v>
      </x:c>
    </x:row>
    <x:row r="141" ht="54" customHeight="1">
      <x:c r="A141" s="24" t="str">
        <x:v>EX0138</x:v>
      </x:c>
      <x:c r="B141" s="24" t="str">
        <x:v>Wide-kneeling adductor rock-back</x:v>
      </x:c>
      <x:c r="C141" s="24" t="str">
        <x:v>Hip &amp; Gluteal</x:v>
      </x:c>
      <x:c r="D141" s="24" t="str">
        <x:v>Home</x:v>
      </x:c>
      <x:c r="E141" s="24" t="str">
        <x:v>Active stretch</x:v>
      </x:c>
      <x:c r="F141" s="24" t="str">
        <x:v>Gluteus maximus; Gluteus medius; Gluteus minimus; Rectus abdominis; External oblique; Internal oblique; Transversus abdominis</x:v>
      </x:c>
      <x:c r="G141" s="24" t="str">
        <x:v>—</x:v>
      </x:c>
      <x:c r="H141" s="24" t="str">
        <x:v>—</x:v>
      </x:c>
      <x:c r="I141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J141" s="24" t="str">
        <x:v>Gluteus maximus; Gluteus medius; Gluteus minimus; Rectus abdominis; External oblique; Internal oblique; Transversus abdominis;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K141" s="24" t="str">
        <x:v>Atlas-listed tendon/aponeurosis examples: Iliotibial tract aponeurosis and gluteal tendon; Gluteus medius tendon; Gluteus minimus tendon and joint-capsule expansions; Tendinous intersections and rectus sheath insertion; additional listed attachments</x:v>
      </x:c>
      <x:c r="L141" s="24" t="str">
        <x:v>Iliofemoral, ischiofemoral, pubofemoral ligaments stabilize hip passively; NOT stretched deliberately</x:v>
      </x:c>
      <x:c r="M141" s="24" t="str">
        <x:v>Muscles: Gluteus maximus; Gluteus medius; Gluteus minimus; Rectus abdominis; External oblique; Internal oblique; Transversus abdominis;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 | Tendons/fascia: Atlas-listed tendon/aponeurosis examples: Iliotibial tract aponeurosis and gluteal tendon; Gluteus medius tendon; Gluteus minimus tendon and joint-capsule expansions; Tendinous intersections and rectus sheath insertion; additional listed attachments | Ligament context only: Iliofemoral, ischiofemoral, pubofemoral ligaments stabilize hip passively; NOT stretched deliberately</x:v>
      </x:c>
      <x:c r="N141" s="24" t="str">
        <x:v>Usually none expected (stretch, mobility or relaxation; any active movers are low-load)</x:v>
      </x:c>
      <x:c r="O141" s="24" t="str">
        <x:v>Kneel knees apart; rock hips toward heels while spine neutral.</x:v>
      </x:c>
      <x:c r="P141" s="24" t="str">
        <x:v>Mat</x:v>
      </x:c>
      <x:c r="Q141" s="24" t="str">
        <x:v>2–3 × 8–12 controlled reps</x:v>
      </x:c>
      <x:c r="R141" s="24" t="str">
        <x:v>Progress gradually; stop with sharp pain, dizziness, or numbness.</x:v>
      </x:c>
      <x:c r="S141" s="24" t="str">
        <x:v>https://orthoinfo.aaos.org/globalassets/pdfs/hip-conditioning-rehab-program-2025.pdf</x:v>
      </x:c>
      <x:c r="T141" s="24" t="str">
        <x:v>Anatomy-based mapping</x:v>
      </x:c>
    </x:row>
    <x:row r="142" ht="54" customHeight="1">
      <x:c r="A142" s="24" t="str">
        <x:v>EX0139</x:v>
      </x:c>
      <x:c r="B142" s="24" t="str">
        <x:v>90/90 hip rotation transitions</x:v>
      </x:c>
      <x:c r="C142" s="24" t="str">
        <x:v>Hip &amp; Gluteal</x:v>
      </x:c>
      <x:c r="D142" s="24" t="str">
        <x:v>Home</x:v>
      </x:c>
      <x:c r="E142" s="24" t="str">
        <x:v>Mobility</x:v>
      </x:c>
      <x:c r="F142" s="24" t="str">
        <x:v>Piriformis; Obturator internus; Obturator externus; Superior gemellus; Inferior gemellus; Quadratus femoris; Gluteus medius; Gluteus minimus</x:v>
      </x:c>
      <x:c r="G142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42" s="24" t="str">
        <x:v>Rectus abdominis; External oblique; Internal oblique; Transversus abdominis</x:v>
      </x:c>
      <x:c r="I142" s="24" t="str">
        <x:v>Piriformis; Obturator internus; Obturator externus; Superior gemellus; Inferior gemellus; Quadratus femoris</x:v>
      </x:c>
      <x:c r="J142" s="24" t="str">
        <x:v>Piriformis; Obturator internus; Obturator externus; Superior gemellus; Inferior gemellus; Quadratus femoris; Gluteus medius; Gluteus minimus;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</x:v>
      </x:c>
      <x:c r="K142" s="24" t="str">
        <x:v>Atlas-listed tendon/aponeurosis examples: Piriformis insertion tendon; Tendon bends around lesser sciatic notch; Obturator externus tendon; Common tendon with obturator internus; additional listed attachments</x:v>
      </x:c>
      <x:c r="L142" s="24" t="str">
        <x:v>Iliofemoral, ischiofemoral, pubofemoral ligaments stabilize hip passively; NOT stretched deliberately</x:v>
      </x:c>
      <x:c r="M142" s="24" t="str">
        <x:v>Muscles: Piriformis; Obturator internus; Obturator externus; Superior gemellus; Inferior gemellus; Quadratus femoris; Gluteus medius; Gluteus minimus;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 | Tendons/fascia: Atlas-listed tendon/aponeurosis examples: Piriformis insertion tendon; Tendon bends around lesser sciatic notch; Obturator externus tendon; Common tendon with obturator internus; additional listed attachments | Ligament context only: Iliofemoral, ischiofemoral, pubofemoral ligaments stabilize hip passively; NOT stretched deliberately</x:v>
      </x:c>
      <x:c r="N142" s="24" t="str">
        <x:v>Usually none expected (stretch, mobility or relaxation; any active movers are low-load)</x:v>
      </x:c>
      <x:c r="O142" s="24" t="str">
        <x:v>Sit with both knees at 90°, switch sides slowly without forcing hip end range.</x:v>
      </x:c>
      <x:c r="P142" s="24" t="str">
        <x:v>Mat</x:v>
      </x:c>
      <x:c r="Q142" s="24" t="str">
        <x:v>1–2 × 5–10 controlled reps</x:v>
      </x:c>
      <x:c r="R142" s="24" t="str">
        <x:v>Progress gradually; stop with sharp pain, dizziness, or numbness.</x:v>
      </x:c>
      <x:c r="S142" s="24" t="str">
        <x:v>https://orthoinfo.aaos.org/globalassets/pdfs/hip-conditioning-rehab-program-2025.pdf</x:v>
      </x:c>
      <x:c r="T142" s="24" t="str">
        <x:v>Anatomy-based mapping</x:v>
      </x:c>
    </x:row>
    <x:row r="143" ht="54" customHeight="1">
      <x:c r="A143" s="24" t="str">
        <x:v>EX0140</x:v>
      </x:c>
      <x:c r="B143" s="24" t="str">
        <x:v>Standing dynamic leg swing front-back</x:v>
      </x:c>
      <x:c r="C143" s="24" t="str">
        <x:v>Hip &amp; Gluteal</x:v>
      </x:c>
      <x:c r="D143" s="24" t="str">
        <x:v>Home</x:v>
      </x:c>
      <x:c r="E143" s="24" t="str">
        <x:v>Active stretch</x:v>
      </x:c>
      <x:c r="F143" s="24" t="str">
        <x:v>Iliacus; Psoas major; Sartorius; Tensor fasciae latae; Rectus femoris reflected head; Rectus femoris straight head; Pectineus; Gluteus maximus</x:v>
      </x:c>
      <x:c r="G143" s="24" t="str">
        <x:v>Biceps femoris long head; Biceps femoris short head; Semimembranosus; Semitendinosus</x:v>
      </x:c>
      <x:c r="H143" s="24" t="str">
        <x:v>Rectus abdominis; External oblique; Internal oblique; Transversus abdominis; Gluteus medius; Gluteus minimus</x:v>
      </x:c>
      <x:c r="I143" s="24" t="str">
        <x:v>Iliacus; Psoas major; Sartorius; Tensor fasciae latae; Rectus femoris reflected head; Rectus femoris straight head; Pectineus; Biceps femoris long head; Biceps femoris short head; Semimembranosus; Semitendinosus</x:v>
      </x:c>
      <x:c r="J143" s="24" t="str">
        <x:v>Iliacus; Psoas major; Sartorius; Tensor fasciae latae; Rectus femoris reflected head; Rectus femoris straight head; Pectineus; Gluteus maximus; Biceps femoris long head; Biceps femoris short head; Semimembranosus; Semitendinosus; Rectus abdominis; External oblique; Internal oblique; Transversus abdominis; Gluteus medius; Gluteus minimus</x:v>
      </x:c>
      <x:c r="K143" s="24" t="str">
        <x:v>Atlas-listed tendon/aponeurosis examples: Iliopsoas shared tendon; Pes anserinus superficial tendon; Iliotibial tract (fascial thickening); Reflected proximal tendon; quadriceps tendon; additional listed attachments</x:v>
      </x:c>
      <x:c r="L143" s="24" t="str">
        <x:v>Iliofemoral, ischiofemoral, pubofemoral ligaments stabilize hip passively; NOT stretched deliberately</x:v>
      </x:c>
      <x:c r="M143" s="24" t="str">
        <x:v>Muscles: Iliacus; Psoas major; Sartorius; Tensor fasciae latae; Rectus femoris reflected head; Rectus femoris straight head; Pectineus; Gluteus maximus; Biceps femoris long head; Biceps femoris short head; Semimembranosus; Semitendinosus; Rectus abdominis; External oblique; Internal oblique; Transversus abdominis; Gluteus medius; Gluteus minimus | Tendons/fascia: Atlas-listed tendon/aponeurosis examples: Iliopsoas shared tendon; Pes anserinus superficial tendon; Iliotibial tract (fascial thickening); Reflected proximal tendon; quadriceps tendon; additional listed attachments | Ligament context only: Iliofemoral, ischiofemoral, pubofemoral ligaments stabilize hip passively; NOT stretched deliberately</x:v>
      </x:c>
      <x:c r="N143" s="24" t="str">
        <x:v>Usually none expected (stretch, mobility or relaxation; any active movers are low-load)</x:v>
      </x:c>
      <x:c r="O143" s="24" t="str">
        <x:v>Hold wall; swing leg in small, gradually increasing comfortable arc.</x:v>
      </x:c>
      <x:c r="P143" s="24" t="str">
        <x:v>Wall</x:v>
      </x:c>
      <x:c r="Q143" s="24" t="str">
        <x:v>2–3 × 8–12 controlled reps</x:v>
      </x:c>
      <x:c r="R143" s="24" t="str">
        <x:v>Progress gradually; stop with sharp pain, dizziness, or numbness.</x:v>
      </x:c>
      <x:c r="S143" s="24" t="str">
        <x:v>https://orthoinfo.aaos.org/globalassets/pdfs/hip-conditioning-rehab-program-2025.pdf</x:v>
      </x:c>
      <x:c r="T143" s="24" t="str">
        <x:v>Anatomy-based mapping</x:v>
      </x:c>
    </x:row>
    <x:row r="144" ht="54" customHeight="1">
      <x:c r="A144" s="24" t="str">
        <x:v>EX0141</x:v>
      </x:c>
      <x:c r="B144" s="24" t="str">
        <x:v>Standing dynamic lateral leg swing</x:v>
      </x:c>
      <x:c r="C144" s="24" t="str">
        <x:v>Hip &amp; Gluteal</x:v>
      </x:c>
      <x:c r="D144" s="24" t="str">
        <x:v>Home</x:v>
      </x:c>
      <x:c r="E144" s="24" t="str">
        <x:v>Active stretch</x:v>
      </x:c>
      <x:c r="F144" s="24" t="str">
        <x:v>Gluteus medius; Gluteus minimus; Tensor fasciae latae;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G144" s="24" t="str">
        <x:v>—</x:v>
      </x:c>
      <x:c r="H144" s="24" t="str">
        <x:v>Rectus abdominis; External oblique; Internal oblique; Transversus abdominis</x:v>
      </x:c>
      <x:c r="I144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Gluteus medius; Gluteus minimus; Tensor fasciae latae</x:v>
      </x:c>
      <x:c r="J144" s="24" t="str">
        <x:v>Gluteus medius; Gluteus minimus; Tensor fasciae latae;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</x:v>
      </x:c>
      <x:c r="K144" s="24" t="str">
        <x:v>Atlas-listed tendon/aponeurosis examples: Gluteus medius tendon; Gluteus minimus tendon and joint-capsule expansions; Iliotibial tract (fascial thickening); Adductor tendon through ulnar sesamoid; additional listed attachments</x:v>
      </x:c>
      <x:c r="L144" s="24" t="str">
        <x:v>Iliofemoral, ischiofemoral, pubofemoral ligaments stabilize hip passively; NOT stretched deliberately</x:v>
      </x:c>
      <x:c r="M144" s="24" t="str">
        <x:v>Muscles: Gluteus medius; Gluteus minimus; Tensor fasciae latae;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 | Tendons/fascia: Atlas-listed tendon/aponeurosis examples: Gluteus medius tendon; Gluteus minimus tendon and joint-capsule expansions; Iliotibial tract (fascial thickening); Adductor tendon through ulnar sesamoid; additional listed attachments | Ligament context only: Iliofemoral, ischiofemoral, pubofemoral ligaments stabilize hip passively; NOT stretched deliberately</x:v>
      </x:c>
      <x:c r="N144" s="24" t="str">
        <x:v>Usually none expected (stretch, mobility or relaxation; any active movers are low-load)</x:v>
      </x:c>
      <x:c r="O144" s="24" t="str">
        <x:v>Hold counter; sweep leg across and away in controlled arc.</x:v>
      </x:c>
      <x:c r="P144" s="24" t="str">
        <x:v>Counter</x:v>
      </x:c>
      <x:c r="Q144" s="24" t="str">
        <x:v>2–3 × 8–12 controlled reps</x:v>
      </x:c>
      <x:c r="R144" s="24" t="str">
        <x:v>Progress gradually; stop with sharp pain, dizziness, or numbness.</x:v>
      </x:c>
      <x:c r="S144" s="24" t="str">
        <x:v>https://orthoinfo.aaos.org/globalassets/pdfs/hip-conditioning-rehab-program-2025.pdf</x:v>
      </x:c>
      <x:c r="T144" s="24" t="str">
        <x:v>Anatomy-based mapping</x:v>
      </x:c>
    </x:row>
    <x:row r="145" ht="54" customHeight="1">
      <x:c r="A145" s="24" t="str">
        <x:v>EX0142</x:v>
      </x:c>
      <x:c r="B145" s="24" t="str">
        <x:v>Banded fire hydrant</x:v>
      </x:c>
      <x:c r="C145" s="24" t="str">
        <x:v>Hip &amp; Gluteal</x:v>
      </x:c>
      <x:c r="D145" s="24" t="str">
        <x:v>Home</x:v>
      </x:c>
      <x:c r="E145" s="24" t="str">
        <x:v>Band strength</x:v>
      </x:c>
      <x:c r="F145" s="24" t="str">
        <x:v>Gluteus medius; Gluteus minimus; Tensor fasciae latae; Piriformis; Obturator internus; Obturator externus; Superior gemellus; Inferior gemellus; Quadratus femoris</x:v>
      </x:c>
      <x:c r="G145" s="24" t="str">
        <x:v>Gluteus maximus</x:v>
      </x:c>
      <x:c r="H145" s="24" t="str">
        <x:v>Rectus abdominis; External oblique; Internal oblique; Transversus abdominis</x:v>
      </x:c>
      <x:c r="I145" s="24" t="str">
        <x:v>—</x:v>
      </x:c>
      <x:c r="J145" s="24" t="str">
        <x:v>Gluteus medius; Gluteus minimus; Tensor fasciae latae; Piriformis; Obturator internus; Obturator externus; Superior gemellus; Inferior gemellus; Quadratus femoris; Gluteus maximus; Rectus abdominis; External oblique; Internal oblique; Transversus abdominis</x:v>
      </x:c>
      <x:c r="K145" s="24" t="str">
        <x:v>Atlas-listed tendon/aponeurosis examples: Gluteus medius tendon; Gluteus minimus tendon and joint-capsule expansions; Iliotibial tract (fascial thickening); Piriformis insertion tendon; additional listed attachments</x:v>
      </x:c>
      <x:c r="L145" s="24" t="str">
        <x:v>Iliofemoral, ischiofemoral, pubofemoral ligaments stabilize hip passively; NOT stretched deliberately</x:v>
      </x:c>
      <x:c r="M145" s="24" t="str">
        <x:v>Muscles: Gluteus medius; Gluteus minimus; Tensor fasciae latae; Piriformis; Obturator internus; Obturator externus; Superior gemellus; Inferior gemellus; Quadratus femoris; Gluteus maximus; Rectus abdominis; External oblique; Internal oblique; Transversus abdominis | Tendons/fascia: Atlas-listed tendon/aponeurosis examples: Gluteus medius tendon; Gluteus minimus tendon and joint-capsule expansions; Iliotibial tract (fascial thickening); Piriformis insertion tendon; additional listed attachments | Ligament context only: Iliofemoral, ischiofemoral, pubofemoral ligaments stabilize hip passively; NOT stretched deliberately</x:v>
      </x:c>
      <x:c r="N145" s="24" t="str">
        <x:v>Gluteus medius; Gluteus minimus; Tensor fasciae latae; Piriformis; Obturator internus; Obturator externus; Superior gemellus; Inferior gemellus; Quadratus femoris; Gluteus maximus</x:v>
      </x:c>
      <x:c r="O145" s="24" t="str">
        <x:v>On all fours, lift bent knee sideways without rocking torso.</x:v>
      </x:c>
      <x:c r="P145" s="24" t="str">
        <x:v>Miniband</x:v>
      </x:c>
      <x:c r="Q145" s="24" t="str">
        <x:v>2–3 × 8–12 controlled reps</x:v>
      </x:c>
      <x:c r="R145" s="24" t="str">
        <x:v>Progress gradually; stop with sharp pain, dizziness, or numbness.</x:v>
      </x:c>
      <x:c r="S145" s="24" t="str">
        <x:v>https://orthoinfo.aaos.org/globalassets/pdfs/hip-conditioning-rehab-program-2025.pdf</x:v>
      </x:c>
      <x:c r="T145" s="24" t="str">
        <x:v>Anatomy-based mapping</x:v>
      </x:c>
    </x:row>
    <x:row r="146" ht="54" customHeight="1">
      <x:c r="A146" s="24" t="str">
        <x:v>EX0143</x:v>
      </x:c>
      <x:c r="B146" s="24" t="str">
        <x:v>Single-leg balance with opposite knee lift</x:v>
      </x:c>
      <x:c r="C146" s="24" t="str">
        <x:v>Hip &amp; Gluteal</x:v>
      </x:c>
      <x:c r="D146" s="24" t="str">
        <x:v>Home</x:v>
      </x:c>
      <x:c r="E146" s="24" t="str">
        <x:v>Isometric strength</x:v>
      </x:c>
      <x:c r="F146" s="24" t="str">
        <x:v>Gluteus medius; Gluteus minimus; Tensor fasciae latae;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G146" s="24" t="str">
        <x:v>Iliacus; Psoas major; Sartorius; Rectus femoris reflected head; Rectus femoris straight head; Pectineus</x:v>
      </x:c>
      <x:c r="H146" s="24" t="str">
        <x:v>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146" s="24" t="str">
        <x:v>—</x:v>
      </x:c>
      <x:c r="J146" s="24" t="str">
        <x:v>Gluteus medius; Gluteus minimus; Tensor fasciae latae;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Iliacus; Psoas major; Sartorius; Rectus femoris reflected head; Rectus femoris straight head;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146" s="24" t="str">
        <x:v>Atlas-listed tendon/aponeurosis examples: Gluteus medius tendon; Gluteus minimus tendon and joint-capsule expansions; Iliotibial tract (fascial thickening); Medial hallucal sesamoid insertion tendon; additional listed attachments</x:v>
      </x:c>
      <x:c r="L146" s="24" t="str">
        <x:v>Iliofemoral, ischiofemoral, pubofemoral ligaments stabilize hip passively; NOT stretched deliberately</x:v>
      </x:c>
      <x:c r="M146" s="24" t="str">
        <x:v>Muscles: Gluteus medius; Gluteus minimus; Tensor fasciae latae;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Iliacus; Psoas major; Sartorius; Rectus femoris reflected head; Rectus femoris straight head;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Gluteus medius tendon; Gluteus minimus tendon and joint-capsule expansions; Iliotibial tract (fascial thickening); Medial hallucal sesamoid insertion tendon; additional listed attachments | Ligament context only: Iliofemoral, ischiofemoral, pubofemoral ligaments stabilize hip passively; NOT stretched deliberately</x:v>
      </x:c>
      <x:c r="N146" s="24" t="str">
        <x:v>Gluteus medius; Gluteus minimus; Tensor fasciae latae;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Iliacus; Psoas major; Sartorius; Rectus femoris reflected head; Rectus femoris straight head; Pectineus</x:v>
      </x:c>
      <x:c r="O146" s="24" t="str">
        <x:v>Balance tall on one foot while slowly marching opposite knee.</x:v>
      </x:c>
      <x:c r="P146" s="24" t="str">
        <x:v>Floor</x:v>
      </x:c>
      <x:c r="Q146" s="24" t="str">
        <x:v>2–3 × 8–12 controlled reps</x:v>
      </x:c>
      <x:c r="R146" s="24" t="str">
        <x:v>Progress gradually; stop with sharp pain, dizziness, or numbness.</x:v>
      </x:c>
      <x:c r="S146" s="24" t="str">
        <x:v>https://orthoinfo.aaos.org/globalassets/pdfs/hip-conditioning-rehab-program-2025.pdf</x:v>
      </x:c>
      <x:c r="T146" s="24" t="str">
        <x:v>Anatomy-based mapping</x:v>
      </x:c>
    </x:row>
    <x:row r="147" ht="54" customHeight="1">
      <x:c r="A147" s="24" t="str">
        <x:v>EX0144</x:v>
      </x:c>
      <x:c r="B147" s="24" t="str">
        <x:v>Bodyweight squat</x:v>
      </x:c>
      <x:c r="C147" s="24" t="str">
        <x:v>Thigh &amp; Knee</x:v>
      </x:c>
      <x:c r="D147" s="24" t="str">
        <x:v>Home</x:v>
      </x:c>
      <x:c r="E147" s="24" t="str">
        <x:v>Compound strength</x:v>
      </x:c>
      <x:c r="F147" s="24" t="str">
        <x:v>Vastus intermedius; Vastus lateralis; Vastus medialis; Rectus femoris reflected head; Rectus femoris straight head; Gluteus maximus</x:v>
      </x:c>
      <x:c r="G147" s="24" t="str">
        <x:v>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47" s="24" t="str">
        <x:v>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</x:v>
      </x:c>
      <x:c r="I147" s="24" t="str">
        <x:v>—</x:v>
      </x:c>
      <x:c r="J147" s="24" t="str">
        <x:v>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</x:v>
      </x:c>
      <x:c r="K147" s="24" t="str">
        <x:v>Quadriceps tendon; patellar tendon; gluteal tendons</x:v>
      </x:c>
      <x:c r="L147" s="24" t="str">
        <x:v>ACL/PCL/MCL/LCL provide knee stability, not stretching targets</x:v>
      </x:c>
      <x:c r="M147" s="24" t="str">
        <x:v>Muscles: 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 | Tendons/fascia: Quadriceps tendon; patellar tendon; gluteal tendons | Ligament context only: ACL/PCL/MCL/LCL provide knee stability, not stretching targets</x:v>
      </x:c>
      <x:c r="N147" s="24" t="str">
        <x:v>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47" s="24" t="str">
        <x:v>Sit hips between heels as far as comfortable; stand through midfoot.</x:v>
      </x:c>
      <x:c r="P147" s="24" t="str">
        <x:v>Floor</x:v>
      </x:c>
      <x:c r="Q147" s="24" t="str">
        <x:v>2–3 × 8–12 controlled reps</x:v>
      </x:c>
      <x:c r="R147" s="24" t="str">
        <x:v>Progress gradually; stop with sharp pain, dizziness, or numbness.</x:v>
      </x:c>
      <x:c r="S147" s="24" t="str">
        <x:v>https://www.orthoinfo.org/recovery/knee-conditioning-program</x:v>
      </x:c>
      <x:c r="T147" s="24" t="str">
        <x:v>Anatomy-based mapping</x:v>
      </x:c>
    </x:row>
    <x:row r="148" ht="54" customHeight="1">
      <x:c r="A148" s="24" t="str">
        <x:v>EX0145</x:v>
      </x:c>
      <x:c r="B148" s="24" t="str">
        <x:v>Sit-to-stand from chair</x:v>
      </x:c>
      <x:c r="C148" s="24" t="str">
        <x:v>Thigh &amp; Knee</x:v>
      </x:c>
      <x:c r="D148" s="24" t="str">
        <x:v>Home</x:v>
      </x:c>
      <x:c r="E148" s="24" t="str">
        <x:v>Compound strength</x:v>
      </x:c>
      <x:c r="F148" s="24" t="str">
        <x:v>Vastus intermedius; Vastus lateralis; Vastus medialis; Rectus femoris reflected head; Rectus femoris straight head; Gluteus maximus</x:v>
      </x:c>
      <x:c r="G148" s="24" t="str">
        <x:v>Biceps femoris long head; Biceps femoris short head; Semimembranosus; Semitendinosus</x:v>
      </x:c>
      <x:c r="H148" s="24" t="str">
        <x:v>Rectus abdominis; External oblique; Internal oblique; Transversus abdominis; Gluteus medius; Gluteus minimus; Tensor fasciae latae</x:v>
      </x:c>
      <x:c r="I148" s="24" t="str">
        <x:v>—</x:v>
      </x:c>
      <x:c r="J148" s="24" t="str">
        <x:v>Vastus intermedius; Vastus lateralis; Vastus medialis; Rectus femoris reflected head; Rectus femoris straight head; Gluteus maximus; Biceps femoris long head; Biceps femoris short head; Semimembranosus; Semitendinosus; Rectus abdominis; External oblique; Internal oblique; Transversus abdominis; Gluteus medius; Gluteus minimus; Tensor fasciae latae</x:v>
      </x:c>
      <x:c r="K148" s="24" t="str">
        <x:v>Quadriceps/patellar tendons</x:v>
      </x:c>
      <x:c r="L148" s="24" t="str">
        <x:v>ACL, PCL, MCL, LCL and patellar retinacula stabilize knee; NOT deliberately stretched</x:v>
      </x:c>
      <x:c r="M148" s="24" t="str">
        <x:v>Muscles: Vastus intermedius; Vastus lateralis; Vastus medialis; Rectus femoris reflected head; Rectus femoris straight head; Gluteus maximus; Biceps femoris long head; Biceps femoris short head; Semimembranosus; Semitendinosus; Rectus abdominis; External oblique; Internal oblique; Transversus abdominis; Gluteus medius; Gluteus minimus; Tensor fasciae latae | Tendons/fascia: Quadriceps/patellar tendons | Ligament context only: ACL, PCL, MCL, LCL and patellar retinacula stabilize knee; NOT deliberately stretched</x:v>
      </x:c>
      <x:c r="N148" s="24" t="str">
        <x:v>Vastus intermedius; Vastus lateralis; Vastus medialis; Rectus femoris reflected head; Rectus femoris straight head; Gluteus maximus; Biceps femoris long head; Biceps femoris short head; Semimembranosus; Semitendinosus</x:v>
      </x:c>
      <x:c r="O148" s="24" t="str">
        <x:v>Rise from chair without dropping knees inward; sit with control.</x:v>
      </x:c>
      <x:c r="P148" s="24" t="str">
        <x:v>Stable chair</x:v>
      </x:c>
      <x:c r="Q148" s="24" t="str">
        <x:v>2–3 × 8–12 controlled reps</x:v>
      </x:c>
      <x:c r="R148" s="24" t="str">
        <x:v>Progress gradually; stop with sharp pain, dizziness, or numbness.</x:v>
      </x:c>
      <x:c r="S148" s="24" t="str">
        <x:v>https://www.orthoinfo.org/recovery/knee-conditioning-program</x:v>
      </x:c>
      <x:c r="T148" s="24" t="str">
        <x:v>Anatomy-based mapping</x:v>
      </x:c>
    </x:row>
    <x:row r="149" ht="54" customHeight="1">
      <x:c r="A149" s="24" t="str">
        <x:v>EX0146</x:v>
      </x:c>
      <x:c r="B149" s="24" t="str">
        <x:v>Box squat with dumbbell</x:v>
      </x:c>
      <x:c r="C149" s="24" t="str">
        <x:v>Thigh &amp; Knee</x:v>
      </x:c>
      <x:c r="D149" s="24" t="str">
        <x:v>Gym</x:v>
      </x:c>
      <x:c r="E149" s="24" t="str">
        <x:v>Compound strength</x:v>
      </x:c>
      <x:c r="F149" s="24" t="str">
        <x:v>Vastus intermedius; Vastus lateralis; Vastus medialis; Rectus femoris reflected head; Rectus femoris straight head; Gluteus maximus</x:v>
      </x:c>
      <x:c r="G149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49" s="24" t="str">
        <x:v>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</x:v>
      </x:c>
      <x:c r="I149" s="24" t="str">
        <x:v>—</x:v>
      </x:c>
      <x:c r="J149" s="24" t="str">
        <x:v>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</x:v>
      </x:c>
      <x:c r="K149" s="24" t="str">
        <x:v>Quadriceps and patellar tendons</x:v>
      </x:c>
      <x:c r="L149" s="24" t="str">
        <x:v>ACL, PCL, MCL, LCL and patellar retinacula stabilize knee; NOT deliberately stretched</x:v>
      </x:c>
      <x:c r="M149" s="24" t="str">
        <x:v>Muscles: 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 | Tendons/fascia: Quadriceps and patellar tendons | Ligament context only: ACL, PCL, MCL, LCL and patellar retinacula stabilize knee; NOT deliberately stretched</x:v>
      </x:c>
      <x:c r="N149" s="24" t="str">
        <x:v>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49" s="24" t="str">
        <x:v>Lower to box under control; lightly touch then stand.</x:v>
      </x:c>
      <x:c r="P149" s="24" t="str">
        <x:v>Box; dumbbell</x:v>
      </x:c>
      <x:c r="Q149" s="24" t="str">
        <x:v>2–3 × 8–12 controlled reps</x:v>
      </x:c>
      <x:c r="R149" s="24" t="str">
        <x:v>Progress gradually; stop with sharp pain, dizziness, or numbness.</x:v>
      </x:c>
      <x:c r="S149" s="24" t="str">
        <x:v>https://www.orthoinfo.org/recovery/knee-conditioning-program</x:v>
      </x:c>
      <x:c r="T149" s="24" t="str">
        <x:v>Anatomy-based mapping</x:v>
      </x:c>
    </x:row>
    <x:row r="150" ht="54" customHeight="1">
      <x:c r="A150" s="24" t="str">
        <x:v>EX0147</x:v>
      </x:c>
      <x:c r="B150" s="24" t="str">
        <x:v>Goblet squat</x:v>
      </x:c>
      <x:c r="C150" s="24" t="str">
        <x:v>Thigh &amp; Knee</x:v>
      </x:c>
      <x:c r="D150" s="24" t="str">
        <x:v>Gym</x:v>
      </x:c>
      <x:c r="E150" s="24" t="str">
        <x:v>Compound strength</x:v>
      </x:c>
      <x:c r="F150" s="24" t="str">
        <x:v>Vastus intermedius; Vastus lateralis; Vastus medialis; Rectus femoris reflected head; Rectus femoris straight head; Gluteus maximus</x:v>
      </x:c>
      <x:c r="G150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50" s="24" t="str">
        <x:v>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150" s="24" t="str">
        <x:v>—</x:v>
      </x:c>
      <x:c r="J150" s="24" t="str">
        <x:v>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150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50" s="24" t="str">
        <x:v>ACL, PCL, MCL, LCL and patellar retinacula stabilize knee; NOT deliberately stretched</x:v>
      </x:c>
      <x:c r="M150" s="24" t="str">
        <x:v>Muscles: 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50" s="24" t="str">
        <x:v>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50" s="24" t="str">
        <x:v>Hold dumbbell at chest; squat keeping feet planted.</x:v>
      </x:c>
      <x:c r="P150" s="24" t="str">
        <x:v>Dumbbell</x:v>
      </x:c>
      <x:c r="Q150" s="24" t="str">
        <x:v>2–3 × 8–12 controlled reps</x:v>
      </x:c>
      <x:c r="R150" s="24" t="str">
        <x:v>Progress gradually; stop with sharp pain, dizziness, or numbness.</x:v>
      </x:c>
      <x:c r="S150" s="24" t="str">
        <x:v>https://www.orthoinfo.org/recovery/knee-conditioning-program</x:v>
      </x:c>
      <x:c r="T150" s="24" t="str">
        <x:v>Anatomy-based mapping</x:v>
      </x:c>
    </x:row>
    <x:row r="151" ht="54" customHeight="1">
      <x:c r="A151" s="24" t="str">
        <x:v>EX0148</x:v>
      </x:c>
      <x:c r="B151" s="24" t="str">
        <x:v>Barbell back squat</x:v>
      </x:c>
      <x:c r="C151" s="24" t="str">
        <x:v>Thigh &amp; Knee</x:v>
      </x:c>
      <x:c r="D151" s="24" t="str">
        <x:v>Gym</x:v>
      </x:c>
      <x:c r="E151" s="24" t="str">
        <x:v>Compound strength</x:v>
      </x:c>
      <x:c r="F151" s="24" t="str">
        <x:v>Vastus intermedius; Vastus lateralis; Vastus medialis; Rectus femoris reflected head; Rectus femoris straight head; Gluteus maximus; Adductor magnus adductor part</x:v>
      </x:c>
      <x:c r="G151" s="24" t="str">
        <x:v>Biceps femoris long head; Biceps femoris short head; Semimembranosus; Semitendinosus</x:v>
      </x:c>
      <x:c r="H151" s="24" t="str">
        <x:v>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</x:v>
      </x:c>
      <x:c r="I151" s="24" t="str">
        <x:v>—</x:v>
      </x:c>
      <x:c r="J151" s="24" t="str">
        <x:v>Vastus intermedius; Vastus lateralis; Vastus medialis; Rectus femoris reflected head; Rectus femoris straight head; Gluteus maximus; Adductor magnus adductor part; Biceps femoris long head; Biceps femoris short head; Semimembranosus; Semitendinosus;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</x:v>
      </x:c>
      <x:c r="K151" s="24" t="str">
        <x:v>Quadriceps/patellar, adductor magnus and gluteal tendons</x:v>
      </x:c>
      <x:c r="L151" s="24" t="str">
        <x:v>Knee cruciate and collateral ligaments resist unwanted translation/valgus</x:v>
      </x:c>
      <x:c r="M151" s="24" t="str">
        <x:v>Muscles: Vastus intermedius; Vastus lateralis; Vastus medialis; Rectus femoris reflected head; Rectus femoris straight head; Gluteus maximus; Adductor magnus adductor part; Biceps femoris long head; Biceps femoris short head; Semimembranosus; Semitendinosus;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 | Tendons/fascia: Quadriceps/patellar, adductor magnus and gluteal tendons | Ligament context only: Knee cruciate and collateral ligaments resist unwanted translation/valgus</x:v>
      </x:c>
      <x:c r="N151" s="24" t="str">
        <x:v>Vastus intermedius; Vastus lateralis; Vastus medialis; Rectus femoris reflected head; Rectus femoris straight head; Gluteus maximus; Adductor magnus adductor part; Biceps femoris long head; Biceps femoris short head; Semimembranosus; Semitendinosus</x:v>
      </x:c>
      <x:c r="O151" s="24" t="str">
        <x:v>Set bar securely; brace trunk and squat through trained range.</x:v>
      </x:c>
      <x:c r="P151" s="24" t="str">
        <x:v>Rack; barbell</x:v>
      </x:c>
      <x:c r="Q151" s="24" t="str">
        <x:v>2–3 × 8–12 controlled reps</x:v>
      </x:c>
      <x:c r="R151" s="24" t="str">
        <x:v>Progress gradually; stop with sharp pain, dizziness, or numbness.</x:v>
      </x:c>
      <x:c r="S151" s="24" t="str">
        <x:v>https://www.orthoinfo.org/recovery/knee-conditioning-program</x:v>
      </x:c>
      <x:c r="T151" s="24" t="str">
        <x:v>Anatomy-based mapping</x:v>
      </x:c>
    </x:row>
    <x:row r="152" ht="54" customHeight="1">
      <x:c r="A152" s="24" t="str">
        <x:v>EX0149</x:v>
      </x:c>
      <x:c r="B152" s="24" t="str">
        <x:v>Barbell front squat</x:v>
      </x:c>
      <x:c r="C152" s="24" t="str">
        <x:v>Thigh &amp; Knee</x:v>
      </x:c>
      <x:c r="D152" s="24" t="str">
        <x:v>Gym</x:v>
      </x:c>
      <x:c r="E152" s="24" t="str">
        <x:v>Compound strength</x:v>
      </x:c>
      <x:c r="F152" s="24" t="str">
        <x:v>Vastus intermedius; Vastus lateralis; Vastus medialis; Rectus femoris reflected head; Rectus femoris straight head; Gluteus maximus</x:v>
      </x:c>
      <x:c r="G152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52" s="24" t="str">
        <x:v>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152" s="24" t="str">
        <x:v>—</x:v>
      </x:c>
      <x:c r="J152" s="24" t="str">
        <x:v>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152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52" s="24" t="str">
        <x:v>ACL, PCL, MCL, LCL and patellar retinacula stabilize knee; NOT deliberately stretched</x:v>
      </x:c>
      <x:c r="M152" s="24" t="str">
        <x:v>Muscles: 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52" s="24" t="str">
        <x:v>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52" s="24" t="str">
        <x:v>Support bar in front-rack; descend upright within ankle/hip mobility.</x:v>
      </x:c>
      <x:c r="P152" s="24" t="str">
        <x:v>Rack; barbell</x:v>
      </x:c>
      <x:c r="Q152" s="24" t="str">
        <x:v>2–3 × 8–12 controlled reps</x:v>
      </x:c>
      <x:c r="R152" s="24" t="str">
        <x:v>Progress gradually; stop with sharp pain, dizziness, or numbness.</x:v>
      </x:c>
      <x:c r="S152" s="24" t="str">
        <x:v>https://www.orthoinfo.org/recovery/knee-conditioning-program</x:v>
      </x:c>
      <x:c r="T152" s="24" t="str">
        <x:v>Anatomy-based mapping</x:v>
      </x:c>
    </x:row>
    <x:row r="153" ht="54" customHeight="1">
      <x:c r="A153" s="24" t="str">
        <x:v>EX0150</x:v>
      </x:c>
      <x:c r="B153" s="24" t="str">
        <x:v>Dumbbell split squat</x:v>
      </x:c>
      <x:c r="C153" s="24" t="str">
        <x:v>Thigh &amp; Knee</x:v>
      </x:c>
      <x:c r="D153" s="24" t="str">
        <x:v>Gym</x:v>
      </x:c>
      <x:c r="E153" s="24" t="str">
        <x:v>Compound strength</x:v>
      </x:c>
      <x:c r="F153" s="24" t="str">
        <x:v>Vastus intermedius; Vastus lateralis; Vastus medialis; Rectus femoris reflected head; Rectus femoris straight head; Gluteus maximus</x:v>
      </x:c>
      <x:c r="G153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Biceps femoris long head; Biceps femoris short head; Semimembranosus; Semitendinosus</x:v>
      </x:c>
      <x:c r="H153" s="24" t="str">
        <x:v>Gluteus medius; Gluteus minimus; Tensor fasciae latae; Rectus abdominis; External oblique; Internal oblique; Transversus abdominis</x:v>
      </x:c>
      <x:c r="I153" s="24" t="str">
        <x:v>—</x:v>
      </x:c>
      <x:c r="J153" s="24" t="str">
        <x:v>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Biceps femoris long head; Biceps femoris short head; Semimembranosus; Semitendinosus; Gluteus medius; Gluteus minimus; Tensor fasciae latae; Rectus abdominis; External oblique; Internal oblique; Transversus abdominis</x:v>
      </x:c>
      <x:c r="K153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53" s="24" t="str">
        <x:v>ACL, PCL, MCL, LCL and patellar retinacula stabilize knee; NOT deliberately stretched</x:v>
      </x:c>
      <x:c r="M153" s="24" t="str">
        <x:v>Muscles: 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Biceps femoris long head; Biceps femoris short head; Semimembranosus; Semitendinosus; Gluteus medius; Gluteus minimus; Tensor fasciae latae; Rectus abdominis; External oblique; Internal oblique; Transversus abdominis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53" s="24" t="str">
        <x:v>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Biceps femoris long head; Biceps femoris short head; Semimembranosus; Semitendinosus</x:v>
      </x:c>
      <x:c r="O153" s="24" t="str">
        <x:v>Stagger stance; lower rear knee toward floor keeping front knee tracking forward.</x:v>
      </x:c>
      <x:c r="P153" s="24" t="str">
        <x:v>Dumbbells</x:v>
      </x:c>
      <x:c r="Q153" s="24" t="str">
        <x:v>2–3 × 8–12 controlled reps</x:v>
      </x:c>
      <x:c r="R153" s="24" t="str">
        <x:v>Progress gradually; stop with sharp pain, dizziness, or numbness.</x:v>
      </x:c>
      <x:c r="S153" s="24" t="str">
        <x:v>https://www.orthoinfo.org/recovery/knee-conditioning-program</x:v>
      </x:c>
      <x:c r="T153" s="24" t="str">
        <x:v>Anatomy-based mapping</x:v>
      </x:c>
    </x:row>
    <x:row r="154" ht="54" customHeight="1">
      <x:c r="A154" s="24" t="str">
        <x:v>EX0151</x:v>
      </x:c>
      <x:c r="B154" s="24" t="str">
        <x:v>Reverse lunge</x:v>
      </x:c>
      <x:c r="C154" s="24" t="str">
        <x:v>Thigh &amp; Knee</x:v>
      </x:c>
      <x:c r="D154" s="24" t="str">
        <x:v>Home</x:v>
      </x:c>
      <x:c r="E154" s="24" t="str">
        <x:v>Compound strength</x:v>
      </x:c>
      <x:c r="F154" s="24" t="str">
        <x:v>Vastus intermedius; Vastus lateralis; Vastus medialis; Rectus femoris reflected head; Rectus femoris straight head; Gluteus maximus</x:v>
      </x:c>
      <x:c r="G154" s="24" t="str">
        <x:v>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54" s="24" t="str">
        <x:v>Gluteus medius; Gluteus minimus; Tensor fasciae latae; Rectus abdominis; External oblique; Internal oblique; Transversus abdominis</x:v>
      </x:c>
      <x:c r="I154" s="24" t="str">
        <x:v>—</x:v>
      </x:c>
      <x:c r="J154" s="24" t="str">
        <x:v>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Gluteus medius; Gluteus minimus; Tensor fasciae latae; Rectus abdominis; External oblique; Internal oblique; Transversus abdominis</x:v>
      </x:c>
      <x:c r="K154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54" s="24" t="str">
        <x:v>ACL, PCL, MCL, LCL and patellar retinacula stabilize knee; NOT deliberately stretched</x:v>
      </x:c>
      <x:c r="M154" s="24" t="str">
        <x:v>Muscles: 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Gluteus medius; Gluteus minimus; Tensor fasciae latae; Rectus abdominis; External oblique; Internal oblique; Transversus abdominis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54" s="24" t="str">
        <x:v>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54" s="24" t="str">
        <x:v>Step back and lower in a stable split stance, then return.</x:v>
      </x:c>
      <x:c r="P154" s="24" t="str">
        <x:v>Floor</x:v>
      </x:c>
      <x:c r="Q154" s="24" t="str">
        <x:v>2–3 × 8–12 controlled reps</x:v>
      </x:c>
      <x:c r="R154" s="24" t="str">
        <x:v>Progress gradually; stop with sharp pain, dizziness, or numbness.</x:v>
      </x:c>
      <x:c r="S154" s="24" t="str">
        <x:v>https://www.orthoinfo.org/recovery/knee-conditioning-program</x:v>
      </x:c>
      <x:c r="T154" s="24" t="str">
        <x:v>Anatomy-based mapping</x:v>
      </x:c>
    </x:row>
    <x:row r="155" ht="54" customHeight="1">
      <x:c r="A155" s="24" t="str">
        <x:v>EX0152</x:v>
      </x:c>
      <x:c r="B155" s="24" t="str">
        <x:v>Forward lunge</x:v>
      </x:c>
      <x:c r="C155" s="24" t="str">
        <x:v>Thigh &amp; Knee</x:v>
      </x:c>
      <x:c r="D155" s="24" t="str">
        <x:v>Home</x:v>
      </x:c>
      <x:c r="E155" s="24" t="str">
        <x:v>Compound strength</x:v>
      </x:c>
      <x:c r="F155" s="24" t="str">
        <x:v>Vastus intermedius; Vastus lateralis; Vastus medialis; Rectus femoris reflected head; Rectus femoris straight head; Gluteus maximus</x:v>
      </x:c>
      <x:c r="G155" s="24" t="str">
        <x:v>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55" s="24" t="str">
        <x:v>Gluteus medius; Gluteus minimus; Tensor fasciae latae; Rectus abdominis; External oblique; Internal oblique; Transversus abdominis</x:v>
      </x:c>
      <x:c r="I155" s="24" t="str">
        <x:v>—</x:v>
      </x:c>
      <x:c r="J155" s="24" t="str">
        <x:v>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Gluteus medius; Gluteus minimus; Tensor fasciae latae; Rectus abdominis; External oblique; Internal oblique; Transversus abdominis</x:v>
      </x:c>
      <x:c r="K155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55" s="24" t="str">
        <x:v>ACL, PCL, MCL, LCL and patellar retinacula stabilize knee; NOT deliberately stretched</x:v>
      </x:c>
      <x:c r="M155" s="24" t="str">
        <x:v>Muscles: 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Gluteus medius; Gluteus minimus; Tensor fasciae latae; Rectus abdominis; External oblique; Internal oblique; Transversus abdominis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55" s="24" t="str">
        <x:v>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55" s="24" t="str">
        <x:v>Step forward and lower body vertically; push back to start.</x:v>
      </x:c>
      <x:c r="P155" s="24" t="str">
        <x:v>Floor</x:v>
      </x:c>
      <x:c r="Q155" s="24" t="str">
        <x:v>2–3 × 8–12 controlled reps</x:v>
      </x:c>
      <x:c r="R155" s="24" t="str">
        <x:v>Progress gradually; stop with sharp pain, dizziness, or numbness.</x:v>
      </x:c>
      <x:c r="S155" s="24" t="str">
        <x:v>https://www.orthoinfo.org/recovery/knee-conditioning-program</x:v>
      </x:c>
      <x:c r="T155" s="24" t="str">
        <x:v>Anatomy-based mapping</x:v>
      </x:c>
    </x:row>
    <x:row r="156" ht="54" customHeight="1">
      <x:c r="A156" s="24" t="str">
        <x:v>EX0153</x:v>
      </x:c>
      <x:c r="B156" s="24" t="str">
        <x:v>Walking lunge with dumbbells</x:v>
      </x:c>
      <x:c r="C156" s="24" t="str">
        <x:v>Thigh &amp; Knee</x:v>
      </x:c>
      <x:c r="D156" s="24" t="str">
        <x:v>Gym</x:v>
      </x:c>
      <x:c r="E156" s="24" t="str">
        <x:v>Compound strength</x:v>
      </x:c>
      <x:c r="F156" s="24" t="str">
        <x:v>Vastus intermedius; Vastus lateralis; Vastus medialis; Rectus femoris reflected head; Rectus femoris straight head; Gluteus maximus</x:v>
      </x:c>
      <x:c r="G156" s="24" t="str">
        <x:v>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56" s="24" t="str">
        <x:v>Gluteus medius; Gluteus minimus; Tensor fasciae latae; Rectus abdominis; External oblique; Internal oblique; Transversus abdominis</x:v>
      </x:c>
      <x:c r="I156" s="24" t="str">
        <x:v>—</x:v>
      </x:c>
      <x:c r="J156" s="24" t="str">
        <x:v>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Gluteus medius; Gluteus minimus; Tensor fasciae latae; Rectus abdominis; External oblique; Internal oblique; Transversus abdominis</x:v>
      </x:c>
      <x:c r="K156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56" s="24" t="str">
        <x:v>ACL, PCL, MCL, LCL and patellar retinacula stabilize knee; NOT deliberately stretched</x:v>
      </x:c>
      <x:c r="M156" s="24" t="str">
        <x:v>Muscles: 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Gluteus medius; Gluteus minimus; Tensor fasciae latae; Rectus abdominis; External oblique; Internal oblique; Transversus abdominis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56" s="24" t="str">
        <x:v>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56" s="24" t="str">
        <x:v>Take controlled steps forward through balanced knee flexion.</x:v>
      </x:c>
      <x:c r="P156" s="24" t="str">
        <x:v>Dumbbells</x:v>
      </x:c>
      <x:c r="Q156" s="24" t="str">
        <x:v>2–3 × 8–12 controlled reps</x:v>
      </x:c>
      <x:c r="R156" s="24" t="str">
        <x:v>Progress gradually; stop with sharp pain, dizziness, or numbness.</x:v>
      </x:c>
      <x:c r="S156" s="24" t="str">
        <x:v>https://www.orthoinfo.org/recovery/knee-conditioning-program</x:v>
      </x:c>
      <x:c r="T156" s="24" t="str">
        <x:v>Anatomy-based mapping</x:v>
      </x:c>
    </x:row>
    <x:row r="157" ht="54" customHeight="1">
      <x:c r="A157" s="24" t="str">
        <x:v>EX0154</x:v>
      </x:c>
      <x:c r="B157" s="24" t="str">
        <x:v>Lateral lunge</x:v>
      </x:c>
      <x:c r="C157" s="24" t="str">
        <x:v>Thigh &amp; Knee</x:v>
      </x:c>
      <x:c r="D157" s="24" t="str">
        <x:v>Home</x:v>
      </x:c>
      <x:c r="E157" s="24" t="str">
        <x:v>Compound strength</x:v>
      </x:c>
      <x:c r="F157" s="24" t="str">
        <x:v>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Vastus intermedius; Vastus lateralis; Vastus medialis; Rectus femoris reflected head; Rectus femoris straight head</x:v>
      </x:c>
      <x:c r="G157" s="24" t="str">
        <x:v>Gluteus medius; Gluteus minimus; Tensor fasciae latae</x:v>
      </x:c>
      <x:c r="H157" s="24" t="str">
        <x:v>Rectus abdominis; External oblique; Internal oblique; Transversus abdominis</x:v>
      </x:c>
      <x:c r="I157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J157" s="24" t="str">
        <x:v>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Vastus intermedius; Vastus lateralis; Vastus medialis; Rectus femoris reflected head; Rectus femoris straight head; Gluteus medius; Gluteus minimus; Tensor fasciae latae; Rectus abdominis; External oblique; Internal oblique; Transversus abdominis</x:v>
      </x:c>
      <x:c r="K157" s="24" t="str">
        <x:v>Atlas-listed tendon/aponeurosis examples: Iliotibial tract aponeurosis and gluteal tendon; Adductor tendon through ulnar sesamoid; Common adductor tendon; Broad short insertion; additional listed attachments</x:v>
      </x:c>
      <x:c r="L157" s="24" t="str">
        <x:v>ACL, PCL, MCL, LCL and patellar retinacula stabilize knee; NOT deliberately stretched</x:v>
      </x:c>
      <x:c r="M157" s="24" t="str">
        <x:v>Muscles: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Vastus intermedius; Vastus lateralis; Vastus medialis; Rectus femoris reflected head; Rectus femoris straight head; Gluteus medius; Gluteus minimus; Tensor fasciae latae; Rectus abdominis; External oblique; Internal oblique; Transversus abdominis | Tendons/fascia: Atlas-listed tendon/aponeurosis examples: Iliotibial tract aponeurosis and gluteal tendon; Adductor tendon through ulnar sesamoid; Common adductor tendon; Broad short insertion; additional listed attachments | Ligament context only: ACL, PCL, MCL, LCL and patellar retinacula stabilize knee; NOT deliberately stretched</x:v>
      </x:c>
      <x:c r="N157" s="24" t="str">
        <x:v>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Vastus intermedius; Vastus lateralis; Vastus medialis; Rectus femoris reflected head; Rectus femoris straight head; Gluteus medius; Gluteus minimus; Tensor fasciae latae</x:v>
      </x:c>
      <x:c r="O157" s="24" t="str">
        <x:v>Step wide, sit back into one hip while other leg stays longer.</x:v>
      </x:c>
      <x:c r="P157" s="24" t="str">
        <x:v>Floor</x:v>
      </x:c>
      <x:c r="Q157" s="24" t="str">
        <x:v>2–3 × 8–12 controlled reps</x:v>
      </x:c>
      <x:c r="R157" s="24" t="str">
        <x:v>Progress gradually; stop with sharp pain, dizziness, or numbness.</x:v>
      </x:c>
      <x:c r="S157" s="24" t="str">
        <x:v>https://www.orthoinfo.org/recovery/knee-conditioning-program</x:v>
      </x:c>
      <x:c r="T157" s="24" t="str">
        <x:v>Anatomy-based mapping</x:v>
      </x:c>
    </x:row>
    <x:row r="158" ht="54" customHeight="1">
      <x:c r="A158" s="24" t="str">
        <x:v>EX0155</x:v>
      </x:c>
      <x:c r="B158" s="24" t="str">
        <x:v>Curtsy lunge (shallow)</x:v>
      </x:c>
      <x:c r="C158" s="24" t="str">
        <x:v>Thigh &amp; Knee</x:v>
      </x:c>
      <x:c r="D158" s="24" t="str">
        <x:v>Home</x:v>
      </x:c>
      <x:c r="E158" s="24" t="str">
        <x:v>Compound strength</x:v>
      </x:c>
      <x:c r="F158" s="24" t="str">
        <x:v>Gluteus medius; Gluteus minimus; Tensor fasciae latae; Gluteus maximus</x:v>
      </x:c>
      <x:c r="G158" s="24" t="str">
        <x:v>Vastus intermedius; Vastus lateralis; Vastus medialis; Rectus femoris reflected head; Rectus femoris straight head;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58" s="24" t="str">
        <x:v>Rectus abdominis; External oblique; Internal oblique; Transversus abdominis</x:v>
      </x:c>
      <x:c r="I158" s="24" t="str">
        <x:v>—</x:v>
      </x:c>
      <x:c r="J158" s="24" t="str">
        <x:v>Gluteus medius; Gluteus minimus; Tensor fasciae latae; Gluteus maximus; Vastus intermedius; Vastus lateralis; Vastus medialis; Rectus femoris reflected head; Rectus femoris straight head;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</x:v>
      </x:c>
      <x:c r="K158" s="24" t="str">
        <x:v>Atlas-listed tendon/aponeurosis examples: Gluteus medius tendon; Gluteus minimus tendon and joint-capsule expansions; Iliotibial tract (fascial thickening); Iliotibial tract aponeurosis and gluteal tendon; additional listed attachments</x:v>
      </x:c>
      <x:c r="L158" s="24" t="str">
        <x:v>ACL, PCL, MCL, LCL and patellar retinacula stabilize knee; NOT deliberately stretched</x:v>
      </x:c>
      <x:c r="M158" s="24" t="str">
        <x:v>Muscles: Gluteus medius; Gluteus minimus; Tensor fasciae latae; Gluteus maximus; Vastus intermedius; Vastus lateralis; Vastus medialis; Rectus femoris reflected head; Rectus femoris straight head;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 | Tendons/fascia: Atlas-listed tendon/aponeurosis examples: Gluteus medius tendon; Gluteus minimus tendon and joint-capsule expansions; Iliotibial tract (fascial thickening); Iliotibial tract aponeurosis and gluteal tendon; additional listed attachments | Ligament context only: ACL, PCL, MCL, LCL and patellar retinacula stabilize knee; NOT deliberately stretched</x:v>
      </x:c>
      <x:c r="N158" s="24" t="str">
        <x:v>Gluteus medius; Gluteus minimus; Tensor fasciae latae; Gluteus maximus; Vastus intermedius; Vastus lateralis; Vastus medialis; Rectus femoris reflected head; Rectus femoris straight head;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58" s="24" t="str">
        <x:v>Cross one foot gently behind; keep front knee aligned and depth shallow.</x:v>
      </x:c>
      <x:c r="P158" s="24" t="str">
        <x:v>Floor</x:v>
      </x:c>
      <x:c r="Q158" s="24" t="str">
        <x:v>2–3 × 8–12 controlled reps</x:v>
      </x:c>
      <x:c r="R158" s="24" t="str">
        <x:v>Avoid with painful hip impingement or knee instability.</x:v>
      </x:c>
      <x:c r="S158" s="24" t="str">
        <x:v>https://www.orthoinfo.org/recovery/knee-conditioning-program</x:v>
      </x:c>
      <x:c r="T158" s="24" t="str">
        <x:v>Anatomy-based mapping</x:v>
      </x:c>
    </x:row>
    <x:row r="159" ht="54" customHeight="1">
      <x:c r="A159" s="24" t="str">
        <x:v>EX0156</x:v>
      </x:c>
      <x:c r="B159" s="24" t="str">
        <x:v>Step-up on low platform</x:v>
      </x:c>
      <x:c r="C159" s="24" t="str">
        <x:v>Thigh &amp; Knee</x:v>
      </x:c>
      <x:c r="D159" s="24" t="str">
        <x:v>Home</x:v>
      </x:c>
      <x:c r="E159" s="24" t="str">
        <x:v>Compound strength</x:v>
      </x:c>
      <x:c r="F159" s="24" t="str">
        <x:v>Vastus intermedius; Vastus lateralis; Vastus medialis; Rectus femoris reflected head; Rectus femoris straight head; Gluteus maximus</x:v>
      </x:c>
      <x:c r="G159" s="24" t="str">
        <x:v>Biceps femoris long head; Biceps femoris short head; Semimembranosus; Semitendinosus</x:v>
      </x:c>
      <x:c r="H159" s="24" t="str">
        <x:v>Gluteus medius; Gluteus minimus; Tensor fasciae latae; Rectus abdominis; External oblique; Internal oblique; Transversus abdominis</x:v>
      </x:c>
      <x:c r="I159" s="24" t="str">
        <x:v>—</x:v>
      </x:c>
      <x:c r="J159" s="24" t="str">
        <x:v>Vastus intermedius; Vastus lateralis; Vastus medialis; Rectus femoris reflected head; Rectus femoris straight head; Gluteus maximus; Biceps femoris long head; Biceps femoris short head; Semimembranosus; Semitendinosus; Gluteus medius; Gluteus minimus; Tensor fasciae latae; Rectus abdominis; External oblique; Internal oblique; Transversus abdominis</x:v>
      </x:c>
      <x:c r="K159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59" s="24" t="str">
        <x:v>ACL, PCL, MCL, LCL and patellar retinacula stabilize knee; NOT deliberately stretched</x:v>
      </x:c>
      <x:c r="M159" s="24" t="str">
        <x:v>Muscles: Vastus intermedius; Vastus lateralis; Vastus medialis; Rectus femoris reflected head; Rectus femoris straight head; Gluteus maximus; Biceps femoris long head; Biceps femoris short head; Semimembranosus; Semitendinosus; Gluteus medius; Gluteus minimus; Tensor fasciae latae; Rectus abdominis; External oblique; Internal oblique; Transversus abdominis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59" s="24" t="str">
        <x:v>Vastus intermedius; Vastus lateralis; Vastus medialis; Rectus femoris reflected head; Rectus femoris straight head; Gluteus maximus; Biceps femoris long head; Biceps femoris short head; Semimembranosus; Semitendinosus</x:v>
      </x:c>
      <x:c r="O159" s="24" t="str">
        <x:v>Step up using lead leg without pushing excessively from trailing foot.</x:v>
      </x:c>
      <x:c r="P159" s="24" t="str">
        <x:v>Stable step</x:v>
      </x:c>
      <x:c r="Q159" s="24" t="str">
        <x:v>2–3 × 8–12 controlled reps</x:v>
      </x:c>
      <x:c r="R159" s="24" t="str">
        <x:v>Progress gradually; stop with sharp pain, dizziness, or numbness.</x:v>
      </x:c>
      <x:c r="S159" s="24" t="str">
        <x:v>https://www.orthoinfo.org/recovery/knee-conditioning-program</x:v>
      </x:c>
      <x:c r="T159" s="24" t="str">
        <x:v>Anatomy-based mapping</x:v>
      </x:c>
    </x:row>
    <x:row r="160" ht="54" customHeight="1">
      <x:c r="A160" s="24" t="str">
        <x:v>EX0157</x:v>
      </x:c>
      <x:c r="B160" s="24" t="str">
        <x:v>Dumbbell weighted step-up</x:v>
      </x:c>
      <x:c r="C160" s="24" t="str">
        <x:v>Thigh &amp; Knee</x:v>
      </x:c>
      <x:c r="D160" s="24" t="str">
        <x:v>Gym</x:v>
      </x:c>
      <x:c r="E160" s="24" t="str">
        <x:v>Compound strength</x:v>
      </x:c>
      <x:c r="F160" s="24" t="str">
        <x:v>Vastus intermedius; Vastus lateralis; Vastus medialis; Rectus femoris reflected head; Rectus femoris straight head; Gluteus maximus</x:v>
      </x:c>
      <x:c r="G160" s="24" t="str">
        <x:v>Biceps femoris long head; Biceps femoris short head; Semimembranosus; Semitendinosus</x:v>
      </x:c>
      <x:c r="H160" s="24" t="str">
        <x:v>Gluteus medius; Gluteus minimus; Tensor fasciae latae; Rectus abdominis; External oblique; Internal oblique; Transversus abdominis</x:v>
      </x:c>
      <x:c r="I160" s="24" t="str">
        <x:v>—</x:v>
      </x:c>
      <x:c r="J160" s="24" t="str">
        <x:v>Vastus intermedius; Vastus lateralis; Vastus medialis; Rectus femoris reflected head; Rectus femoris straight head; Gluteus maximus; Biceps femoris long head; Biceps femoris short head; Semimembranosus; Semitendinosus; Gluteus medius; Gluteus minimus; Tensor fasciae latae; Rectus abdominis; External oblique; Internal oblique; Transversus abdominis</x:v>
      </x:c>
      <x:c r="K160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60" s="24" t="str">
        <x:v>ACL, PCL, MCL, LCL and patellar retinacula stabilize knee; NOT deliberately stretched</x:v>
      </x:c>
      <x:c r="M160" s="24" t="str">
        <x:v>Muscles: Vastus intermedius; Vastus lateralis; Vastus medialis; Rectus femoris reflected head; Rectus femoris straight head; Gluteus maximus; Biceps femoris long head; Biceps femoris short head; Semimembranosus; Semitendinosus; Gluteus medius; Gluteus minimus; Tensor fasciae latae; Rectus abdominis; External oblique; Internal oblique; Transversus abdominis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60" s="24" t="str">
        <x:v>Vastus intermedius; Vastus lateralis; Vastus medialis; Rectus femoris reflected head; Rectus femoris straight head; Gluteus maximus; Biceps femoris long head; Biceps femoris short head; Semimembranosus; Semitendinosus</x:v>
      </x:c>
      <x:c r="O160" s="24" t="str">
        <x:v>Step onto stable box while keeping pelvis level.</x:v>
      </x:c>
      <x:c r="P160" s="24" t="str">
        <x:v>Box; dumbbells</x:v>
      </x:c>
      <x:c r="Q160" s="24" t="str">
        <x:v>2–3 × 8–12 controlled reps</x:v>
      </x:c>
      <x:c r="R160" s="24" t="str">
        <x:v>Progress gradually; stop with sharp pain, dizziness, or numbness.</x:v>
      </x:c>
      <x:c r="S160" s="24" t="str">
        <x:v>https://www.orthoinfo.org/recovery/knee-conditioning-program</x:v>
      </x:c>
      <x:c r="T160" s="24" t="str">
        <x:v>Anatomy-based mapping</x:v>
      </x:c>
    </x:row>
    <x:row r="161" ht="54" customHeight="1">
      <x:c r="A161" s="24" t="str">
        <x:v>EX0158</x:v>
      </x:c>
      <x:c r="B161" s="24" t="str">
        <x:v>Single-leg chair squat assisted</x:v>
      </x:c>
      <x:c r="C161" s="24" t="str">
        <x:v>Thigh &amp; Knee</x:v>
      </x:c>
      <x:c r="D161" s="24" t="str">
        <x:v>Home</x:v>
      </x:c>
      <x:c r="E161" s="24" t="str">
        <x:v>Compound strength</x:v>
      </x:c>
      <x:c r="F161" s="24" t="str">
        <x:v>Vastus intermedius; Vastus lateralis; Vastus medialis; Rectus femoris reflected head; Rectus femoris straight head; Gluteus maximus</x:v>
      </x:c>
      <x:c r="G161" s="24" t="str">
        <x:v>Biceps femoris long head; Biceps femoris short head; Semimembranosus; Semitendinosus</x:v>
      </x:c>
      <x:c r="H161" s="24" t="str">
        <x:v>Gluteus medius; Gluteus minimus; Tensor fasciae latae; Rectus abdominis; External oblique; Internal oblique; Transversus abdominis</x:v>
      </x:c>
      <x:c r="I161" s="24" t="str">
        <x:v>—</x:v>
      </x:c>
      <x:c r="J161" s="24" t="str">
        <x:v>Vastus intermedius; Vastus lateralis; Vastus medialis; Rectus femoris reflected head; Rectus femoris straight head; Gluteus maximus; Biceps femoris long head; Biceps femoris short head; Semimembranosus; Semitendinosus; Gluteus medius; Gluteus minimus; Tensor fasciae latae; Rectus abdominis; External oblique; Internal oblique; Transversus abdominis</x:v>
      </x:c>
      <x:c r="K161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61" s="24" t="str">
        <x:v>ACL, PCL, MCL, LCL and patellar retinacula stabilize knee; NOT deliberately stretched</x:v>
      </x:c>
      <x:c r="M161" s="24" t="str">
        <x:v>Muscles: Vastus intermedius; Vastus lateralis; Vastus medialis; Rectus femoris reflected head; Rectus femoris straight head; Gluteus maximus; Biceps femoris long head; Biceps femoris short head; Semimembranosus; Semitendinosus; Gluteus medius; Gluteus minimus; Tensor fasciae latae; Rectus abdominis; External oblique; Internal oblique; Transversus abdominis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61" s="24" t="str">
        <x:v>Vastus intermedius; Vastus lateralis; Vastus medialis; Rectus femoris reflected head; Rectus femoris straight head; Gluteus maximus; Biceps femoris long head; Biceps femoris short head; Semimembranosus; Semitendinosus</x:v>
      </x:c>
      <x:c r="O161" s="24" t="str">
        <x:v>Hold support, lower toward chair on one leg, then stand.</x:v>
      </x:c>
      <x:c r="P161" s="24" t="str">
        <x:v>Chair; rail</x:v>
      </x:c>
      <x:c r="Q161" s="24" t="str">
        <x:v>2–3 × 8–12 controlled reps</x:v>
      </x:c>
      <x:c r="R161" s="24" t="str">
        <x:v>Progress gradually; stop with sharp pain, dizziness, or numbness.</x:v>
      </x:c>
      <x:c r="S161" s="24" t="str">
        <x:v>https://www.orthoinfo.org/recovery/knee-conditioning-program</x:v>
      </x:c>
      <x:c r="T161" s="24" t="str">
        <x:v>Anatomy-based mapping</x:v>
      </x:c>
    </x:row>
    <x:row r="162" ht="54" customHeight="1">
      <x:c r="A162" s="24" t="str">
        <x:v>EX0159</x:v>
      </x:c>
      <x:c r="B162" s="24" t="str">
        <x:v>Wall sit</x:v>
      </x:c>
      <x:c r="C162" s="24" t="str">
        <x:v>Thigh &amp; Knee</x:v>
      </x:c>
      <x:c r="D162" s="24" t="str">
        <x:v>Home</x:v>
      </x:c>
      <x:c r="E162" s="24" t="str">
        <x:v>Isometric strength</x:v>
      </x:c>
      <x:c r="F162" s="24" t="str">
        <x:v>Vastus intermedius; Vastus lateralis; Vastus medialis; Rectus femoris reflected head; Rectus femoris straight head</x:v>
      </x:c>
      <x:c r="G162" s="24" t="str">
        <x:v>Gluteus maximus</x:v>
      </x:c>
      <x:c r="H162" s="24" t="str">
        <x:v>Rectus abdominis; External oblique; Internal oblique; Transversus abdominis</x:v>
      </x:c>
      <x:c r="I162" s="24" t="str">
        <x:v>—</x:v>
      </x:c>
      <x:c r="J162" s="24" t="str">
        <x:v>Vastus intermedius; Vastus lateralis; Vastus medialis; Rectus femoris reflected head; Rectus femoris straight head; Gluteus maximus; Rectus abdominis; External oblique; Internal oblique; Transversus abdominis</x:v>
      </x:c>
      <x:c r="K162" s="24" t="str">
        <x:v>Quadriceps and patellar tendons</x:v>
      </x:c>
      <x:c r="L162" s="24" t="str">
        <x:v>ACL, PCL, MCL, LCL and patellar retinacula stabilize knee; NOT deliberately stretched</x:v>
      </x:c>
      <x:c r="M162" s="24" t="str">
        <x:v>Muscles: Vastus intermedius; Vastus lateralis; Vastus medialis; Rectus femoris reflected head; Rectus femoris straight head; Gluteus maximus; Rectus abdominis; External oblique; Internal oblique; Transversus abdominis | Tendons/fascia: Quadriceps and patellar tendons | Ligament context only: ACL, PCL, MCL, LCL and patellar retinacula stabilize knee; NOT deliberately stretched</x:v>
      </x:c>
      <x:c r="N162" s="24" t="str">
        <x:v>Vastus intermedius; Vastus lateralis; Vastus medialis; Rectus femoris reflected head; Rectus femoris straight head; Gluteus maximus</x:v>
      </x:c>
      <x:c r="O162" s="24" t="str">
        <x:v>Slide down wall to comfortable knee angle; hold with even foot pressure.</x:v>
      </x:c>
      <x:c r="P162" s="24" t="str">
        <x:v>Wall</x:v>
      </x:c>
      <x:c r="Q162" s="24" t="str">
        <x:v>2–3 × 8–12 controlled reps</x:v>
      </x:c>
      <x:c r="R162" s="24" t="str">
        <x:v>Progress gradually; stop with sharp pain, dizziness, or numbness.</x:v>
      </x:c>
      <x:c r="S162" s="24" t="str">
        <x:v>https://www.orthoinfo.org/recovery/knee-conditioning-program</x:v>
      </x:c>
      <x:c r="T162" s="24" t="str">
        <x:v>Anatomy-based mapping</x:v>
      </x:c>
    </x:row>
    <x:row r="163" ht="54" customHeight="1">
      <x:c r="A163" s="24" t="str">
        <x:v>EX0160</x:v>
      </x:c>
      <x:c r="B163" s="24" t="str">
        <x:v>Spanish squat band-supported</x:v>
      </x:c>
      <x:c r="C163" s="24" t="str">
        <x:v>Thigh &amp; Knee</x:v>
      </x:c>
      <x:c r="D163" s="24" t="str">
        <x:v>Home</x:v>
      </x:c>
      <x:c r="E163" s="24" t="str">
        <x:v>Isometric strength</x:v>
      </x:c>
      <x:c r="F163" s="24" t="str">
        <x:v>Vastus intermedius; Vastus lateralis; Vastus medialis; Rectus femoris reflected head; Rectus femoris straight head</x:v>
      </x:c>
      <x:c r="G163" s="24" t="str">
        <x:v>Gluteus maximus</x:v>
      </x:c>
      <x:c r="H163" s="24" t="str">
        <x:v>Rectus abdominis; External oblique; Internal oblique; Transversus abdominis</x:v>
      </x:c>
      <x:c r="I163" s="24" t="str">
        <x:v>—</x:v>
      </x:c>
      <x:c r="J163" s="24" t="str">
        <x:v>Vastus intermedius; Vastus lateralis; Vastus medialis; Rectus femoris reflected head; Rectus femoris straight head; Gluteus maximus; Rectus abdominis; External oblique; Internal oblique; Transversus abdominis</x:v>
      </x:c>
      <x:c r="K163" s="24" t="str">
        <x:v>Quadriceps and patellar tendons</x:v>
      </x:c>
      <x:c r="L163" s="24" t="str">
        <x:v>ACL, PCL, MCL, LCL and patellar retinacula stabilize knee; NOT deliberately stretched</x:v>
      </x:c>
      <x:c r="M163" s="24" t="str">
        <x:v>Muscles: Vastus intermedius; Vastus lateralis; Vastus medialis; Rectus femoris reflected head; Rectus femoris straight head; Gluteus maximus; Rectus abdominis; External oblique; Internal oblique; Transversus abdominis | Tendons/fascia: Quadriceps and patellar tendons | Ligament context only: ACL, PCL, MCL, LCL and patellar retinacula stabilize knee; NOT deliberately stretched</x:v>
      </x:c>
      <x:c r="N163" s="24" t="str">
        <x:v>Vastus intermedius; Vastus lateralis; Vastus medialis; Rectus femoris reflected head; Rectus femoris straight head; Gluteus maximus</x:v>
      </x:c>
      <x:c r="O163" s="24" t="str">
        <x:v>With heavy band anchored behind knees, sit upright against band support.</x:v>
      </x:c>
      <x:c r="P163" s="24" t="str">
        <x:v>Heavy band; secure anchor</x:v>
      </x:c>
      <x:c r="Q163" s="24" t="str">
        <x:v>2–3 × 8–12 controlled reps</x:v>
      </x:c>
      <x:c r="R163" s="24" t="str">
        <x:v>Requires properly rated anchor and substantial band control.</x:v>
      </x:c>
      <x:c r="S163" s="24" t="str">
        <x:v>https://www.orthoinfo.org/recovery/knee-conditioning-program</x:v>
      </x:c>
      <x:c r="T163" s="24" t="str">
        <x:v>Anatomy-based mapping</x:v>
      </x:c>
    </x:row>
    <x:row r="164" ht="54" customHeight="1">
      <x:c r="A164" s="24" t="str">
        <x:v>EX0161</x:v>
      </x:c>
      <x:c r="B164" s="24" t="str">
        <x:v>Leg extension machine</x:v>
      </x:c>
      <x:c r="C164" s="24" t="str">
        <x:v>Thigh &amp; Knee</x:v>
      </x:c>
      <x:c r="D164" s="24" t="str">
        <x:v>Gym</x:v>
      </x:c>
      <x:c r="E164" s="24" t="str">
        <x:v>Isolation strength</x:v>
      </x:c>
      <x:c r="F164" s="24" t="str">
        <x:v>Vastus intermedius; Vastus lateralis; Vastus medialis; Rectus femoris reflected head; Rectus femoris straight head</x:v>
      </x:c>
      <x:c r="G164" s="24" t="str">
        <x:v>—</x:v>
      </x:c>
      <x:c r="H164" s="24" t="str">
        <x:v>Articularis genus</x:v>
      </x:c>
      <x:c r="I164" s="24" t="str">
        <x:v>—</x:v>
      </x:c>
      <x:c r="J164" s="24" t="str">
        <x:v>Vastus intermedius; Vastus lateralis; Vastus medialis; Rectus femoris reflected head; Rectus femoris straight head; Articularis genus</x:v>
      </x:c>
      <x:c r="K164" s="24" t="str">
        <x:v>Quadriceps tendon; patellar tendon</x:v>
      </x:c>
      <x:c r="L164" s="24" t="str">
        <x:v>ACL, PCL, MCL, LCL and patellar retinacula stabilize knee; NOT deliberately stretched</x:v>
      </x:c>
      <x:c r="M164" s="24" t="str">
        <x:v>Muscles: Vastus intermedius; Vastus lateralis; Vastus medialis; Rectus femoris reflected head; Rectus femoris straight head; Articularis genus | Tendons/fascia: Quadriceps tendon; patellar tendon | Ligament context only: ACL, PCL, MCL, LCL and patellar retinacula stabilize knee; NOT deliberately stretched</x:v>
      </x:c>
      <x:c r="N164" s="24" t="str">
        <x:v>Vastus intermedius; Vastus lateralis; Vastus medialis; Rectus femoris reflected head; Rectus femoris straight head</x:v>
      </x:c>
      <x:c r="O164" s="24" t="str">
        <x:v>Extend knees against machine without snapping to hyperextension.</x:v>
      </x:c>
      <x:c r="P164" s="24" t="str">
        <x:v>Leg extension machine</x:v>
      </x:c>
      <x:c r="Q164" s="24" t="str">
        <x:v>2–3 × 8–12 controlled reps</x:v>
      </x:c>
      <x:c r="R164" s="24" t="str">
        <x:v>Progress gradually; stop with sharp pain, dizziness, or numbness.</x:v>
      </x:c>
      <x:c r="S164" s="24" t="str">
        <x:v>https://www.orthoinfo.org/recovery/knee-conditioning-program</x:v>
      </x:c>
      <x:c r="T164" s="24" t="str">
        <x:v>Anatomy-based mapping</x:v>
      </x:c>
    </x:row>
    <x:row r="165" ht="54" customHeight="1">
      <x:c r="A165" s="24" t="str">
        <x:v>EX0162</x:v>
      </x:c>
      <x:c r="B165" s="24" t="str">
        <x:v>Short-arc quad over rolled towel</x:v>
      </x:c>
      <x:c r="C165" s="24" t="str">
        <x:v>Thigh &amp; Knee</x:v>
      </x:c>
      <x:c r="D165" s="24" t="str">
        <x:v>Home</x:v>
      </x:c>
      <x:c r="E165" s="24" t="str">
        <x:v>Isolation strength</x:v>
      </x:c>
      <x:c r="F165" s="24" t="str">
        <x:v>Vastus intermedius; Vastus lateralis; Vastus medialis; Rectus femoris reflected head; Rectus femoris straight head</x:v>
      </x:c>
      <x:c r="G165" s="24" t="str">
        <x:v>—</x:v>
      </x:c>
      <x:c r="H165" s="24" t="str">
        <x:v>Articularis genus</x:v>
      </x:c>
      <x:c r="I165" s="24" t="str">
        <x:v>—</x:v>
      </x:c>
      <x:c r="J165" s="24" t="str">
        <x:v>Vastus intermedius; Vastus lateralis; Vastus medialis; Rectus femoris reflected head; Rectus femoris straight head; Articularis genus</x:v>
      </x:c>
      <x:c r="K165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65" s="24" t="str">
        <x:v>ACL, PCL, MCL, LCL and patellar retinacula stabilize knee; NOT deliberately stretched</x:v>
      </x:c>
      <x:c r="M165" s="24" t="str">
        <x:v>Muscles: Vastus intermedius; Vastus lateralis; Vastus medialis; Rectus femoris reflected head; Rectus femoris straight head; Articularis genus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65" s="24" t="str">
        <x:v>Vastus intermedius; Vastus lateralis; Vastus medialis; Rectus femoris reflected head; Rectus femoris straight head</x:v>
      </x:c>
      <x:c r="O165" s="24" t="str">
        <x:v>Towel under knee; straighten knee by lifting heel and pause.</x:v>
      </x:c>
      <x:c r="P165" s="24" t="str">
        <x:v>Rolled towel</x:v>
      </x:c>
      <x:c r="Q165" s="24" t="str">
        <x:v>2–3 × 8–12 controlled reps</x:v>
      </x:c>
      <x:c r="R165" s="24" t="str">
        <x:v>Progress gradually; stop with sharp pain, dizziness, or numbness.</x:v>
      </x:c>
      <x:c r="S165" s="24" t="str">
        <x:v>https://www.orthoinfo.org/recovery/knee-conditioning-program</x:v>
      </x:c>
      <x:c r="T165" s="24" t="str">
        <x:v>Anatomy-based mapping</x:v>
      </x:c>
    </x:row>
    <x:row r="166" ht="54" customHeight="1">
      <x:c r="A166" s="24" t="str">
        <x:v>EX0163</x:v>
      </x:c>
      <x:c r="B166" s="24" t="str">
        <x:v>Terminal knee extension with band</x:v>
      </x:c>
      <x:c r="C166" s="24" t="str">
        <x:v>Thigh &amp; Knee</x:v>
      </x:c>
      <x:c r="D166" s="24" t="str">
        <x:v>Home</x:v>
      </x:c>
      <x:c r="E166" s="24" t="str">
        <x:v>Band strength</x:v>
      </x:c>
      <x:c r="F166" s="24" t="str">
        <x:v>Vastus intermedius; Vastus lateralis; Vastus medialis; Rectus femoris reflected head; Rectus femoris straight head</x:v>
      </x:c>
      <x:c r="G166" s="24" t="str">
        <x:v>Articularis genus</x:v>
      </x:c>
      <x:c r="H166" s="24" t="str">
        <x:v>Gluteus medius; Gluteus minimus; Tensor fasciae latae</x:v>
      </x:c>
      <x:c r="I166" s="24" t="str">
        <x:v>—</x:v>
      </x:c>
      <x:c r="J166" s="24" t="str">
        <x:v>Vastus intermedius; Vastus lateralis; Vastus medialis; Rectus femoris reflected head; Rectus femoris straight head; Articularis genus; Gluteus medius; Gluteus minimus; Tensor fasciae latae</x:v>
      </x:c>
      <x:c r="K166" s="24" t="str">
        <x:v>Quadriceps/patellar tendons</x:v>
      </x:c>
      <x:c r="L166" s="24" t="str">
        <x:v>ACL, PCL, MCL, LCL and patellar retinacula stabilize knee; NOT deliberately stretched</x:v>
      </x:c>
      <x:c r="M166" s="24" t="str">
        <x:v>Muscles: Vastus intermedius; Vastus lateralis; Vastus medialis; Rectus femoris reflected head; Rectus femoris straight head; Articularis genus; Gluteus medius; Gluteus minimus; Tensor fasciae latae | Tendons/fascia: Quadriceps/patellar tendons | Ligament context only: ACL, PCL, MCL, LCL and patellar retinacula stabilize knee; NOT deliberately stretched</x:v>
      </x:c>
      <x:c r="N166" s="24" t="str">
        <x:v>Vastus intermedius; Vastus lateralis; Vastus medialis; Rectus femoris reflected head; Rectus femoris straight head; Articularis genus</x:v>
      </x:c>
      <x:c r="O166" s="24" t="str">
        <x:v>Band behind knee; straighten knee fully but gently.</x:v>
      </x:c>
      <x:c r="P166" s="24" t="str">
        <x:v>Light band; anchor</x:v>
      </x:c>
      <x:c r="Q166" s="24" t="str">
        <x:v>2–3 × 8–12 controlled reps</x:v>
      </x:c>
      <x:c r="R166" s="24" t="str">
        <x:v>Progress gradually; stop with sharp pain, dizziness, or numbness.</x:v>
      </x:c>
      <x:c r="S166" s="24" t="str">
        <x:v>https://www.orthoinfo.org/recovery/knee-conditioning-program</x:v>
      </x:c>
      <x:c r="T166" s="24" t="str">
        <x:v>Anatomy-based mapping</x:v>
      </x:c>
    </x:row>
    <x:row r="167" ht="54" customHeight="1">
      <x:c r="A167" s="24" t="str">
        <x:v>EX0164</x:v>
      </x:c>
      <x:c r="B167" s="24" t="str">
        <x:v>Straight-leg raise quad set</x:v>
      </x:c>
      <x:c r="C167" s="24" t="str">
        <x:v>Thigh &amp; Knee</x:v>
      </x:c>
      <x:c r="D167" s="24" t="str">
        <x:v>Home</x:v>
      </x:c>
      <x:c r="E167" s="24" t="str">
        <x:v>Isometric strength</x:v>
      </x:c>
      <x:c r="F167" s="24" t="str">
        <x:v>Vastus intermedius; Vastus lateralis; Vastus medialis; Rectus femoris reflected head; Rectus femoris straight head; Iliacus; Psoas major; Sartorius; Tensor fasciae latae; Pectineus</x:v>
      </x:c>
      <x:c r="G167" s="24" t="str">
        <x:v>—</x:v>
      </x:c>
      <x:c r="H167" s="24" t="str">
        <x:v>Rectus abdominis; External oblique; Internal oblique; Transversus abdominis</x:v>
      </x:c>
      <x:c r="I167" s="24" t="str">
        <x:v>—</x:v>
      </x:c>
      <x:c r="J167" s="24" t="str">
        <x:v>Vastus intermedius; Vastus lateralis; Vastus medialis; Rectus femoris reflected head; Rectus femoris straight head; Iliacus; Psoas major; Sartorius; Tensor fasciae latae; Pectineus; Rectus abdominis; External oblique; Internal oblique; Transversus abdominis</x:v>
      </x:c>
      <x:c r="K167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67" s="24" t="str">
        <x:v>ACL, PCL, MCL, LCL and patellar retinacula stabilize knee; NOT deliberately stretched</x:v>
      </x:c>
      <x:c r="M167" s="24" t="str">
        <x:v>Muscles: Vastus intermedius; Vastus lateralis; Vastus medialis; Rectus femoris reflected head; Rectus femoris straight head; Iliacus; Psoas major; Sartorius; Tensor fasciae latae; Pectineus; Rectus abdominis; External oblique; Internal oblique; Transversus abdominis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67" s="24" t="str">
        <x:v>Vastus intermedius; Vastus lateralis; Vastus medialis; Rectus femoris reflected head; Rectus femoris straight head; Iliacus; Psoas major; Sartorius; Tensor fasciae latae; Pectineus</x:v>
      </x:c>
      <x:c r="O167" s="24" t="str">
        <x:v>Tighten front thigh, keep knee straight as you raise leg slightly.</x:v>
      </x:c>
      <x:c r="P167" s="24" t="str">
        <x:v>Mat</x:v>
      </x:c>
      <x:c r="Q167" s="24" t="str">
        <x:v>2–3 × 8–12 controlled reps</x:v>
      </x:c>
      <x:c r="R167" s="24" t="str">
        <x:v>Progress gradually; stop with sharp pain, dizziness, or numbness.</x:v>
      </x:c>
      <x:c r="S167" s="24" t="str">
        <x:v>https://www.orthoinfo.org/recovery/knee-conditioning-program</x:v>
      </x:c>
      <x:c r="T167" s="24" t="str">
        <x:v>Anatomy-based mapping</x:v>
      </x:c>
    </x:row>
    <x:row r="168" ht="54" customHeight="1">
      <x:c r="A168" s="24" t="str">
        <x:v>EX0165</x:v>
      </x:c>
      <x:c r="B168" s="24" t="str">
        <x:v>Nordic hamstring lowering assisted</x:v>
      </x:c>
      <x:c r="C168" s="24" t="str">
        <x:v>Thigh &amp; Knee</x:v>
      </x:c>
      <x:c r="D168" s="24" t="str">
        <x:v>Home</x:v>
      </x:c>
      <x:c r="E168" s="24" t="str">
        <x:v>Eccentric strength</x:v>
      </x:c>
      <x:c r="F168" s="24" t="str">
        <x:v>Biceps femoris long head; Biceps femoris short head; Semimembranosus; Semitendinosus</x:v>
      </x:c>
      <x:c r="G168" s="24" t="str">
        <x:v>—</x:v>
      </x:c>
      <x:c r="H168" s="24" t="str">
        <x:v>Gluteus maximus; Rectus abdominis; External oblique; Internal oblique; Transversus abdominis</x:v>
      </x:c>
      <x:c r="I168" s="24" t="str">
        <x:v>—</x:v>
      </x:c>
      <x:c r="J168" s="24" t="str">
        <x:v>Biceps femoris long head; Biceps femoris short head; Semimembranosus; Semitendinosus; Gluteus maximus; Rectus abdominis; External oblique; Internal oblique; Transversus abdominis</x:v>
      </x:c>
      <x:c r="K168" s="24" t="str">
        <x:v>Distal hamstring tendons; ischial origins</x:v>
      </x:c>
      <x:c r="L168" s="24" t="str">
        <x:v>ACL, PCL, MCL, LCL and patellar retinacula stabilize knee; NOT deliberately stretched</x:v>
      </x:c>
      <x:c r="M168" s="24" t="str">
        <x:v>Muscles: Biceps femoris long head; Biceps femoris short head; Semimembranosus; Semitendinosus; Gluteus maximus; Rectus abdominis; External oblique; Internal oblique; Transversus abdominis | Tendons/fascia: Distal hamstring tendons; ischial origins | Ligament context only: ACL, PCL, MCL, LCL and patellar retinacula stabilize knee; NOT deliberately stretched</x:v>
      </x:c>
      <x:c r="N168" s="24" t="str">
        <x:v>Biceps femoris long head; Biceps femoris short head; Semimembranosus; Semitendinosus</x:v>
      </x:c>
      <x:c r="O168" s="24" t="str">
        <x:v>Kneel with ankles safely anchored; lower slowly with hands catching you.</x:v>
      </x:c>
      <x:c r="P168" s="24" t="str">
        <x:v>Reliable ankle anchor; mat</x:v>
      </x:c>
      <x:c r="Q168" s="24" t="str">
        <x:v>2–3 × 8–12 controlled reps</x:v>
      </x:c>
      <x:c r="R168" s="24" t="str">
        <x:v>Advanced: high hamstring load; start with partial range.</x:v>
      </x:c>
      <x:c r="S168" s="24" t="str">
        <x:v>https://www.orthoinfo.org/recovery/knee-conditioning-program</x:v>
      </x:c>
      <x:c r="T168" s="24" t="str">
        <x:v>Anatomy-based mapping</x:v>
      </x:c>
    </x:row>
    <x:row r="169" ht="54" customHeight="1">
      <x:c r="A169" s="24" t="str">
        <x:v>EX0166</x:v>
      </x:c>
      <x:c r="B169" s="24" t="str">
        <x:v>Slider hamstring curl</x:v>
      </x:c>
      <x:c r="C169" s="24" t="str">
        <x:v>Thigh &amp; Knee</x:v>
      </x:c>
      <x:c r="D169" s="24" t="str">
        <x:v>Home</x:v>
      </x:c>
      <x:c r="E169" s="24" t="str">
        <x:v>Compound strength</x:v>
      </x:c>
      <x:c r="F169" s="24" t="str">
        <x:v>Biceps femoris long head; Biceps femoris short head; Semimembranosus; Semitendinosus</x:v>
      </x:c>
      <x:c r="G169" s="24" t="str">
        <x:v>Gluteus maximus</x:v>
      </x:c>
      <x:c r="H169" s="24" t="str">
        <x:v>Rectus abdominis; External oblique; Internal oblique; Transversus abdominis; Gastrocnemius lateral head; Gastrocnemius medial head; Soleus; Plantaris</x:v>
      </x:c>
      <x:c r="I169" s="24" t="str">
        <x:v>—</x:v>
      </x:c>
      <x:c r="J169" s="24" t="str">
        <x:v>Biceps femoris long head; Biceps femoris short head; Semimembranosus; Semitendinosus; Gluteus maximus; Rectus abdominis; External oblique; Internal oblique; Transversus abdominis; Gastrocnemius lateral head; Gastrocnemius medial head; Soleus; Plantaris</x:v>
      </x:c>
      <x:c r="K169" s="24" t="str">
        <x:v>Hamstring distal tendons</x:v>
      </x:c>
      <x:c r="L169" s="24" t="str">
        <x:v>ACL, PCL, MCL, LCL and patellar retinacula stabilize knee; NOT deliberately stretched</x:v>
      </x:c>
      <x:c r="M169" s="24" t="str">
        <x:v>Muscles: Biceps femoris long head; Biceps femoris short head; Semimembranosus; Semitendinosus; Gluteus maximus; Rectus abdominis; External oblique; Internal oblique; Transversus abdominis; Gastrocnemius lateral head; Gastrocnemius medial head; Soleus; Plantaris | Tendons/fascia: Hamstring distal tendons | Ligament context only: ACL, PCL, MCL, LCL and patellar retinacula stabilize knee; NOT deliberately stretched</x:v>
      </x:c>
      <x:c r="N169" s="24" t="str">
        <x:v>Biceps femoris long head; Biceps femoris short head; Semimembranosus; Semitendinosus; Gluteus maximus</x:v>
      </x:c>
      <x:c r="O169" s="24" t="str">
        <x:v>Bridge hips and slide heels away/in on towels keeping hips elevated.</x:v>
      </x:c>
      <x:c r="P169" s="24" t="str">
        <x:v>Sliders/towels</x:v>
      </x:c>
      <x:c r="Q169" s="24" t="str">
        <x:v>2–3 × 8–12 controlled reps</x:v>
      </x:c>
      <x:c r="R169" s="24" t="str">
        <x:v>Progress gradually; stop with sharp pain, dizziness, or numbness.</x:v>
      </x:c>
      <x:c r="S169" s="24" t="str">
        <x:v>https://www.orthoinfo.org/recovery/knee-conditioning-program</x:v>
      </x:c>
      <x:c r="T169" s="24" t="str">
        <x:v>Anatomy-based mapping</x:v>
      </x:c>
    </x:row>
    <x:row r="170" ht="54" customHeight="1">
      <x:c r="A170" s="24" t="str">
        <x:v>EX0167</x:v>
      </x:c>
      <x:c r="B170" s="24" t="str">
        <x:v>Resistance band prone hamstring curl</x:v>
      </x:c>
      <x:c r="C170" s="24" t="str">
        <x:v>Thigh &amp; Knee</x:v>
      </x:c>
      <x:c r="D170" s="24" t="str">
        <x:v>Home</x:v>
      </x:c>
      <x:c r="E170" s="24" t="str">
        <x:v>Band strength</x:v>
      </x:c>
      <x:c r="F170" s="24" t="str">
        <x:v>Biceps femoris long head; Biceps femoris short head; Semimembranosus; Semitendinosus</x:v>
      </x:c>
      <x:c r="G170" s="24" t="str">
        <x:v>—</x:v>
      </x:c>
      <x:c r="H170" s="24" t="str">
        <x:v>Gluteus maximus</x:v>
      </x:c>
      <x:c r="I170" s="24" t="str">
        <x:v>—</x:v>
      </x:c>
      <x:c r="J170" s="24" t="str">
        <x:v>Biceps femoris long head; Biceps femoris short head; Semimembranosus; Semitendinosus; Gluteus maximus</x:v>
      </x:c>
      <x:c r="K170" s="24" t="str">
        <x:v>Biceps femoris; semitendinosus; semimembranosus tendons</x:v>
      </x:c>
      <x:c r="L170" s="24" t="str">
        <x:v>ACL, PCL, MCL, LCL and patellar retinacula stabilize knee; NOT deliberately stretched</x:v>
      </x:c>
      <x:c r="M170" s="24" t="str">
        <x:v>Muscles: Biceps femoris long head; Biceps femoris short head; Semimembranosus; Semitendinosus; Gluteus maximus | Tendons/fascia: Biceps femoris; semitendinosus; semimembranosus tendons | Ligament context only: ACL, PCL, MCL, LCL and patellar retinacula stabilize knee; NOT deliberately stretched</x:v>
      </x:c>
      <x:c r="N170" s="24" t="str">
        <x:v>Biceps femoris long head; Biceps femoris short head; Semimembranosus; Semitendinosus</x:v>
      </x:c>
      <x:c r="O170" s="24" t="str">
        <x:v>Lie prone with band to ankle; flex knee slowly.</x:v>
      </x:c>
      <x:c r="P170" s="24" t="str">
        <x:v>Band; low secure anchor</x:v>
      </x:c>
      <x:c r="Q170" s="24" t="str">
        <x:v>2–3 × 8–12 controlled reps</x:v>
      </x:c>
      <x:c r="R170" s="24" t="str">
        <x:v>Progress gradually; stop with sharp pain, dizziness, or numbness.</x:v>
      </x:c>
      <x:c r="S170" s="24" t="str">
        <x:v>https://www.orthoinfo.org/recovery/knee-conditioning-program</x:v>
      </x:c>
      <x:c r="T170" s="24" t="str">
        <x:v>Anatomy-based mapping</x:v>
      </x:c>
    </x:row>
    <x:row r="171" ht="54" customHeight="1">
      <x:c r="A171" s="24" t="str">
        <x:v>EX0168</x:v>
      </x:c>
      <x:c r="B171" s="24" t="str">
        <x:v>Seated leg curl machine</x:v>
      </x:c>
      <x:c r="C171" s="24" t="str">
        <x:v>Thigh &amp; Knee</x:v>
      </x:c>
      <x:c r="D171" s="24" t="str">
        <x:v>Gym</x:v>
      </x:c>
      <x:c r="E171" s="24" t="str">
        <x:v>Isolation strength</x:v>
      </x:c>
      <x:c r="F171" s="24" t="str">
        <x:v>Biceps femoris long head; Biceps femoris short head; Semimembranosus; Semitendinosus</x:v>
      </x:c>
      <x:c r="G171" s="24" t="str">
        <x:v>—</x:v>
      </x:c>
      <x:c r="H171" s="24" t="str">
        <x:v>—</x:v>
      </x:c>
      <x:c r="I171" s="24" t="str">
        <x:v>—</x:v>
      </x:c>
      <x:c r="J171" s="24" t="str">
        <x:v>Biceps femoris long head; Biceps femoris short head; Semimembranosus; Semitendinosus</x:v>
      </x:c>
      <x:c r="K171" s="24" t="str">
        <x:v>Hamstring distal tendons</x:v>
      </x:c>
      <x:c r="L171" s="24" t="str">
        <x:v>ACL, PCL, MCL, LCL and patellar retinacula stabilize knee; NOT deliberately stretched</x:v>
      </x:c>
      <x:c r="M171" s="24" t="str">
        <x:v>Muscles: Biceps femoris long head; Biceps femoris short head; Semimembranosus; Semitendinosus | Tendons/fascia: Hamstring distal tendons | Ligament context only: ACL, PCL, MCL, LCL and patellar retinacula stabilize knee; NOT deliberately stretched</x:v>
      </x:c>
      <x:c r="N171" s="24" t="str">
        <x:v>Biceps femoris long head; Biceps femoris short head; Semimembranosus; Semitendinosus</x:v>
      </x:c>
      <x:c r="O171" s="24" t="str">
        <x:v>Flex knees from seated position under controlled resistance.</x:v>
      </x:c>
      <x:c r="P171" s="24" t="str">
        <x:v>Leg curl machine</x:v>
      </x:c>
      <x:c r="Q171" s="24" t="str">
        <x:v>2–3 × 8–12 controlled reps</x:v>
      </x:c>
      <x:c r="R171" s="24" t="str">
        <x:v>Progress gradually; stop with sharp pain, dizziness, or numbness.</x:v>
      </x:c>
      <x:c r="S171" s="24" t="str">
        <x:v>https://www.orthoinfo.org/recovery/knee-conditioning-program</x:v>
      </x:c>
      <x:c r="T171" s="24" t="str">
        <x:v>Anatomy-based mapping</x:v>
      </x:c>
    </x:row>
    <x:row r="172" ht="54" customHeight="1">
      <x:c r="A172" s="24" t="str">
        <x:v>EX0169</x:v>
      </x:c>
      <x:c r="B172" s="24" t="str">
        <x:v>Prone leg curl machine</x:v>
      </x:c>
      <x:c r="C172" s="24" t="str">
        <x:v>Thigh &amp; Knee</x:v>
      </x:c>
      <x:c r="D172" s="24" t="str">
        <x:v>Gym</x:v>
      </x:c>
      <x:c r="E172" s="24" t="str">
        <x:v>Isolation strength</x:v>
      </x:c>
      <x:c r="F172" s="24" t="str">
        <x:v>Biceps femoris long head; Biceps femoris short head; Semimembranosus; Semitendinosus</x:v>
      </x:c>
      <x:c r="G172" s="24" t="str">
        <x:v>—</x:v>
      </x:c>
      <x:c r="H172" s="24" t="str">
        <x:v>—</x:v>
      </x:c>
      <x:c r="I172" s="24" t="str">
        <x:v>—</x:v>
      </x:c>
      <x:c r="J172" s="24" t="str">
        <x:v>Biceps femoris long head; Biceps femoris short head; Semimembranosus; Semitendinosus</x:v>
      </x:c>
      <x:c r="K172" s="24" t="str">
        <x:v>Atlas-listed tendon/aponeurosis examples: Common hamstring proximal tendon; distal biceps tendon; Common biceps femoris distal tendon; Broad proximal membrane; distal semimembranosus tendon; Long distal pes anserinus tendon</x:v>
      </x:c>
      <x:c r="L172" s="24" t="str">
        <x:v>ACL, PCL, MCL, LCL and patellar retinacula stabilize knee; NOT deliberately stretched</x:v>
      </x:c>
      <x:c r="M172" s="24" t="str">
        <x:v>Muscles: Biceps femoris long head; Biceps femoris short head; Semimembranosus; Semitendinosus | Tendons/fascia: Atlas-listed tendon/aponeurosis examples: Common hamstring proximal tendon; distal biceps tendon; Common biceps femoris distal tendon; Broad proximal membrane; distal semimembranosus tendon; Long distal pes anserinus tendon | Ligament context only: ACL, PCL, MCL, LCL and patellar retinacula stabilize knee; NOT deliberately stretched</x:v>
      </x:c>
      <x:c r="N172" s="24" t="str">
        <x:v>Biceps femoris long head; Biceps femoris short head; Semimembranosus; Semitendinosus</x:v>
      </x:c>
      <x:c r="O172" s="24" t="str">
        <x:v>Lie prone, curl pad toward hips without lifting pelvis.</x:v>
      </x:c>
      <x:c r="P172" s="24" t="str">
        <x:v>Leg curl machine</x:v>
      </x:c>
      <x:c r="Q172" s="24" t="str">
        <x:v>2–3 × 8–12 controlled reps</x:v>
      </x:c>
      <x:c r="R172" s="24" t="str">
        <x:v>Progress gradually; stop with sharp pain, dizziness, or numbness.</x:v>
      </x:c>
      <x:c r="S172" s="24" t="str">
        <x:v>https://www.orthoinfo.org/recovery/knee-conditioning-program</x:v>
      </x:c>
      <x:c r="T172" s="24" t="str">
        <x:v>Anatomy-based mapping</x:v>
      </x:c>
    </x:row>
    <x:row r="173" ht="54" customHeight="1">
      <x:c r="A173" s="24" t="str">
        <x:v>EX0170</x:v>
      </x:c>
      <x:c r="B173" s="24" t="str">
        <x:v>Dumbbell Romanian deadlift</x:v>
      </x:c>
      <x:c r="C173" s="24" t="str">
        <x:v>Thigh &amp; Knee</x:v>
      </x:c>
      <x:c r="D173" s="24" t="str">
        <x:v>Gym</x:v>
      </x:c>
      <x:c r="E173" s="24" t="str">
        <x:v>Compound strength</x:v>
      </x:c>
      <x:c r="F173" s="24" t="str">
        <x:v>Biceps femoris long head; Biceps femoris short head; Semimembranosus; Semitendinosus; Gluteus maximus</x:v>
      </x:c>
      <x:c r="G173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73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I173" s="24" t="str">
        <x:v>—</x:v>
      </x:c>
      <x:c r="J173" s="24" t="str">
        <x:v>Biceps femoris long head; Biceps femoris short head; Semimembranosus; Semitendinosus;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173" s="24" t="str">
        <x:v>Proximal hamstring tendons; gluteal insertion tendons</x:v>
      </x:c>
      <x:c r="L173" s="24" t="str">
        <x:v>ACL, PCL, MCL, LCL and patellar retinacula stabilize knee; NOT deliberately stretched</x:v>
      </x:c>
      <x:c r="M173" s="24" t="str">
        <x:v>Muscles: Biceps femoris long head; Biceps femoris short head; Semimembranosus; Semitendinosus;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Proximal hamstring tendons; gluteal insertion tendons | Ligament context only: ACL, PCL, MCL, LCL and patellar retinacula stabilize knee; NOT deliberately stretched</x:v>
      </x:c>
      <x:c r="N173" s="24" t="str">
        <x:v>Biceps femoris long head; Biceps femoris short head; Semimembranosus; Semitendinosus;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73" s="24" t="str">
        <x:v>Keep weights close; push hips back until hamstrings loaded, then stand.</x:v>
      </x:c>
      <x:c r="P173" s="24" t="str">
        <x:v>Dumbbells</x:v>
      </x:c>
      <x:c r="Q173" s="24" t="str">
        <x:v>2–3 × 8–12 controlled reps</x:v>
      </x:c>
      <x:c r="R173" s="24" t="str">
        <x:v>Progress gradually; stop with sharp pain, dizziness, or numbness.</x:v>
      </x:c>
      <x:c r="S173" s="24" t="str">
        <x:v>https://www.orthoinfo.org/recovery/knee-conditioning-program</x:v>
      </x:c>
      <x:c r="T173" s="24" t="str">
        <x:v>Anatomy-based mapping</x:v>
      </x:c>
    </x:row>
    <x:row r="174" ht="54" customHeight="1">
      <x:c r="A174" s="24" t="str">
        <x:v>EX0171</x:v>
      </x:c>
      <x:c r="B174" s="24" t="str">
        <x:v>Barbell Romanian deadlift</x:v>
      </x:c>
      <x:c r="C174" s="24" t="str">
        <x:v>Thigh &amp; Knee</x:v>
      </x:c>
      <x:c r="D174" s="24" t="str">
        <x:v>Gym</x:v>
      </x:c>
      <x:c r="E174" s="24" t="str">
        <x:v>Compound strength</x:v>
      </x:c>
      <x:c r="F174" s="24" t="str">
        <x:v>Biceps femoris long head; Biceps femoris short head; Semimembranosus; Semitendinosus; Gluteus maximus</x:v>
      </x:c>
      <x:c r="G174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74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I174" s="24" t="str">
        <x:v>—</x:v>
      </x:c>
      <x:c r="J174" s="24" t="str">
        <x:v>Biceps femoris long head; Biceps femoris short head; Semimembranosus; Semitendinosus;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174" s="24" t="str">
        <x:v>Atlas-listed tendon/aponeurosis examples: Common hamstring proximal tendon; distal biceps tendon; Common biceps femoris distal tendon; Broad proximal membrane; distal semimembranosus tendon; Long distal pes anserinus tendon; additional listed attachments</x:v>
      </x:c>
      <x:c r="L174" s="24" t="str">
        <x:v>ACL, PCL, MCL, LCL and patellar retinacula stabilize knee; NOT deliberately stretched</x:v>
      </x:c>
      <x:c r="M174" s="24" t="str">
        <x:v>Muscles: Biceps femoris long head; Biceps femoris short head; Semimembranosus; Semitendinosus;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Atlas-listed tendon/aponeurosis examples: Common hamstring proximal tendon; distal biceps tendon; Common biceps femoris distal tendon; Broad proximal membrane; distal semimembranosus tendon; Long distal pes anserinus tendon; additional listed attachments | Ligament context only: ACL, PCL, MCL, LCL and patellar retinacula stabilize knee; NOT deliberately stretched</x:v>
      </x:c>
      <x:c r="N174" s="24" t="str">
        <x:v>Biceps femoris long head; Biceps femoris short head; Semimembranosus; Semitendinosus;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74" s="24" t="str">
        <x:v>Hinge with bar near shins and spine neutral; return by hip extension.</x:v>
      </x:c>
      <x:c r="P174" s="24" t="str">
        <x:v>Barbell</x:v>
      </x:c>
      <x:c r="Q174" s="24" t="str">
        <x:v>2–3 × 8–12 controlled reps</x:v>
      </x:c>
      <x:c r="R174" s="24" t="str">
        <x:v>Progress gradually; stop with sharp pain, dizziness, or numbness.</x:v>
      </x:c>
      <x:c r="S174" s="24" t="str">
        <x:v>https://www.orthoinfo.org/recovery/knee-conditioning-program</x:v>
      </x:c>
      <x:c r="T174" s="24" t="str">
        <x:v>Anatomy-based mapping</x:v>
      </x:c>
    </x:row>
    <x:row r="175" ht="54" customHeight="1">
      <x:c r="A175" s="24" t="str">
        <x:v>EX0172</x:v>
      </x:c>
      <x:c r="B175" s="24" t="str">
        <x:v>Single-leg Romanian deadlift</x:v>
      </x:c>
      <x:c r="C175" s="24" t="str">
        <x:v>Thigh &amp; Knee</x:v>
      </x:c>
      <x:c r="D175" s="24" t="str">
        <x:v>Home</x:v>
      </x:c>
      <x:c r="E175" s="24" t="str">
        <x:v>Compound strength</x:v>
      </x:c>
      <x:c r="F175" s="24" t="str">
        <x:v>Biceps femoris long head; Biceps femoris short head; Semimembranosus; Semitendinosus; Gluteus maximus</x:v>
      </x:c>
      <x:c r="G175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75" s="24" t="str">
        <x:v>Gluteus medius; Gluteus minimus; Tensor fasciae latae;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175" s="24" t="str">
        <x:v>—</x:v>
      </x:c>
      <x:c r="J175" s="24" t="str">
        <x:v>Biceps femoris long head; Biceps femoris short head; Semimembranosus; Semitendinosus;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Gluteus medius; Gluteus minimus; Tensor fasciae latae;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175" s="24" t="str">
        <x:v>Atlas-listed tendon/aponeurosis examples: Common hamstring proximal tendon; distal biceps tendon; Common biceps femoris distal tendon; Broad proximal membrane; distal semimembranosus tendon; Long distal pes anserinus tendon; additional listed attachments</x:v>
      </x:c>
      <x:c r="L175" s="24" t="str">
        <x:v>ACL, PCL, MCL, LCL and patellar retinacula stabilize knee; NOT deliberately stretched</x:v>
      </x:c>
      <x:c r="M175" s="24" t="str">
        <x:v>Muscles: Biceps femoris long head; Biceps femoris short head; Semimembranosus; Semitendinosus;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Gluteus medius; Gluteus minimus; Tensor fasciae latae;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Common hamstring proximal tendon; distal biceps tendon; Common biceps femoris distal tendon; Broad proximal membrane; distal semimembranosus tendon; Long distal pes anserinus tendon; additional listed attachments | Ligament context only: ACL, PCL, MCL, LCL and patellar retinacula stabilize knee; NOT deliberately stretched</x:v>
      </x:c>
      <x:c r="N175" s="24" t="str">
        <x:v>Biceps femoris long head; Biceps femoris short head; Semimembranosus; Semitendinosus;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75" s="24" t="str">
        <x:v>Hinge on one leg with back leg counterbalancing; pelvis square.</x:v>
      </x:c>
      <x:c r="P175" s="24" t="str">
        <x:v>Floor</x:v>
      </x:c>
      <x:c r="Q175" s="24" t="str">
        <x:v>2–3 × 8–12 controlled reps</x:v>
      </x:c>
      <x:c r="R175" s="24" t="str">
        <x:v>Progress gradually; stop with sharp pain, dizziness, or numbness.</x:v>
      </x:c>
      <x:c r="S175" s="24" t="str">
        <x:v>https://www.orthoinfo.org/recovery/knee-conditioning-program</x:v>
      </x:c>
      <x:c r="T175" s="24" t="str">
        <x:v>Anatomy-based mapping</x:v>
      </x:c>
    </x:row>
    <x:row r="176" ht="54" customHeight="1">
      <x:c r="A176" s="24" t="str">
        <x:v>EX0173</x:v>
      </x:c>
      <x:c r="B176" s="24" t="str">
        <x:v>Conventional deadlift</x:v>
      </x:c>
      <x:c r="C176" s="24" t="str">
        <x:v>Thigh &amp; Knee</x:v>
      </x:c>
      <x:c r="D176" s="24" t="str">
        <x:v>Gym</x:v>
      </x:c>
      <x:c r="E176" s="24" t="str">
        <x:v>Compound strength</x:v>
      </x:c>
      <x:c r="F176" s="24" t="str">
        <x:v>Gluteus maximus; Vastus intermedius; Vastus lateralis; Vastus medialis; Rectus femoris reflected head; Rectus femoris straight head; Biceps femoris long head; Biceps femoris short head; Semimembranosus; Semitendinosus</x:v>
      </x:c>
      <x:c r="G176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76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I176" s="24" t="str">
        <x:v>—</x:v>
      </x:c>
      <x:c r="J176" s="24" t="str">
        <x:v>Gluteus maximus; Vastus intermedius; Vastus lateralis; Vastus medialis; Rectus femoris reflected head; Rectus femoris straight head;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K176" s="24" t="str">
        <x:v>Hamstring/gluteal; quadriceps/patellar and finger flexor tendons</x:v>
      </x:c>
      <x:c r="L176" s="24" t="str">
        <x:v>ACL, PCL, MCL, LCL and patellar retinacula stabilize knee; NOT deliberately stretched</x:v>
      </x:c>
      <x:c r="M176" s="24" t="str">
        <x:v>Muscles: Gluteus maximus; Vastus intermedius; Vastus lateralis; Vastus medialis; Rectus femoris reflected head; Rectus femoris straight head;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 | Tendons/fascia: Hamstring/gluteal; quadriceps/patellar and finger flexor tendons | Ligament context only: ACL, PCL, MCL, LCL and patellar retinacula stabilize knee; NOT deliberately stretched</x:v>
      </x:c>
      <x:c r="N176" s="24" t="str">
        <x:v>Gluteus maximus; Vastus intermedius; Vastus lateralis; Vastus medialis; Rectus femoris reflected head; Rectus femoris straight head;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76" s="24" t="str">
        <x:v>Set bar over midfoot; brace, push floor away and stand tall.</x:v>
      </x:c>
      <x:c r="P176" s="24" t="str">
        <x:v>Barbell; plates</x:v>
      </x:c>
      <x:c r="Q176" s="24" t="str">
        <x:v>2–3 × 8–12 controlled reps</x:v>
      </x:c>
      <x:c r="R176" s="24" t="str">
        <x:v>Progress gradually; stop with sharp pain, dizziness, or numbness.</x:v>
      </x:c>
      <x:c r="S176" s="24" t="str">
        <x:v>https://www.orthoinfo.org/recovery/knee-conditioning-program</x:v>
      </x:c>
      <x:c r="T176" s="24" t="str">
        <x:v>Anatomy-based mapping</x:v>
      </x:c>
    </x:row>
    <x:row r="177" ht="54" customHeight="1">
      <x:c r="A177" s="24" t="str">
        <x:v>EX0174</x:v>
      </x:c>
      <x:c r="B177" s="24" t="str">
        <x:v>Sumo deadlift</x:v>
      </x:c>
      <x:c r="C177" s="24" t="str">
        <x:v>Thigh &amp; Knee</x:v>
      </x:c>
      <x:c r="D177" s="24" t="str">
        <x:v>Gym</x:v>
      </x:c>
      <x:c r="E177" s="24" t="str">
        <x:v>Compound strength</x:v>
      </x:c>
      <x:c r="F177" s="24" t="str">
        <x:v>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Vastus intermedius; Vastus lateralis; Vastus medialis; Rectus femoris reflected head; Rectus femoris straight head</x:v>
      </x:c>
      <x:c r="G177" s="24" t="str">
        <x:v>Biceps femoris long head; Biceps femoris short head; Semimembranosus; Semitendinosus</x:v>
      </x:c>
      <x:c r="H177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I177" s="24" t="str">
        <x:v>—</x:v>
      </x:c>
      <x:c r="J177" s="24" t="str">
        <x:v>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Vastus intermedius; Vastus lateralis; Vastus medialis; Rectus femoris reflected head; Rectus femoris straight head; Biceps femoris long head; Biceps femoris short head; Semimembranosus; Semitendinosus;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K177" s="24" t="str">
        <x:v>Atlas-listed tendon/aponeurosis examples: Iliotibial tract aponeurosis and gluteal tendon; Adductor tendon through ulnar sesamoid; Common adductor tendon; Broad short insertion; additional listed attachments</x:v>
      </x:c>
      <x:c r="L177" s="24" t="str">
        <x:v>ACL, PCL, MCL, LCL and patellar retinacula stabilize knee; NOT deliberately stretched</x:v>
      </x:c>
      <x:c r="M177" s="24" t="str">
        <x:v>Muscles: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Vastus intermedius; Vastus lateralis; Vastus medialis; Rectus femoris reflected head; Rectus femoris straight head; Biceps femoris long head; Biceps femoris short head; Semimembranosus; Semitendinosus;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 | Tendons/fascia: Atlas-listed tendon/aponeurosis examples: Iliotibial tract aponeurosis and gluteal tendon; Adductor tendon through ulnar sesamoid; Common adductor tendon; Broad short insertion; additional listed attachments | Ligament context only: ACL, PCL, MCL, LCL and patellar retinacula stabilize knee; NOT deliberately stretched</x:v>
      </x:c>
      <x:c r="N177" s="24" t="str">
        <x:v>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Vastus intermedius; Vastus lateralis; Vastus medialis; Rectus femoris reflected head; Rectus femoris straight head; Biceps femoris long head; Biceps femoris short head; Semimembranosus; Semitendinosus</x:v>
      </x:c>
      <x:c r="O177" s="24" t="str">
        <x:v>Take comfortable wide stance with toes out; stand with knees tracking toes.</x:v>
      </x:c>
      <x:c r="P177" s="24" t="str">
        <x:v>Barbell; plates</x:v>
      </x:c>
      <x:c r="Q177" s="24" t="str">
        <x:v>2–3 × 8–12 controlled reps</x:v>
      </x:c>
      <x:c r="R177" s="24" t="str">
        <x:v>Progress gradually; stop with sharp pain, dizziness, or numbness.</x:v>
      </x:c>
      <x:c r="S177" s="24" t="str">
        <x:v>https://www.orthoinfo.org/recovery/knee-conditioning-program</x:v>
      </x:c>
      <x:c r="T177" s="24" t="str">
        <x:v>Anatomy-based mapping</x:v>
      </x:c>
    </x:row>
    <x:row r="178" ht="54" customHeight="1">
      <x:c r="A178" s="24" t="str">
        <x:v>EX0175</x:v>
      </x:c>
      <x:c r="B178" s="24" t="str">
        <x:v>Good morning (empty bar/light)</x:v>
      </x:c>
      <x:c r="C178" s="24" t="str">
        <x:v>Thigh &amp; Knee</x:v>
      </x:c>
      <x:c r="D178" s="24" t="str">
        <x:v>Gym</x:v>
      </x:c>
      <x:c r="E178" s="24" t="str">
        <x:v>Compound strength</x:v>
      </x:c>
      <x:c r="F178" s="24" t="str">
        <x:v>Biceps femoris long head; Biceps femoris short head; Semimembranosus; Semitendinosus; Gluteus maximus</x:v>
      </x:c>
      <x:c r="G178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H178" s="24" t="str">
        <x:v>Rectus abdominis; External oblique; Internal oblique; Transversus abdominis</x:v>
      </x:c>
      <x:c r="I178" s="24" t="str">
        <x:v>—</x:v>
      </x:c>
      <x:c r="J178" s="24" t="str">
        <x:v>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178" s="24" t="str">
        <x:v>Atlas-listed tendon/aponeurosis examples: Common hamstring proximal tendon; distal biceps tendon; Common biceps femoris distal tendon; Broad proximal membrane; distal semimembranosus tendon; Long distal pes anserinus tendon; additional listed attachments</x:v>
      </x:c>
      <x:c r="L178" s="24" t="str">
        <x:v>ACL, PCL, MCL, LCL and patellar retinacula stabilize knee; NOT deliberately stretched</x:v>
      </x:c>
      <x:c r="M178" s="24" t="str">
        <x:v>Muscles: 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Atlas-listed tendon/aponeurosis examples: Common hamstring proximal tendon; distal biceps tendon; Common biceps femoris distal tendon; Broad proximal membrane; distal semimembranosus tendon; Long distal pes anserinus tendon; additional listed attachments | Ligament context only: ACL, PCL, MCL, LCL and patellar retinacula stabilize knee; NOT deliberately stretched</x:v>
      </x:c>
      <x:c r="N178" s="24" t="str">
        <x:v>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O178" s="24" t="str">
        <x:v>With light bar, hinge hips back without rounding trunk.</x:v>
      </x:c>
      <x:c r="P178" s="24" t="str">
        <x:v>Light bar</x:v>
      </x:c>
      <x:c r="Q178" s="24" t="str">
        <x:v>2–3 × 8–12 controlled reps</x:v>
      </x:c>
      <x:c r="R178" s="24" t="str">
        <x:v>Progress gradually; stop with sharp pain, dizziness, or numbness.</x:v>
      </x:c>
      <x:c r="S178" s="24" t="str">
        <x:v>https://www.orthoinfo.org/recovery/knee-conditioning-program</x:v>
      </x:c>
      <x:c r="T178" s="24" t="str">
        <x:v>Anatomy-based mapping</x:v>
      </x:c>
    </x:row>
    <x:row r="179" ht="54" customHeight="1">
      <x:c r="A179" s="24" t="str">
        <x:v>EX0176</x:v>
      </x:c>
      <x:c r="B179" s="24" t="str">
        <x:v>Staggered-stance hamstring hinge</x:v>
      </x:c>
      <x:c r="C179" s="24" t="str">
        <x:v>Thigh &amp; Knee</x:v>
      </x:c>
      <x:c r="D179" s="24" t="str">
        <x:v>Home</x:v>
      </x:c>
      <x:c r="E179" s="24" t="str">
        <x:v>Compound strength</x:v>
      </x:c>
      <x:c r="F179" s="24" t="str">
        <x:v>Biceps femoris long head; Biceps femoris short head; Semimembranosus; Semitendinosus; Gluteus maximus</x:v>
      </x:c>
      <x:c r="G179" s="24" t="str">
        <x:v>—</x:v>
      </x:c>
      <x:c r="H179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I179" s="24" t="str">
        <x:v>—</x:v>
      </x:c>
      <x:c r="J179" s="24" t="str">
        <x:v>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179" s="24" t="str">
        <x:v>Atlas-listed tendon/aponeurosis examples: Common hamstring proximal tendon; distal biceps tendon; Common biceps femoris distal tendon; Broad proximal membrane; distal semimembranosus tendon; Long distal pes anserinus tendon; additional listed attachments</x:v>
      </x:c>
      <x:c r="L179" s="24" t="str">
        <x:v>ACL, PCL, MCL, LCL and patellar retinacula stabilize knee; NOT deliberately stretched</x:v>
      </x:c>
      <x:c r="M179" s="24" t="str">
        <x:v>Muscles: 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Atlas-listed tendon/aponeurosis examples: Common hamstring proximal tendon; distal biceps tendon; Common biceps femoris distal tendon; Broad proximal membrane; distal semimembranosus tendon; Long distal pes anserinus tendon; additional listed attachments | Ligament context only: ACL, PCL, MCL, LCL and patellar retinacula stabilize knee; NOT deliberately stretched</x:v>
      </x:c>
      <x:c r="N179" s="24" t="str">
        <x:v>Biceps femoris long head; Biceps femoris short head; Semimembranosus; Semitendinosus; Gluteus maximus</x:v>
      </x:c>
      <x:c r="O179" s="24" t="str">
        <x:v>Keep most weight on front leg while hinging and returning.</x:v>
      </x:c>
      <x:c r="P179" s="24" t="str">
        <x:v>Floor</x:v>
      </x:c>
      <x:c r="Q179" s="24" t="str">
        <x:v>2–3 × 8–12 controlled reps</x:v>
      </x:c>
      <x:c r="R179" s="24" t="str">
        <x:v>Progress gradually; stop with sharp pain, dizziness, or numbness.</x:v>
      </x:c>
      <x:c r="S179" s="24" t="str">
        <x:v>https://www.orthoinfo.org/recovery/knee-conditioning-program</x:v>
      </x:c>
      <x:c r="T179" s="24" t="str">
        <x:v>Anatomy-based mapping</x:v>
      </x:c>
    </x:row>
    <x:row r="180" ht="54" customHeight="1">
      <x:c r="A180" s="24" t="str">
        <x:v>EX0177</x:v>
      </x:c>
      <x:c r="B180" s="24" t="str">
        <x:v>Seated straight-knee hamstring stretch</x:v>
      </x:c>
      <x:c r="C180" s="24" t="str">
        <x:v>Thigh &amp; Knee</x:v>
      </x:c>
      <x:c r="D180" s="24" t="str">
        <x:v>Home</x:v>
      </x:c>
      <x:c r="E180" s="24" t="str">
        <x:v>Passive stretch</x:v>
      </x:c>
      <x:c r="F180" s="24" t="str">
        <x:v>—</x:v>
      </x:c>
      <x:c r="G180" s="24" t="str">
        <x:v>—</x:v>
      </x:c>
      <x:c r="H180" s="24" t="str">
        <x:v>—</x:v>
      </x:c>
      <x:c r="I180" s="24" t="str">
        <x:v>Biceps femoris long head; Biceps femoris short head; Semimembranosus; Semitendinosus</x:v>
      </x:c>
      <x:c r="J180" s="24" t="str">
        <x:v>Biceps femoris long head; Biceps femoris short head; Semimembranosus; Semitendinosus</x:v>
      </x:c>
      <x:c r="K180" s="24" t="str">
        <x:v>Hamstring muscle-tendon units</x:v>
      </x:c>
      <x:c r="L180" s="24" t="str">
        <x:v>Avoid stressing posterior knee ligaments</x:v>
      </x:c>
      <x:c r="M180" s="24" t="str">
        <x:v>Muscles: Biceps femoris long head; Biceps femoris short head; Semimembranosus; Semitendinosus | Tendons/fascia: Hamstring muscle-tendon units | Ligament context only: Avoid stressing posterior knee ligaments</x:v>
      </x:c>
      <x:c r="N180" s="24" t="str">
        <x:v>Usually none expected (stretch, mobility or relaxation; any active movers are low-load)</x:v>
      </x:c>
      <x:c r="O180" s="24" t="str">
        <x:v>Extend one knee and hinge from hips until stretch behind thigh.</x:v>
      </x:c>
      <x:c r="P180" s="24" t="str">
        <x:v>Chair</x:v>
      </x:c>
      <x:c r="Q180" s="24" t="str">
        <x:v>2–3 × 8–12 controlled reps</x:v>
      </x:c>
      <x:c r="R180" s="24" t="str">
        <x:v>Progress gradually; stop with sharp pain, dizziness, or numbness.</x:v>
      </x:c>
      <x:c r="S180" s="24" t="str">
        <x:v>https://www.orthoinfo.org/recovery/knee-conditioning-program</x:v>
      </x:c>
      <x:c r="T180" s="24" t="str">
        <x:v>Anatomy-based mapping</x:v>
      </x:c>
    </x:row>
    <x:row r="181" ht="54" customHeight="1">
      <x:c r="A181" s="24" t="str">
        <x:v>EX0178</x:v>
      </x:c>
      <x:c r="B181" s="24" t="str">
        <x:v>Supine hamstring stretch with towel</x:v>
      </x:c>
      <x:c r="C181" s="24" t="str">
        <x:v>Thigh &amp; Knee</x:v>
      </x:c>
      <x:c r="D181" s="24" t="str">
        <x:v>Home</x:v>
      </x:c>
      <x:c r="E181" s="24" t="str">
        <x:v>Passive stretch</x:v>
      </x:c>
      <x:c r="F181" s="24" t="str">
        <x:v>—</x:v>
      </x:c>
      <x:c r="G181" s="24" t="str">
        <x:v>—</x:v>
      </x:c>
      <x:c r="H181" s="24" t="str">
        <x:v>—</x:v>
      </x:c>
      <x:c r="I181" s="24" t="str">
        <x:v>Biceps femoris long head; Biceps femoris short head; Semimembranosus; Semitendinosus</x:v>
      </x:c>
      <x:c r="J181" s="24" t="str">
        <x:v>Biceps femoris long head; Biceps femoris short head; Semimembranosus; Semitendinosus</x:v>
      </x:c>
      <x:c r="K181" s="24" t="str">
        <x:v>Atlas-listed tendon/aponeurosis examples: Common hamstring proximal tendon; distal biceps tendon; Common biceps femoris distal tendon; Broad proximal membrane; distal semimembranosus tendon; Long distal pes anserinus tendon</x:v>
      </x:c>
      <x:c r="L181" s="24" t="str">
        <x:v>ACL, PCL, MCL, LCL and patellar retinacula stabilize knee; NOT deliberately stretched</x:v>
      </x:c>
      <x:c r="M181" s="24" t="str">
        <x:v>Muscles: Biceps femoris long head; Biceps femoris short head; Semimembranosus; Semitendinosus | Tendons/fascia: Atlas-listed tendon/aponeurosis examples: Common hamstring proximal tendon; distal biceps tendon; Common biceps femoris distal tendon; Broad proximal membrane; distal semimembranosus tendon; Long distal pes anserinus tendon | Ligament context only: ACL, PCL, MCL, LCL and patellar retinacula stabilize knee; NOT deliberately stretched</x:v>
      </x:c>
      <x:c r="N181" s="24" t="str">
        <x:v>Usually none expected (stretch, mobility or relaxation; any active movers are low-load)</x:v>
      </x:c>
      <x:c r="O181" s="24" t="str">
        <x:v>Loop towel under foot, raise leg until posterior thigh stretches without knee lock.</x:v>
      </x:c>
      <x:c r="P181" s="24" t="str">
        <x:v>Towel</x:v>
      </x:c>
      <x:c r="Q181" s="24" t="str">
        <x:v>2–3 × 8–12 controlled reps</x:v>
      </x:c>
      <x:c r="R181" s="24" t="str">
        <x:v>Progress gradually; stop with sharp pain, dizziness, or numbness.</x:v>
      </x:c>
      <x:c r="S181" s="24" t="str">
        <x:v>https://www.orthoinfo.org/recovery/knee-conditioning-program</x:v>
      </x:c>
      <x:c r="T181" s="24" t="str">
        <x:v>Anatomy-based mapping</x:v>
      </x:c>
    </x:row>
    <x:row r="182" ht="54" customHeight="1">
      <x:c r="A182" s="24" t="str">
        <x:v>EX0179</x:v>
      </x:c>
      <x:c r="B182" s="24" t="str">
        <x:v>Standing dynamic butt-kick</x:v>
      </x:c>
      <x:c r="C182" s="24" t="str">
        <x:v>Thigh &amp; Knee</x:v>
      </x:c>
      <x:c r="D182" s="24" t="str">
        <x:v>Home</x:v>
      </x:c>
      <x:c r="E182" s="24" t="str">
        <x:v>Active stretch</x:v>
      </x:c>
      <x:c r="F182" s="24" t="str">
        <x:v>Biceps femoris long head; Biceps femoris short head; Semimembranosus; Semitendinosus</x:v>
      </x:c>
      <x:c r="G182" s="24" t="str">
        <x:v>Vastus intermedius; Vastus lateralis; Vastus medialis; Rectus femoris reflected head; Rectus femoris straight head</x:v>
      </x:c>
      <x:c r="H182" s="24" t="str">
        <x:v>Gluteus medius; Gluteus minimus; Tensor fasciae latae</x:v>
      </x:c>
      <x:c r="I182" s="24" t="str">
        <x:v>Vastus intermedius; Vastus lateralis; Vastus medialis; Rectus femoris reflected head; Rectus femoris straight head</x:v>
      </x:c>
      <x:c r="J182" s="24" t="str">
        <x:v>Biceps femoris long head; Biceps femoris short head; Semimembranosus; Semitendinosus; Vastus intermedius; Vastus lateralis; Vastus medialis; Rectus femoris reflected head; Rectus femoris straight head; Gluteus medius; Gluteus minimus; Tensor fasciae latae</x:v>
      </x:c>
      <x:c r="K182" s="24" t="str">
        <x:v>Atlas-listed tendon/aponeurosis examples: Common hamstring proximal tendon; distal biceps tendon; Common biceps femoris distal tendon; Broad proximal membrane; distal semimembranosus tendon; Long distal pes anserinus tendon; additional listed attachments</x:v>
      </x:c>
      <x:c r="L182" s="24" t="str">
        <x:v>ACL, PCL, MCL, LCL and patellar retinacula stabilize knee; NOT deliberately stretched</x:v>
      </x:c>
      <x:c r="M182" s="24" t="str">
        <x:v>Muscles: Biceps femoris long head; Biceps femoris short head; Semimembranosus; Semitendinosus; Vastus intermedius; Vastus lateralis; Vastus medialis; Rectus femoris reflected head; Rectus femoris straight head; Gluteus medius; Gluteus minimus; Tensor fasciae latae | Tendons/fascia: Atlas-listed tendon/aponeurosis examples: Common hamstring proximal tendon; distal biceps tendon; Common biceps femoris distal tendon; Broad proximal membrane; distal semimembranosus tendon; Long distal pes anserinus tendon; additional listed attachments | Ligament context only: ACL, PCL, MCL, LCL and patellar retinacula stabilize knee; NOT deliberately stretched</x:v>
      </x:c>
      <x:c r="N182" s="24" t="str">
        <x:v>Usually none expected (stretch, mobility or relaxation; any active movers are low-load)</x:v>
      </x:c>
      <x:c r="O182" s="24" t="str">
        <x:v>Alternately bend knees toward glutes at light controlled tempo.</x:v>
      </x:c>
      <x:c r="P182" s="24" t="str">
        <x:v>Floor</x:v>
      </x:c>
      <x:c r="Q182" s="24" t="str">
        <x:v>2–3 × 8–12 controlled reps</x:v>
      </x:c>
      <x:c r="R182" s="24" t="str">
        <x:v>Progress gradually; stop with sharp pain, dizziness, or numbness.</x:v>
      </x:c>
      <x:c r="S182" s="24" t="str">
        <x:v>https://www.orthoinfo.org/recovery/knee-conditioning-program</x:v>
      </x:c>
      <x:c r="T182" s="24" t="str">
        <x:v>Anatomy-based mapping</x:v>
      </x:c>
    </x:row>
    <x:row r="183" ht="54" customHeight="1">
      <x:c r="A183" s="24" t="str">
        <x:v>EX0180</x:v>
      </x:c>
      <x:c r="B183" s="24" t="str">
        <x:v>Prone quad stretch using strap</x:v>
      </x:c>
      <x:c r="C183" s="24" t="str">
        <x:v>Thigh &amp; Knee</x:v>
      </x:c>
      <x:c r="D183" s="24" t="str">
        <x:v>Home</x:v>
      </x:c>
      <x:c r="E183" s="24" t="str">
        <x:v>Passive stretch</x:v>
      </x:c>
      <x:c r="F183" s="24" t="str">
        <x:v>—</x:v>
      </x:c>
      <x:c r="G183" s="24" t="str">
        <x:v>—</x:v>
      </x:c>
      <x:c r="H183" s="24" t="str">
        <x:v>—</x:v>
      </x:c>
      <x:c r="I183" s="24" t="str">
        <x:v>Vastus intermedius; Vastus lateralis; Vastus medialis; Rectus femoris reflected head; Rectus femoris straight head</x:v>
      </x:c>
      <x:c r="J183" s="24" t="str">
        <x:v>Vastus intermedius; Vastus lateralis; Vastus medialis; Rectus femoris reflected head; Rectus femoris straight head</x:v>
      </x:c>
      <x:c r="K183" s="24" t="str">
        <x:v>Quadriceps tendon; rectus femoris tendon</x:v>
      </x:c>
      <x:c r="L183" s="24" t="str">
        <x:v>ACL, PCL, MCL, LCL and patellar retinacula stabilize knee; NOT deliberately stretched</x:v>
      </x:c>
      <x:c r="M183" s="24" t="str">
        <x:v>Muscles: Vastus intermedius; Vastus lateralis; Vastus medialis; Rectus femoris reflected head; Rectus femoris straight head | Tendons/fascia: Quadriceps tendon; rectus femoris tendon | Ligament context only: ACL, PCL, MCL, LCL and patellar retinacula stabilize knee; NOT deliberately stretched</x:v>
      </x:c>
      <x:c r="N183" s="24" t="str">
        <x:v>Usually none expected (stretch, mobility or relaxation; any active movers are low-load)</x:v>
      </x:c>
      <x:c r="O183" s="24" t="str">
        <x:v>Lie prone, use strap to flex knee to a gentle anterior thigh stretch.</x:v>
      </x:c>
      <x:c r="P183" s="24" t="str">
        <x:v>Strap</x:v>
      </x:c>
      <x:c r="Q183" s="24" t="str">
        <x:v>2–3 × 8–12 controlled reps</x:v>
      </x:c>
      <x:c r="R183" s="24" t="str">
        <x:v>Progress gradually; stop with sharp pain, dizziness, or numbness.</x:v>
      </x:c>
      <x:c r="S183" s="24" t="str">
        <x:v>https://www.orthoinfo.org/recovery/knee-conditioning-program</x:v>
      </x:c>
      <x:c r="T183" s="24" t="str">
        <x:v>Anatomy-based mapping</x:v>
      </x:c>
    </x:row>
    <x:row r="184" ht="54" customHeight="1">
      <x:c r="A184" s="24" t="str">
        <x:v>EX0181</x:v>
      </x:c>
      <x:c r="B184" s="24" t="str">
        <x:v>Kneeling hip-flexor + rectus femoris stretch</x:v>
      </x:c>
      <x:c r="C184" s="24" t="str">
        <x:v>Thigh &amp; Knee</x:v>
      </x:c>
      <x:c r="D184" s="24" t="str">
        <x:v>Home</x:v>
      </x:c>
      <x:c r="E184" s="24" t="str">
        <x:v>Passive stretch</x:v>
      </x:c>
      <x:c r="F184" s="24" t="str">
        <x:v>—</x:v>
      </x:c>
      <x:c r="G184" s="24" t="str">
        <x:v>—</x:v>
      </x:c>
      <x:c r="H184" s="24" t="str">
        <x:v>—</x:v>
      </x:c>
      <x:c r="I184" s="24" t="str">
        <x:v>Rectus femoris reflected head; Rectus femoris straight head; Iliacus; Psoas major</x:v>
      </x:c>
      <x:c r="J184" s="24" t="str">
        <x:v>Rectus femoris reflected head; Rectus femoris straight head; Iliacus; Psoas major</x:v>
      </x:c>
      <x:c r="K184" s="24" t="str">
        <x:v>Atlas-listed tendon/aponeurosis examples: Reflected proximal tendon; quadriceps tendon; Quadriceps tendon; patellar ligament continuation; Iliopsoas shared tendon</x:v>
      </x:c>
      <x:c r="L184" s="24" t="str">
        <x:v>ACL, PCL, MCL, LCL and patellar retinacula stabilize knee; NOT deliberately stretched</x:v>
      </x:c>
      <x:c r="M184" s="24" t="str">
        <x:v>Muscles: Rectus femoris reflected head; Rectus femoris straight head; Iliacus; Psoas major | Tendons/fascia: Atlas-listed tendon/aponeurosis examples: Reflected proximal tendon; quadriceps tendon; Quadriceps tendon; patellar ligament continuation; Iliopsoas shared tendon | Ligament context only: ACL, PCL, MCL, LCL and patellar retinacula stabilize knee; NOT deliberately stretched</x:v>
      </x:c>
      <x:c r="N184" s="24" t="str">
        <x:v>Usually none expected (stretch, mobility or relaxation; any active movers are low-load)</x:v>
      </x:c>
      <x:c r="O184" s="24" t="str">
        <x:v>Tilt pelvis back and gently bend rear knee with strap if tolerated.</x:v>
      </x:c>
      <x:c r="P184" s="24" t="str">
        <x:v>Strap; mat</x:v>
      </x:c>
      <x:c r="Q184" s="24" t="str">
        <x:v>2–3 × 8–12 controlled reps</x:v>
      </x:c>
      <x:c r="R184" s="24" t="str">
        <x:v>Progress gradually; stop with sharp pain, dizziness, or numbness.</x:v>
      </x:c>
      <x:c r="S184" s="24" t="str">
        <x:v>https://www.orthoinfo.org/recovery/knee-conditioning-program</x:v>
      </x:c>
      <x:c r="T184" s="24" t="str">
        <x:v>Anatomy-based mapping</x:v>
      </x:c>
    </x:row>
    <x:row r="185" ht="54" customHeight="1">
      <x:c r="A185" s="24" t="str">
        <x:v>EX0182</x:v>
      </x:c>
      <x:c r="B185" s="24" t="str">
        <x:v>Side-lying gracilis/adductor stretch</x:v>
      </x:c>
      <x:c r="C185" s="24" t="str">
        <x:v>Thigh &amp; Knee</x:v>
      </x:c>
      <x:c r="D185" s="24" t="str">
        <x:v>Home</x:v>
      </x:c>
      <x:c r="E185" s="24" t="str">
        <x:v>Passive stretch</x:v>
      </x:c>
      <x:c r="F185" s="24" t="str">
        <x:v>—</x:v>
      </x:c>
      <x:c r="G185" s="24" t="str">
        <x:v>—</x:v>
      </x:c>
      <x:c r="H185" s="24" t="str">
        <x:v>—</x:v>
      </x:c>
      <x:c r="I185" s="24" t="str">
        <x:v>Gracilis;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Pectineus</x:v>
      </x:c>
      <x:c r="J185" s="24" t="str">
        <x:v>Gracilis;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Pectineus</x:v>
      </x:c>
      <x:c r="K185" s="24" t="str">
        <x:v>Atlas-listed tendon/aponeurosis examples: Gracilis pes anserinus tendon; Adductor tendon through ulnar sesamoid; Common adductor tendon; Broad short insertion; additional listed attachments</x:v>
      </x:c>
      <x:c r="L185" s="24" t="str">
        <x:v>ACL, PCL, MCL, LCL and patellar retinacula stabilize knee; NOT deliberately stretched</x:v>
      </x:c>
      <x:c r="M185" s="24" t="str">
        <x:v>Muscles: Gracilis;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Pectineus | Tendons/fascia: Atlas-listed tendon/aponeurosis examples: Gracilis pes anserinus tendon; Adductor tendon through ulnar sesamoid; Common adductor tendon; Broad short insertion; additional listed attachments | Ligament context only: ACL, PCL, MCL, LCL and patellar retinacula stabilize knee; NOT deliberately stretched</x:v>
      </x:c>
      <x:c r="N185" s="24" t="str">
        <x:v>Usually none expected (stretch, mobility or relaxation; any active movers are low-load)</x:v>
      </x:c>
      <x:c r="O185" s="24" t="str">
        <x:v>Open hip sideways comfortably while keeping knee extended.</x:v>
      </x:c>
      <x:c r="P185" s="24" t="str">
        <x:v>Mat</x:v>
      </x:c>
      <x:c r="Q185" s="24" t="str">
        <x:v>2–3 × 8–12 controlled reps</x:v>
      </x:c>
      <x:c r="R185" s="24" t="str">
        <x:v>Progress gradually; stop with sharp pain, dizziness, or numbness.</x:v>
      </x:c>
      <x:c r="S185" s="24" t="str">
        <x:v>https://www.orthoinfo.org/recovery/knee-conditioning-program</x:v>
      </x:c>
      <x:c r="T185" s="24" t="str">
        <x:v>Anatomy-based mapping</x:v>
      </x:c>
    </x:row>
    <x:row r="186" ht="54" customHeight="1">
      <x:c r="A186" s="24" t="str">
        <x:v>EX0183</x:v>
      </x:c>
      <x:c r="B186" s="24" t="str">
        <x:v>Gentle knee flexion heel slide</x:v>
      </x:c>
      <x:c r="C186" s="24" t="str">
        <x:v>Thigh &amp; Knee</x:v>
      </x:c>
      <x:c r="D186" s="24" t="str">
        <x:v>Home</x:v>
      </x:c>
      <x:c r="E186" s="24" t="str">
        <x:v>Mobility</x:v>
      </x:c>
      <x:c r="F186" s="24" t="str">
        <x:v>Biceps femoris long head; Biceps femoris short head; Semimembranosus; Semitendinosus</x:v>
      </x:c>
      <x:c r="G186" s="24" t="str">
        <x:v>Vastus intermedius; Vastus lateralis; Vastus medialis; Rectus femoris reflected head; Rectus femoris straight head</x:v>
      </x:c>
      <x:c r="H186" s="24" t="str">
        <x:v>—</x:v>
      </x:c>
      <x:c r="I186" s="24" t="str">
        <x:v>Vastus intermedius; Vastus lateralis; Vastus medialis; Rectus femoris reflected head; Rectus femoris straight head</x:v>
      </x:c>
      <x:c r="J186" s="24" t="str">
        <x:v>Biceps femoris long head; Biceps femoris short head; Semimembranosus; Semitendinosus; Vastus intermedius; Vastus lateralis; Vastus medialis; Rectus femoris reflected head; Rectus femoris straight head</x:v>
      </x:c>
      <x:c r="K186" s="24" t="str">
        <x:v>Atlas-listed tendon/aponeurosis examples: Common hamstring proximal tendon; distal biceps tendon; Common biceps femoris distal tendon; Broad proximal membrane; distal semimembranosus tendon; Long distal pes anserinus tendon; additional listed attachments</x:v>
      </x:c>
      <x:c r="L186" s="24" t="str">
        <x:v>ACL, PCL, MCL, LCL and patellar retinacula stabilize knee; NOT deliberately stretched</x:v>
      </x:c>
      <x:c r="M186" s="24" t="str">
        <x:v>Muscles: Biceps femoris long head; Biceps femoris short head; Semimembranosus; Semitendinosus; Vastus intermedius; Vastus lateralis; Vastus medialis; Rectus femoris reflected head; Rectus femoris straight head | Tendons/fascia: Atlas-listed tendon/aponeurosis examples: Common hamstring proximal tendon; distal biceps tendon; Common biceps femoris distal tendon; Broad proximal membrane; distal semimembranosus tendon; Long distal pes anserinus tendon; additional listed attachments | Ligament context only: ACL, PCL, MCL, LCL and patellar retinacula stabilize knee; NOT deliberately stretched</x:v>
      </x:c>
      <x:c r="N186" s="24" t="str">
        <x:v>Usually none expected (stretch, mobility or relaxation; any active movers are low-load)</x:v>
      </x:c>
      <x:c r="O186" s="24" t="str">
        <x:v>Slide heel toward glutes then extend without forced joint range.</x:v>
      </x:c>
      <x:c r="P186" s="24" t="str">
        <x:v>Mat</x:v>
      </x:c>
      <x:c r="Q186" s="24" t="str">
        <x:v>1–2 × 5–10 controlled reps</x:v>
      </x:c>
      <x:c r="R186" s="24" t="str">
        <x:v>Progress gradually; stop with sharp pain, dizziness, or numbness.</x:v>
      </x:c>
      <x:c r="S186" s="24" t="str">
        <x:v>https://www.orthoinfo.org/recovery/knee-conditioning-program</x:v>
      </x:c>
      <x:c r="T186" s="24" t="str">
        <x:v>Anatomy-based mapping</x:v>
      </x:c>
    </x:row>
    <x:row r="187" ht="54" customHeight="1">
      <x:c r="A187" s="24" t="str">
        <x:v>EX0184</x:v>
      </x:c>
      <x:c r="B187" s="24" t="str">
        <x:v>Knee extension active range</x:v>
      </x:c>
      <x:c r="C187" s="24" t="str">
        <x:v>Thigh &amp; Knee</x:v>
      </x:c>
      <x:c r="D187" s="24" t="str">
        <x:v>Home</x:v>
      </x:c>
      <x:c r="E187" s="24" t="str">
        <x:v>Mobility</x:v>
      </x:c>
      <x:c r="F187" s="24" t="str">
        <x:v>Vastus intermedius; Vastus lateralis; Vastus medialis; Rectus femoris reflected head; Rectus femoris straight head</x:v>
      </x:c>
      <x:c r="G187" s="24" t="str">
        <x:v>Articularis genus</x:v>
      </x:c>
      <x:c r="H187" s="24" t="str">
        <x:v>—</x:v>
      </x:c>
      <x:c r="I187" s="24" t="str">
        <x:v>Biceps femoris long head; Biceps femoris short head; Semimembranosus; Semitendinosus</x:v>
      </x:c>
      <x:c r="J187" s="24" t="str">
        <x:v>Vastus intermedius; Vastus lateralis; Vastus medialis; Rectus femoris reflected head; Rectus femoris straight head; Articularis genus; Biceps femoris long head; Biceps femoris short head; Semimembranosus; Semitendinosus</x:v>
      </x:c>
      <x:c r="K187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87" s="24" t="str">
        <x:v>ACL, PCL, MCL, LCL and patellar retinacula stabilize knee; NOT deliberately stretched</x:v>
      </x:c>
      <x:c r="M187" s="24" t="str">
        <x:v>Muscles: Vastus intermedius; Vastus lateralis; Vastus medialis; Rectus femoris reflected head; Rectus femoris straight head; Articularis genus; Biceps femoris long head; Biceps femoris short head; Semimembranosus; Semitendinosus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87" s="24" t="str">
        <x:v>Usually none expected (stretch, mobility or relaxation; any active movers are low-load)</x:v>
      </x:c>
      <x:c r="O187" s="24" t="str">
        <x:v>Sit upright and slowly straighten knee through comfortable range.</x:v>
      </x:c>
      <x:c r="P187" s="24" t="str">
        <x:v>Chair</x:v>
      </x:c>
      <x:c r="Q187" s="24" t="str">
        <x:v>1–2 × 5–10 controlled reps</x:v>
      </x:c>
      <x:c r="R187" s="24" t="str">
        <x:v>Progress gradually; stop with sharp pain, dizziness, or numbness.</x:v>
      </x:c>
      <x:c r="S187" s="24" t="str">
        <x:v>https://www.orthoinfo.org/recovery/knee-conditioning-program</x:v>
      </x:c>
      <x:c r="T187" s="24" t="str">
        <x:v>Anatomy-based mapping</x:v>
      </x:c>
    </x:row>
    <x:row r="188" ht="54" customHeight="1">
      <x:c r="A188" s="24" t="str">
        <x:v>EX0185</x:v>
      </x:c>
      <x:c r="B188" s="24" t="str">
        <x:v>Supported standing sartorius pattern</x:v>
      </x:c>
      <x:c r="C188" s="24" t="str">
        <x:v>Thigh &amp; Knee</x:v>
      </x:c>
      <x:c r="D188" s="24" t="str">
        <x:v>Home</x:v>
      </x:c>
      <x:c r="E188" s="24" t="str">
        <x:v>Motor control</x:v>
      </x:c>
      <x:c r="F188" s="24" t="str">
        <x:v>Sartorius</x:v>
      </x:c>
      <x:c r="G188" s="24" t="str">
        <x:v>Iliacus; Psoas major; Tensor fasciae latae; Rectus femoris reflected head; Rectus femoris straight head; Pectineus</x:v>
      </x:c>
      <x:c r="H188" s="24" t="str">
        <x:v>Rectus abdominis; External oblique; Internal oblique; Transversus abdominis; Gluteus medius; Gluteus minimus</x:v>
      </x:c>
      <x:c r="I188" s="24" t="str">
        <x:v>—</x:v>
      </x:c>
      <x:c r="J188" s="24" t="str">
        <x:v>Sartorius; Iliacus; Psoas major; Tensor fasciae latae; Rectus femoris reflected head; Rectus femoris straight head; Pectineus; Rectus abdominis; External oblique; Internal oblique; Transversus abdominis; Gluteus medius; Gluteus minimus</x:v>
      </x:c>
      <x:c r="K188" s="24" t="str">
        <x:v>Atlas-listed tendon/aponeurosis examples: Pes anserinus superficial tendon; Iliopsoas shared tendon; Iliotibial tract (fascial thickening); Reflected proximal tendon; quadriceps tendon; additional listed attachments</x:v>
      </x:c>
      <x:c r="L188" s="24" t="str">
        <x:v>ACL, PCL, MCL, LCL and patellar retinacula stabilize knee; NOT deliberately stretched</x:v>
      </x:c>
      <x:c r="M188" s="24" t="str">
        <x:v>Muscles: Sartorius; Iliacus; Psoas major; Tensor fasciae latae; Rectus femoris reflected head; Rectus femoris straight head; Pectineus; Rectus abdominis; External oblique; Internal oblique; Transversus abdominis; Gluteus medius; Gluteus minimus | Tendons/fascia: Atlas-listed tendon/aponeurosis examples: Pes anserinus superficial tendon; Iliopsoas shared tendon; Iliotibial tract (fascial thickening); Reflected proximal tendon; quadriceps tendon; additional listed attachments | Ligament context only: ACL, PCL, MCL, LCL and patellar retinacula stabilize knee; NOT deliberately stretched</x:v>
      </x:c>
      <x:c r="N188" s="24" t="str">
        <x:v>Low-load activation, not ordinarily to fatigue: Sartorius</x:v>
      </x:c>
      <x:c r="O188" s="24" t="str">
        <x:v>With support, flex/abduct/externally rotate hip and flex knee gently.</x:v>
      </x:c>
      <x:c r="P188" s="24" t="str">
        <x:v>Counter</x:v>
      </x:c>
      <x:c r="Q188" s="24" t="str">
        <x:v>1–2 × 5–10 controlled reps</x:v>
      </x:c>
      <x:c r="R188" s="24" t="str">
        <x:v>Progress gradually; stop with sharp pain, dizziness, or numbness.</x:v>
      </x:c>
      <x:c r="S188" s="24" t="str">
        <x:v>https://www.orthoinfo.org/recovery/knee-conditioning-program</x:v>
      </x:c>
      <x:c r="T188" s="24" t="str">
        <x:v>Anatomy-based mapping</x:v>
      </x:c>
    </x:row>
    <x:row r="189" ht="54" customHeight="1">
      <x:c r="A189" s="24" t="str">
        <x:v>EX0186</x:v>
      </x:c>
      <x:c r="B189" s="24" t="str">
        <x:v>Seated band hip abduction knee extension</x:v>
      </x:c>
      <x:c r="C189" s="24" t="str">
        <x:v>Thigh &amp; Knee</x:v>
      </x:c>
      <x:c r="D189" s="24" t="str">
        <x:v>Home</x:v>
      </x:c>
      <x:c r="E189" s="24" t="str">
        <x:v>Band strength</x:v>
      </x:c>
      <x:c r="F189" s="24" t="str">
        <x:v>Sartorius; Tensor fasciae latae</x:v>
      </x:c>
      <x:c r="G189" s="24" t="str">
        <x:v>Vastus intermedius; Vastus lateralis; Vastus medialis; Rectus femoris reflected head; Rectus femoris straight head</x:v>
      </x:c>
      <x:c r="H189" s="24" t="str">
        <x:v>Rectus abdominis; External oblique; Internal oblique; Transversus abdominis</x:v>
      </x:c>
      <x:c r="I189" s="24" t="str">
        <x:v>—</x:v>
      </x:c>
      <x:c r="J189" s="24" t="str">
        <x:v>Sartorius; Tensor fasciae latae; Vastus intermedius; Vastus lateralis; Vastus medialis; Rectus femoris reflected head; Rectus femoris straight head; Rectus abdominis; External oblique; Internal oblique; Transversus abdominis</x:v>
      </x:c>
      <x:c r="K189" s="24" t="str">
        <x:v>Atlas-listed tendon/aponeurosis examples: Pes anserinus superficial tendon; Iliotibial tract (fascial thickening); Deep quadriceps tendon; Quadriceps tendon and lateral retinaculum; additional listed attachments</x:v>
      </x:c>
      <x:c r="L189" s="24" t="str">
        <x:v>ACL, PCL, MCL, LCL and patellar retinacula stabilize knee; NOT deliberately stretched</x:v>
      </x:c>
      <x:c r="M189" s="24" t="str">
        <x:v>Muscles: Sartorius; Tensor fasciae latae; Vastus intermedius; Vastus lateralis; Vastus medialis; Rectus femoris reflected head; Rectus femoris straight head; Rectus abdominis; External oblique; Internal oblique; Transversus abdominis | Tendons/fascia: Atlas-listed tendon/aponeurosis examples: Pes anserinus superficial tendon; Iliotibial tract (fascial thickening); Deep quadriceps tendon; Quadriceps tendon and lateral retinaculum; additional listed attachments | Ligament context only: ACL, PCL, MCL, LCL and patellar retinacula stabilize knee; NOT deliberately stretched</x:v>
      </x:c>
      <x:c r="N189" s="24" t="str">
        <x:v>Sartorius; Tensor fasciae latae; Vastus intermedius; Vastus lateralis; Vastus medialis; Rectus femoris reflected head; Rectus femoris straight head</x:v>
      </x:c>
      <x:c r="O189" s="24" t="str">
        <x:v>Seated, gently guide thigh outward while extending knee.</x:v>
      </x:c>
      <x:c r="P189" s="24" t="str">
        <x:v>Light band</x:v>
      </x:c>
      <x:c r="Q189" s="24" t="str">
        <x:v>2–3 × 8–12 controlled reps</x:v>
      </x:c>
      <x:c r="R189" s="24" t="str">
        <x:v>Progress gradually; stop with sharp pain, dizziness, or numbness.</x:v>
      </x:c>
      <x:c r="S189" s="24" t="str">
        <x:v>https://www.orthoinfo.org/recovery/knee-conditioning-program</x:v>
      </x:c>
      <x:c r="T189" s="24" t="str">
        <x:v>Anatomy-based mapping</x:v>
      </x:c>
    </x:row>
    <x:row r="190" ht="54" customHeight="1">
      <x:c r="A190" s="24" t="str">
        <x:v>EX0187</x:v>
      </x:c>
      <x:c r="B190" s="24" t="str">
        <x:v>Knee adduction squeeze at varied angles</x:v>
      </x:c>
      <x:c r="C190" s="24" t="str">
        <x:v>Thigh &amp; Knee</x:v>
      </x:c>
      <x:c r="D190" s="24" t="str">
        <x:v>Home</x:v>
      </x:c>
      <x:c r="E190" s="24" t="str">
        <x:v>Isometric strength</x:v>
      </x:c>
      <x:c r="F190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G190" s="24" t="str">
        <x:v>—</x:v>
      </x:c>
      <x:c r="H190" s="24" t="str">
        <x:v>Rectus abdominis; External oblique; Internal oblique; Transversus abdominis</x:v>
      </x:c>
      <x:c r="I190" s="24" t="str">
        <x:v>—</x:v>
      </x:c>
      <x:c r="J190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</x:v>
      </x:c>
      <x:c r="K190" s="24" t="str">
        <x:v>Atlas-listed tendon/aponeurosis examples: Adductor tendon through ulnar sesamoid; Common adductor tendon; Broad short insertion; Short proximal tendon; additional listed attachments</x:v>
      </x:c>
      <x:c r="L190" s="24" t="str">
        <x:v>ACL, PCL, MCL, LCL and patellar retinacula stabilize knee; NOT deliberately stretched</x:v>
      </x:c>
      <x:c r="M190" s="24" t="str">
        <x:v>Muscles: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 | Tendons/fascia: Atlas-listed tendon/aponeurosis examples: Adductor tendon through ulnar sesamoid; Common adductor tendon; Broad short insertion; Short proximal tendon; additional listed attachments | Ligament context only: ACL, PCL, MCL, LCL and patellar retinacula stabilize knee; NOT deliberately stretched</x:v>
      </x:c>
      <x:c r="N190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90" s="24" t="str">
        <x:v>Squeeze ball between knees with hips and knees at comfortable angle.</x:v>
      </x:c>
      <x:c r="P190" s="24" t="str">
        <x:v>Soft ball</x:v>
      </x:c>
      <x:c r="Q190" s="24" t="str">
        <x:v>2–3 × 8–12 controlled reps</x:v>
      </x:c>
      <x:c r="R190" s="24" t="str">
        <x:v>Progress gradually; stop with sharp pain, dizziness, or numbness.</x:v>
      </x:c>
      <x:c r="S190" s="24" t="str">
        <x:v>https://www.orthoinfo.org/recovery/knee-conditioning-program</x:v>
      </x:c>
      <x:c r="T190" s="24" t="str">
        <x:v>Anatomy-based mapping</x:v>
      </x:c>
    </x:row>
    <x:row r="191" ht="54" customHeight="1">
      <x:c r="A191" s="24" t="str">
        <x:v>EX0188</x:v>
      </x:c>
      <x:c r="B191" s="24" t="str">
        <x:v>Reverse Nordic lean partial (advanced)</x:v>
      </x:c>
      <x:c r="C191" s="24" t="str">
        <x:v>Thigh &amp; Knee</x:v>
      </x:c>
      <x:c r="D191" s="24" t="str">
        <x:v>Home</x:v>
      </x:c>
      <x:c r="E191" s="24" t="str">
        <x:v>Eccentric strength</x:v>
      </x:c>
      <x:c r="F191" s="24" t="str">
        <x:v>Vastus intermedius; Vastus lateralis; Vastus medialis; Rectus femoris reflected head; Rectus femoris straight head</x:v>
      </x:c>
      <x:c r="G191" s="24" t="str">
        <x:v>—</x:v>
      </x:c>
      <x:c r="H191" s="24" t="str">
        <x:v>Rectus abdominis; External oblique; Internal oblique; Transversus abdominis; Gluteus maximus</x:v>
      </x:c>
      <x:c r="I191" s="24" t="str">
        <x:v>Rectus femoris reflected head; Rectus femoris straight head</x:v>
      </x:c>
      <x:c r="J191" s="24" t="str">
        <x:v>Vastus intermedius; Vastus lateralis; Vastus medialis; Rectus femoris reflected head; Rectus femoris straight head; Rectus abdominis; External oblique; Internal oblique; Transversus abdominis; Gluteus maximus</x:v>
      </x:c>
      <x:c r="K191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91" s="24" t="str">
        <x:v>ACL, PCL, MCL, LCL and patellar retinacula stabilize knee; NOT deliberately stretched</x:v>
      </x:c>
      <x:c r="M191" s="24" t="str">
        <x:v>Muscles: Vastus intermedius; Vastus lateralis; Vastus medialis; Rectus femoris reflected head; Rectus femoris straight head; Rectus abdominis; External oblique; Internal oblique; Transversus abdominis; Gluteus maximus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91" s="24" t="str">
        <x:v>Vastus intermedius; Vastus lateralis; Vastus medialis; Rectus femoris reflected head; Rectus femoris straight head</x:v>
      </x:c>
      <x:c r="O191" s="24" t="str">
        <x:v>Kneel, hinge whole body backward slightly while hips remain extended.</x:v>
      </x:c>
      <x:c r="P191" s="24" t="str">
        <x:v>Mat</x:v>
      </x:c>
      <x:c r="Q191" s="24" t="str">
        <x:v>2–3 × 8–12 controlled reps</x:v>
      </x:c>
      <x:c r="R191" s="24" t="str">
        <x:v>Advanced high knee/quad load; avoid with anterior knee pain.</x:v>
      </x:c>
      <x:c r="S191" s="24" t="str">
        <x:v>https://www.orthoinfo.org/recovery/knee-conditioning-program</x:v>
      </x:c>
      <x:c r="T191" s="24" t="str">
        <x:v>Anatomy-based mapping</x:v>
      </x:c>
    </x:row>
    <x:row r="192" ht="54" customHeight="1">
      <x:c r="A192" s="24" t="str">
        <x:v>EX0189</x:v>
      </x:c>
      <x:c r="B192" s="24" t="str">
        <x:v>Double-leg standing calf raise</x:v>
      </x:c>
      <x:c r="C192" s="24" t="str">
        <x:v>Leg &amp; Ankle</x:v>
      </x:c>
      <x:c r="D192" s="24" t="str">
        <x:v>Home</x:v>
      </x:c>
      <x:c r="E192" s="24" t="str">
        <x:v>Compound strength</x:v>
      </x:c>
      <x:c r="F192" s="24" t="str">
        <x:v>Gastrocnemius lateral head; Gastrocnemius medial head; Soleus; Plantaris</x:v>
      </x:c>
      <x:c r="G192" s="24" t="str">
        <x:v>Tibialis posterior; Fibularis longus</x:v>
      </x:c>
      <x:c r="H192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192" s="24" t="str">
        <x:v>—</x:v>
      </x:c>
      <x:c r="J192" s="24" t="str">
        <x:v>Gastrocnemius lateral head; Gastrocnemius medial head; Soleus; Plantaris; Tibialis posterior; Fibularis longus;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192" s="24" t="str">
        <x:v>Achilles tendon</x:v>
      </x:c>
      <x:c r="L192" s="24" t="str">
        <x:v>Ankle collateral ligaments stabilize but are not stretch targets</x:v>
      </x:c>
      <x:c r="M192" s="24" t="str">
        <x:v>Muscles: Gastrocnemius lateral head; Gastrocnemius medial head; Soleus; Plantaris; Tibialis posterior; Fibularis longus;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Achilles tendon | Ligament context only: Ankle collateral ligaments stabilize but are not stretch targets</x:v>
      </x:c>
      <x:c r="N192" s="24" t="str">
        <x:v>Gastrocnemius lateral head; Gastrocnemius medial head; Soleus; Plantaris; Tibialis posterior; Fibularis longus</x:v>
      </x:c>
      <x:c r="O192" s="24" t="str">
        <x:v>Rise onto balls of feet, pause, lower slowly.</x:v>
      </x:c>
      <x:c r="P192" s="24" t="str">
        <x:v>Step or floor</x:v>
      </x:c>
      <x:c r="Q192" s="24" t="str">
        <x:v>2–3 × 8–12 controlled reps</x:v>
      </x:c>
      <x:c r="R192" s="24" t="str">
        <x:v>Progress gradually; stop with sharp pain, dizziness, or numbness.</x:v>
      </x:c>
      <x:c r="S192" s="24" t="str">
        <x:v>https://www.orthoinfo.org/recovery/foot-and-ankle-conditioning-program</x:v>
      </x:c>
      <x:c r="T192" s="24" t="str">
        <x:v>Anatomy-based mapping</x:v>
      </x:c>
    </x:row>
    <x:row r="193" ht="54" customHeight="1">
      <x:c r="A193" s="24" t="str">
        <x:v>EX0190</x:v>
      </x:c>
      <x:c r="B193" s="24" t="str">
        <x:v>Single-leg standing calf raise</x:v>
      </x:c>
      <x:c r="C193" s="24" t="str">
        <x:v>Leg &amp; Ankle</x:v>
      </x:c>
      <x:c r="D193" s="24" t="str">
        <x:v>Home</x:v>
      </x:c>
      <x:c r="E193" s="24" t="str">
        <x:v>Compound strength</x:v>
      </x:c>
      <x:c r="F193" s="24" t="str">
        <x:v>Gastrocnemius lateral head; Gastrocnemius medial head; Soleus; Plantaris</x:v>
      </x:c>
      <x:c r="G193" s="24" t="str">
        <x:v>Tibialis posterior; Fibularis longus</x:v>
      </x:c>
      <x:c r="H193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Gluteus medius; Gluteus minimus; Tensor fasciae latae</x:v>
      </x:c>
      <x:c r="I193" s="24" t="str">
        <x:v>—</x:v>
      </x:c>
      <x:c r="J193" s="24" t="str">
        <x:v>Gastrocnemius lateral head; Gastrocnemius medial head; Soleus; Plantaris; Tibialis posterior; Fibularis longus;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Gluteus medius; Gluteus minimus; Tensor fasciae latae</x:v>
      </x:c>
      <x:c r="K193" s="24" t="str">
        <x:v>Achilles tendon</x:v>
      </x:c>
      <x:c r="L193" s="24" t="str">
        <x:v>Deltoid ligament and lateral ankle ligaments (ATFL/CFL/PTFL) stabilize ankle; NOT intentionally stretched</x:v>
      </x:c>
      <x:c r="M193" s="24" t="str">
        <x:v>Muscles: Gastrocnemius lateral head; Gastrocnemius medial head; Soleus; Plantaris; Tibialis posterior; Fibularis longus;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Gluteus medius; Gluteus minimus; Tensor fasciae latae | Tendons/fascia: Achilles tendon | Ligament context only: Deltoid ligament and lateral ankle ligaments (ATFL/CFL/PTFL) stabilize ankle; NOT intentionally stretched</x:v>
      </x:c>
      <x:c r="N193" s="24" t="str">
        <x:v>Gastrocnemius lateral head; Gastrocnemius medial head; Soleus; Plantaris; Tibialis posterior; Fibularis longus</x:v>
      </x:c>
      <x:c r="O193" s="24" t="str">
        <x:v>Rise on one leg with fingertips for balance.</x:v>
      </x:c>
      <x:c r="P193" s="24" t="str">
        <x:v>Counter</x:v>
      </x:c>
      <x:c r="Q193" s="24" t="str">
        <x:v>2–3 × 8–12 controlled reps</x:v>
      </x:c>
      <x:c r="R193" s="24" t="str">
        <x:v>Progress gradually; stop with sharp pain, dizziness, or numbness.</x:v>
      </x:c>
      <x:c r="S193" s="24" t="str">
        <x:v>https://www.orthoinfo.org/recovery/foot-and-ankle-conditioning-program</x:v>
      </x:c>
      <x:c r="T193" s="24" t="str">
        <x:v>Anatomy-based mapping</x:v>
      </x:c>
    </x:row>
    <x:row r="194" ht="54" customHeight="1">
      <x:c r="A194" s="24" t="str">
        <x:v>EX0191</x:v>
      </x:c>
      <x:c r="B194" s="24" t="str">
        <x:v>Seated bent-knee calf raise backpack</x:v>
      </x:c>
      <x:c r="C194" s="24" t="str">
        <x:v>Leg &amp; Ankle</x:v>
      </x:c>
      <x:c r="D194" s="24" t="str">
        <x:v>Home</x:v>
      </x:c>
      <x:c r="E194" s="24" t="str">
        <x:v>Compound strength</x:v>
      </x:c>
      <x:c r="F194" s="24" t="str">
        <x:v>Soleus</x:v>
      </x:c>
      <x:c r="G194" s="24" t="str">
        <x:v>Gastrocnemius lateral head; Gastrocnemius medial head</x:v>
      </x:c>
      <x:c r="H194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194" s="24" t="str">
        <x:v>—</x:v>
      </x:c>
      <x:c r="J194" s="24" t="str">
        <x:v>Soleus; Gastrocnemius lateral head; Gastrocnemius medial head;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194" s="24" t="str">
        <x:v>Achilles tendon</x:v>
      </x:c>
      <x:c r="L194" s="24" t="str">
        <x:v>Deltoid ligament and lateral ankle ligaments (ATFL/CFL/PTFL) stabilize ankle; NOT intentionally stretched</x:v>
      </x:c>
      <x:c r="M194" s="24" t="str">
        <x:v>Muscles: Soleus; Gastrocnemius lateral head; Gastrocnemius medial head;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Achilles tendon | Ligament context only: Deltoid ligament and lateral ankle ligaments (ATFL/CFL/PTFL) stabilize ankle; NOT intentionally stretched</x:v>
      </x:c>
      <x:c r="N194" s="24" t="str">
        <x:v>Soleus; Gastrocnemius lateral head; Gastrocnemius medial head</x:v>
      </x:c>
      <x:c r="O194" s="24" t="str">
        <x:v>Sit, knees bent ~90° with backpack on thigh; raise heels.</x:v>
      </x:c>
      <x:c r="P194" s="24" t="str">
        <x:v>Chair; backpack</x:v>
      </x:c>
      <x:c r="Q194" s="24" t="str">
        <x:v>2–3 × 8–12 controlled reps</x:v>
      </x:c>
      <x:c r="R194" s="24" t="str">
        <x:v>Progress gradually; stop with sharp pain, dizziness, or numbness.</x:v>
      </x:c>
      <x:c r="S194" s="24" t="str">
        <x:v>https://www.orthoinfo.org/recovery/foot-and-ankle-conditioning-program</x:v>
      </x:c>
      <x:c r="T194" s="24" t="str">
        <x:v>Anatomy-based mapping</x:v>
      </x:c>
    </x:row>
    <x:row r="195" ht="54" customHeight="1">
      <x:c r="A195" s="24" t="str">
        <x:v>EX0192</x:v>
      </x:c>
      <x:c r="B195" s="24" t="str">
        <x:v>Standing calf raise machine</x:v>
      </x:c>
      <x:c r="C195" s="24" t="str">
        <x:v>Leg &amp; Ankle</x:v>
      </x:c>
      <x:c r="D195" s="24" t="str">
        <x:v>Gym</x:v>
      </x:c>
      <x:c r="E195" s="24" t="str">
        <x:v>Isolation strength</x:v>
      </x:c>
      <x:c r="F195" s="24" t="str">
        <x:v>Gastrocnemius lateral head; Gastrocnemius medial head; Soleus; Plantaris</x:v>
      </x:c>
      <x:c r="G195" s="24" t="str">
        <x:v>Tibialis posterior</x:v>
      </x:c>
      <x:c r="H195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195" s="24" t="str">
        <x:v>—</x:v>
      </x:c>
      <x:c r="J195" s="24" t="str">
        <x:v>Gastrocnemius lateral head; Gastrocnemius medial head; Soleus; Plantaris; Tibialis posterior;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195" s="24" t="str">
        <x:v>Achilles tendon</x:v>
      </x:c>
      <x:c r="L195" s="24" t="str">
        <x:v>Deltoid ligament and lateral ankle ligaments (ATFL/CFL/PTFL) stabilize ankle; NOT intentionally stretched</x:v>
      </x:c>
      <x:c r="M195" s="24" t="str">
        <x:v>Muscles: Gastrocnemius lateral head; Gastrocnemius medial head; Soleus; Plantaris; Tibialis posterior;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Achilles tendon | Ligament context only: Deltoid ligament and lateral ankle ligaments (ATFL/CFL/PTFL) stabilize ankle; NOT intentionally stretched</x:v>
      </x:c>
      <x:c r="N195" s="24" t="str">
        <x:v>Gastrocnemius lateral head; Gastrocnemius medial head; Soleus; Plantaris; Tibialis posterior</x:v>
      </x:c>
      <x:c r="O195" s="24" t="str">
        <x:v>Rise through forefoot then lower under control.</x:v>
      </x:c>
      <x:c r="P195" s="24" t="str">
        <x:v>Calf machine</x:v>
      </x:c>
      <x:c r="Q195" s="24" t="str">
        <x:v>2–3 × 8–12 controlled reps</x:v>
      </x:c>
      <x:c r="R195" s="24" t="str">
        <x:v>Progress gradually; stop with sharp pain, dizziness, or numbness.</x:v>
      </x:c>
      <x:c r="S195" s="24" t="str">
        <x:v>https://www.orthoinfo.org/recovery/foot-and-ankle-conditioning-program</x:v>
      </x:c>
      <x:c r="T195" s="24" t="str">
        <x:v>Anatomy-based mapping</x:v>
      </x:c>
    </x:row>
    <x:row r="196" ht="54" customHeight="1">
      <x:c r="A196" s="24" t="str">
        <x:v>EX0193</x:v>
      </x:c>
      <x:c r="B196" s="24" t="str">
        <x:v>Seated calf raise machine</x:v>
      </x:c>
      <x:c r="C196" s="24" t="str">
        <x:v>Leg &amp; Ankle</x:v>
      </x:c>
      <x:c r="D196" s="24" t="str">
        <x:v>Gym</x:v>
      </x:c>
      <x:c r="E196" s="24" t="str">
        <x:v>Isolation strength</x:v>
      </x:c>
      <x:c r="F196" s="24" t="str">
        <x:v>Soleus</x:v>
      </x:c>
      <x:c r="G196" s="24" t="str">
        <x:v>Gastrocnemius lateral head; Gastrocnemius medial head</x:v>
      </x:c>
      <x:c r="H196" s="24" t="str">
        <x:v>—</x:v>
      </x:c>
      <x:c r="I196" s="24" t="str">
        <x:v>—</x:v>
      </x:c>
      <x:c r="J196" s="24" t="str">
        <x:v>Soleus; Gastrocnemius lateral head; Gastrocnemius medial head</x:v>
      </x:c>
      <x:c r="K196" s="24" t="str">
        <x:v>Achilles tendon</x:v>
      </x:c>
      <x:c r="L196" s="24" t="str">
        <x:v>Deltoid ligament and lateral ankle ligaments (ATFL/CFL/PTFL) stabilize ankle; NOT intentionally stretched</x:v>
      </x:c>
      <x:c r="M196" s="24" t="str">
        <x:v>Muscles: Soleus; Gastrocnemius lateral head; Gastrocnemius medial head | Tendons/fascia: Achilles tendon | Ligament context only: Deltoid ligament and lateral ankle ligaments (ATFL/CFL/PTFL) stabilize ankle; NOT intentionally stretched</x:v>
      </x:c>
      <x:c r="N196" s="24" t="str">
        <x:v>Soleus; Gastrocnemius lateral head; Gastrocnemius medial head</x:v>
      </x:c>
      <x:c r="O196" s="24" t="str">
        <x:v>Keep knees bent and move through ankle plantar flexion.</x:v>
      </x:c>
      <x:c r="P196" s="24" t="str">
        <x:v>Seated calf machine</x:v>
      </x:c>
      <x:c r="Q196" s="24" t="str">
        <x:v>2–3 × 8–12 controlled reps</x:v>
      </x:c>
      <x:c r="R196" s="24" t="str">
        <x:v>Progress gradually; stop with sharp pain, dizziness, or numbness.</x:v>
      </x:c>
      <x:c r="S196" s="24" t="str">
        <x:v>https://www.orthoinfo.org/recovery/foot-and-ankle-conditioning-program</x:v>
      </x:c>
      <x:c r="T196" s="24" t="str">
        <x:v>Anatomy-based mapping</x:v>
      </x:c>
    </x:row>
    <x:row r="197" ht="54" customHeight="1">
      <x:c r="A197" s="24" t="str">
        <x:v>EX0194</x:v>
      </x:c>
      <x:c r="B197" s="24" t="str">
        <x:v>Calf eccentric heel drop straight knee</x:v>
      </x:c>
      <x:c r="C197" s="24" t="str">
        <x:v>Leg &amp; Ankle</x:v>
      </x:c>
      <x:c r="D197" s="24" t="str">
        <x:v>Home</x:v>
      </x:c>
      <x:c r="E197" s="24" t="str">
        <x:v>Eccentric strength</x:v>
      </x:c>
      <x:c r="F197" s="24" t="str">
        <x:v>Gastrocnemius lateral head; Gastrocnemius medial head; Soleus</x:v>
      </x:c>
      <x:c r="G197" s="24" t="str">
        <x:v>Tibialis posterior</x:v>
      </x:c>
      <x:c r="H197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197" s="24" t="str">
        <x:v>—</x:v>
      </x:c>
      <x:c r="J197" s="24" t="str">
        <x:v>Gastrocnemius lateral head; Gastrocnemius medial head; Soleus; Tibialis posterior;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197" s="24" t="str">
        <x:v>Achilles tendon</x:v>
      </x:c>
      <x:c r="L197" s="24" t="str">
        <x:v>Deltoid ligament and lateral ankle ligaments (ATFL/CFL/PTFL) stabilize ankle; NOT intentionally stretched</x:v>
      </x:c>
      <x:c r="M197" s="24" t="str">
        <x:v>Muscles: Gastrocnemius lateral head; Gastrocnemius medial head; Soleus; Tibialis posterior;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Achilles tendon | Ligament context only: Deltoid ligament and lateral ankle ligaments (ATFL/CFL/PTFL) stabilize ankle; NOT intentionally stretched</x:v>
      </x:c>
      <x:c r="N197" s="24" t="str">
        <x:v>Gastrocnemius lateral head; Gastrocnemius medial head; Soleus; Tibialis posterior</x:v>
      </x:c>
      <x:c r="O197" s="24" t="str">
        <x:v>Rise using both legs, lower one heel slowly from floor-level/step if tolerated.</x:v>
      </x:c>
      <x:c r="P197" s="24" t="str">
        <x:v>Step; support</x:v>
      </x:c>
      <x:c r="Q197" s="24" t="str">
        <x:v>2–3 × 8–12 controlled reps</x:v>
      </x:c>
      <x:c r="R197" s="24" t="str">
        <x:v>Avoid deep drops if Achilles insertion pain; clinician guidance if tendinopathy.</x:v>
      </x:c>
      <x:c r="S197" s="24" t="str">
        <x:v>https://www.orthoinfo.org/recovery/foot-and-ankle-conditioning-program</x:v>
      </x:c>
      <x:c r="T197" s="24" t="str">
        <x:v>Anatomy-based mapping</x:v>
      </x:c>
    </x:row>
    <x:row r="198" ht="54" customHeight="1">
      <x:c r="A198" s="24" t="str">
        <x:v>EX0195</x:v>
      </x:c>
      <x:c r="B198" s="24" t="str">
        <x:v>Calf eccentric heel drop bent knee</x:v>
      </x:c>
      <x:c r="C198" s="24" t="str">
        <x:v>Leg &amp; Ankle</x:v>
      </x:c>
      <x:c r="D198" s="24" t="str">
        <x:v>Home</x:v>
      </x:c>
      <x:c r="E198" s="24" t="str">
        <x:v>Eccentric strength</x:v>
      </x:c>
      <x:c r="F198" s="24" t="str">
        <x:v>Soleus</x:v>
      </x:c>
      <x:c r="G198" s="24" t="str">
        <x:v>Gastrocnemius lateral head; Gastrocnemius medial head</x:v>
      </x:c>
      <x:c r="H198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198" s="24" t="str">
        <x:v>—</x:v>
      </x:c>
      <x:c r="J198" s="24" t="str">
        <x:v>Soleus; Gastrocnemius lateral head; Gastrocnemius medial head;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198" s="24" t="str">
        <x:v>Achilles tendon</x:v>
      </x:c>
      <x:c r="L198" s="24" t="str">
        <x:v>Deltoid ligament and lateral ankle ligaments (ATFL/CFL/PTFL) stabilize ankle; NOT intentionally stretched</x:v>
      </x:c>
      <x:c r="M198" s="24" t="str">
        <x:v>Muscles: Soleus; Gastrocnemius lateral head; Gastrocnemius medial head;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Achilles tendon | Ligament context only: Deltoid ligament and lateral ankle ligaments (ATFL/CFL/PTFL) stabilize ankle; NOT intentionally stretched</x:v>
      </x:c>
      <x:c r="N198" s="24" t="str">
        <x:v>Soleus; Gastrocnemius lateral head; Gastrocnemius medial head</x:v>
      </x:c>
      <x:c r="O198" s="24" t="str">
        <x:v>Lower heel slowly with knee moderately bent.</x:v>
      </x:c>
      <x:c r="P198" s="24" t="str">
        <x:v>Step; support</x:v>
      </x:c>
      <x:c r="Q198" s="24" t="str">
        <x:v>2–3 × 8–12 controlled reps</x:v>
      </x:c>
      <x:c r="R198" s="24" t="str">
        <x:v>Progress gradually; stop with sharp pain, dizziness, or numbness.</x:v>
      </x:c>
      <x:c r="S198" s="24" t="str">
        <x:v>https://www.orthoinfo.org/recovery/foot-and-ankle-conditioning-program</x:v>
      </x:c>
      <x:c r="T198" s="24" t="str">
        <x:v>Anatomy-based mapping</x:v>
      </x:c>
    </x:row>
    <x:row r="199" ht="54" customHeight="1">
      <x:c r="A199" s="24" t="str">
        <x:v>EX0196</x:v>
      </x:c>
      <x:c r="B199" s="24" t="str">
        <x:v>Band plantar flexion ankle</x:v>
      </x:c>
      <x:c r="C199" s="24" t="str">
        <x:v>Leg &amp; Ankle</x:v>
      </x:c>
      <x:c r="D199" s="24" t="str">
        <x:v>Home</x:v>
      </x:c>
      <x:c r="E199" s="24" t="str">
        <x:v>Band strength</x:v>
      </x:c>
      <x:c r="F199" s="24" t="str">
        <x:v>Gastrocnemius lateral head; Gastrocnemius medial head; Soleus; Plantaris; Tibialis posterior</x:v>
      </x:c>
      <x:c r="G199" s="24" t="str">
        <x:v>Fibularis longus; Fibularis brevis</x:v>
      </x:c>
      <x:c r="H199" s="24" t="str">
        <x:v>—</x:v>
      </x:c>
      <x:c r="I199" s="24" t="str">
        <x:v>—</x:v>
      </x:c>
      <x:c r="J199" s="24" t="str">
        <x:v>Gastrocnemius lateral head; Gastrocnemius medial head; Soleus; Plantaris; Tibialis posterior; Fibularis longus; Fibularis brevis</x:v>
      </x:c>
      <x:c r="K199" s="24" t="str">
        <x:v>Achilles tendon; tibialis posterior tendon</x:v>
      </x:c>
      <x:c r="L199" s="24" t="str">
        <x:v>Deltoid ligament and lateral ankle ligaments (ATFL/CFL/PTFL) stabilize ankle; NOT intentionally stretched</x:v>
      </x:c>
      <x:c r="M199" s="24" t="str">
        <x:v>Muscles: Gastrocnemius lateral head; Gastrocnemius medial head; Soleus; Plantaris; Tibialis posterior; Fibularis longus; Fibularis brevis | Tendons/fascia: Achilles tendon; tibialis posterior tendon | Ligament context only: Deltoid ligament and lateral ankle ligaments (ATFL/CFL/PTFL) stabilize ankle; NOT intentionally stretched</x:v>
      </x:c>
      <x:c r="N199" s="24" t="str">
        <x:v>Gastrocnemius lateral head; Gastrocnemius medial head; Soleus; Plantaris; Tibialis posterior; Fibularis longus; Fibularis brevis</x:v>
      </x:c>
      <x:c r="O199" s="24" t="str">
        <x:v>Loop band over forefoot and point toes against resistance.</x:v>
      </x:c>
      <x:c r="P199" s="24" t="str">
        <x:v>Resistance band</x:v>
      </x:c>
      <x:c r="Q199" s="24" t="str">
        <x:v>2–3 × 8–12 controlled reps</x:v>
      </x:c>
      <x:c r="R199" s="24" t="str">
        <x:v>Progress gradually; stop with sharp pain, dizziness, or numbness.</x:v>
      </x:c>
      <x:c r="S199" s="24" t="str">
        <x:v>https://www.orthoinfo.org/recovery/foot-and-ankle-conditioning-program</x:v>
      </x:c>
      <x:c r="T199" s="24" t="str">
        <x:v>Anatomy-based mapping</x:v>
      </x:c>
    </x:row>
    <x:row r="200" ht="54" customHeight="1">
      <x:c r="A200" s="24" t="str">
        <x:v>EX0197</x:v>
      </x:c>
      <x:c r="B200" s="24" t="str">
        <x:v>Band ankle dorsiflexion</x:v>
      </x:c>
      <x:c r="C200" s="24" t="str">
        <x:v>Leg &amp; Ankle</x:v>
      </x:c>
      <x:c r="D200" s="24" t="str">
        <x:v>Home</x:v>
      </x:c>
      <x:c r="E200" s="24" t="str">
        <x:v>Band strength</x:v>
      </x:c>
      <x:c r="F200" s="24" t="str">
        <x:v>Tibialis anterior; Extensor digitorum longus; Extensor hallucis longus; Fibularis tertius</x:v>
      </x:c>
      <x:c r="G200" s="24" t="str">
        <x:v>—</x:v>
      </x:c>
      <x:c r="H200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200" s="24" t="str">
        <x:v>—</x:v>
      </x:c>
      <x:c r="J200" s="24" t="str">
        <x:v>Tibialis anterior; Extensor digitorum longus; Extensor hallucis longus; Fibularis tertius;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200" s="24" t="str">
        <x:v>Tibialis anterior and toe extensor tendons</x:v>
      </x:c>
      <x:c r="L200" s="24" t="str">
        <x:v>Deltoid ligament and lateral ankle ligaments (ATFL/CFL/PTFL) stabilize ankle; NOT intentionally stretched</x:v>
      </x:c>
      <x:c r="M200" s="24" t="str">
        <x:v>Muscles: Tibialis anterior; Extensor digitorum longus; Extensor hallucis longus; Fibularis tertius;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Tibialis anterior and toe extensor tendons | Ligament context only: Deltoid ligament and lateral ankle ligaments (ATFL/CFL/PTFL) stabilize ankle; NOT intentionally stretched</x:v>
      </x:c>
      <x:c r="N200" s="24" t="str">
        <x:v>Tibialis anterior; Extensor digitorum longus; Extensor hallucis longus; Fibularis tertius</x:v>
      </x:c>
      <x:c r="O200" s="24" t="str">
        <x:v>Pull foot toward shin with band anchored beyond toes.</x:v>
      </x:c>
      <x:c r="P200" s="24" t="str">
        <x:v>Resistance band</x:v>
      </x:c>
      <x:c r="Q200" s="24" t="str">
        <x:v>2–3 × 8–12 controlled reps</x:v>
      </x:c>
      <x:c r="R200" s="24" t="str">
        <x:v>Progress gradually; stop with sharp pain, dizziness, or numbness.</x:v>
      </x:c>
      <x:c r="S200" s="24" t="str">
        <x:v>https://www.orthoinfo.org/recovery/foot-and-ankle-conditioning-program</x:v>
      </x:c>
      <x:c r="T200" s="24" t="str">
        <x:v>Anatomy-based mapping</x:v>
      </x:c>
    </x:row>
    <x:row r="201" ht="54" customHeight="1">
      <x:c r="A201" s="24" t="str">
        <x:v>EX0198</x:v>
      </x:c>
      <x:c r="B201" s="24" t="str">
        <x:v>Wall tibialis anterior raises</x:v>
      </x:c>
      <x:c r="C201" s="24" t="str">
        <x:v>Leg &amp; Ankle</x:v>
      </x:c>
      <x:c r="D201" s="24" t="str">
        <x:v>Home</x:v>
      </x:c>
      <x:c r="E201" s="24" t="str">
        <x:v>Isolation strength</x:v>
      </x:c>
      <x:c r="F201" s="24" t="str">
        <x:v>Tibialis anterior</x:v>
      </x:c>
      <x:c r="G201" s="24" t="str">
        <x:v>Extensor digitorum longus; Extensor hallucis longus; Fibularis tertius</x:v>
      </x:c>
      <x:c r="H201" s="24" t="str">
        <x:v>—</x:v>
      </x:c>
      <x:c r="I201" s="24" t="str">
        <x:v>—</x:v>
      </x:c>
      <x:c r="J201" s="24" t="str">
        <x:v>Tibialis anterior; Extensor digitorum longus; Extensor hallucis longus; Fibularis tertius</x:v>
      </x:c>
      <x:c r="K201" s="24" t="str">
        <x:v>Tibialis anterior tendon</x:v>
      </x:c>
      <x:c r="L201" s="24" t="str">
        <x:v>Deltoid ligament and lateral ankle ligaments (ATFL/CFL/PTFL) stabilize ankle; NOT intentionally stretched</x:v>
      </x:c>
      <x:c r="M201" s="24" t="str">
        <x:v>Muscles: Tibialis anterior; Extensor digitorum longus; Extensor hallucis longus; Fibularis tertius | Tendons/fascia: Tibialis anterior tendon | Ligament context only: Deltoid ligament and lateral ankle ligaments (ATFL/CFL/PTFL) stabilize ankle; NOT intentionally stretched</x:v>
      </x:c>
      <x:c r="N201" s="24" t="str">
        <x:v>Tibialis anterior; Extensor digitorum longus; Extensor hallucis longus; Fibularis tertius</x:v>
      </x:c>
      <x:c r="O201" s="24" t="str">
        <x:v>Lean back against wall with heels forward; lift toes off ground.</x:v>
      </x:c>
      <x:c r="P201" s="24" t="str">
        <x:v>Wall</x:v>
      </x:c>
      <x:c r="Q201" s="24" t="str">
        <x:v>2–3 × 8–12 controlled reps</x:v>
      </x:c>
      <x:c r="R201" s="24" t="str">
        <x:v>Progress gradually; stop with sharp pain, dizziness, or numbness.</x:v>
      </x:c>
      <x:c r="S201" s="24" t="str">
        <x:v>https://www.orthoinfo.org/recovery/foot-and-ankle-conditioning-program</x:v>
      </x:c>
      <x:c r="T201" s="24" t="str">
        <x:v>Anatomy-based mapping</x:v>
      </x:c>
    </x:row>
    <x:row r="202" ht="54" customHeight="1">
      <x:c r="A202" s="24" t="str">
        <x:v>EX0199</x:v>
      </x:c>
      <x:c r="B202" s="24" t="str">
        <x:v>Tibialis raise machine / dumbbell foot lift</x:v>
      </x:c>
      <x:c r="C202" s="24" t="str">
        <x:v>Leg &amp; Ankle</x:v>
      </x:c>
      <x:c r="D202" s="24" t="str">
        <x:v>Gym</x:v>
      </x:c>
      <x:c r="E202" s="24" t="str">
        <x:v>Isolation strength</x:v>
      </x:c>
      <x:c r="F202" s="24" t="str">
        <x:v>Tibialis anterior</x:v>
      </x:c>
      <x:c r="G202" s="24" t="str">
        <x:v>Extensor digitorum longus; Extensor hallucis longus; Fibularis tertius</x:v>
      </x:c>
      <x:c r="H202" s="24" t="str">
        <x:v>—</x:v>
      </x:c>
      <x:c r="I202" s="24" t="str">
        <x:v>—</x:v>
      </x:c>
      <x:c r="J202" s="24" t="str">
        <x:v>Tibialis anterior; Extensor digitorum longus; Extensor hallucis longus; Fibularis tertius</x:v>
      </x:c>
      <x:c r="K202" s="24" t="str">
        <x:v>Tibialis anterior tendon</x:v>
      </x:c>
      <x:c r="L202" s="24" t="str">
        <x:v>Deltoid ligament and lateral ankle ligaments (ATFL/CFL/PTFL) stabilize ankle; NOT intentionally stretched</x:v>
      </x:c>
      <x:c r="M202" s="24" t="str">
        <x:v>Muscles: Tibialis anterior; Extensor digitorum longus; Extensor hallucis longus; Fibularis tertius | Tendons/fascia: Tibialis anterior tendon | Ligament context only: Deltoid ligament and lateral ankle ligaments (ATFL/CFL/PTFL) stabilize ankle; NOT intentionally stretched</x:v>
      </x:c>
      <x:c r="N202" s="24" t="str">
        <x:v>Tibialis anterior; Extensor digitorum longus; Extensor hallucis longus; Fibularis tertius</x:v>
      </x:c>
      <x:c r="O202" s="24" t="str">
        <x:v>Dorsiflex foot against very light load, knee still.</x:v>
      </x:c>
      <x:c r="P202" s="24" t="str">
        <x:v>Tib bar or ankle attachment</x:v>
      </x:c>
      <x:c r="Q202" s="24" t="str">
        <x:v>2–3 × 8–12 controlled reps</x:v>
      </x:c>
      <x:c r="R202" s="24" t="str">
        <x:v>Progress gradually; stop with sharp pain, dizziness, or numbness.</x:v>
      </x:c>
      <x:c r="S202" s="24" t="str">
        <x:v>https://www.orthoinfo.org/recovery/foot-and-ankle-conditioning-program</x:v>
      </x:c>
      <x:c r="T202" s="24" t="str">
        <x:v>Anatomy-based mapping</x:v>
      </x:c>
    </x:row>
    <x:row r="203" ht="54" customHeight="1">
      <x:c r="A203" s="24" t="str">
        <x:v>EX0200</x:v>
      </x:c>
      <x:c r="B203" s="24" t="str">
        <x:v>Band inversion (tibialis posterior focus)</x:v>
      </x:c>
      <x:c r="C203" s="24" t="str">
        <x:v>Leg &amp; Ankle</x:v>
      </x:c>
      <x:c r="D203" s="24" t="str">
        <x:v>Home</x:v>
      </x:c>
      <x:c r="E203" s="24" t="str">
        <x:v>Band strength</x:v>
      </x:c>
      <x:c r="F203" s="24" t="str">
        <x:v>Tibialis posterior; Tibialis anterior</x:v>
      </x:c>
      <x:c r="G203" s="24" t="str">
        <x:v>—</x:v>
      </x:c>
      <x:c r="H203" s="24" t="str">
        <x:v>Gastrocnemius lateral head; Gastrocnemius medial head; Soleus; Plantaris</x:v>
      </x:c>
      <x:c r="I203" s="24" t="str">
        <x:v>—</x:v>
      </x:c>
      <x:c r="J203" s="24" t="str">
        <x:v>Tibialis posterior; Tibialis anterior; Gastrocnemius lateral head; Gastrocnemius medial head; Soleus; Plantaris</x:v>
      </x:c>
      <x:c r="K203" s="24" t="str">
        <x:v>Posterior tibial tendon; tibialis anterior tendon</x:v>
      </x:c>
      <x:c r="L203" s="24" t="str">
        <x:v>Deltoid ligament stabilizes medial ankle; do not force eversion</x:v>
      </x:c>
      <x:c r="M203" s="24" t="str">
        <x:v>Muscles: Tibialis posterior; Tibialis anterior; Gastrocnemius lateral head; Gastrocnemius medial head; Soleus; Plantaris | Tendons/fascia: Posterior tibial tendon; tibialis anterior tendon | Ligament context only: Deltoid ligament stabilizes medial ankle; do not force eversion</x:v>
      </x:c>
      <x:c r="N203" s="24" t="str">
        <x:v>Tibialis posterior; Tibialis anterior</x:v>
      </x:c>
      <x:c r="O203" s="24" t="str">
        <x:v>Turn sole inward against anchored band, keeping knee still.</x:v>
      </x:c>
      <x:c r="P203" s="24" t="str">
        <x:v>Resistance band</x:v>
      </x:c>
      <x:c r="Q203" s="24" t="str">
        <x:v>2–3 × 8–12 controlled reps</x:v>
      </x:c>
      <x:c r="R203" s="24" t="str">
        <x:v>Progress gradually; stop with sharp pain, dizziness, or numbness.</x:v>
      </x:c>
      <x:c r="S203" s="24" t="str">
        <x:v>https://www.orthoinfo.org/recovery/foot-and-ankle-conditioning-program</x:v>
      </x:c>
      <x:c r="T203" s="24" t="str">
        <x:v>Anatomy-based mapping</x:v>
      </x:c>
    </x:row>
    <x:row r="204" ht="54" customHeight="1">
      <x:c r="A204" s="24" t="str">
        <x:v>EX0201</x:v>
      </x:c>
      <x:c r="B204" s="24" t="str">
        <x:v>Band eversion (fibularis focus)</x:v>
      </x:c>
      <x:c r="C204" s="24" t="str">
        <x:v>Leg &amp; Ankle</x:v>
      </x:c>
      <x:c r="D204" s="24" t="str">
        <x:v>Home</x:v>
      </x:c>
      <x:c r="E204" s="24" t="str">
        <x:v>Band strength</x:v>
      </x:c>
      <x:c r="F204" s="24" t="str">
        <x:v>Fibularis longus; Fibularis brevis; Fibularis tertius</x:v>
      </x:c>
      <x:c r="G204" s="24" t="str">
        <x:v>—</x:v>
      </x:c>
      <x:c r="H204" s="24" t="str">
        <x:v>Gastrocnemius lateral head; Gastrocnemius medial head; Soleus; Plantaris</x:v>
      </x:c>
      <x:c r="I204" s="24" t="str">
        <x:v>—</x:v>
      </x:c>
      <x:c r="J204" s="24" t="str">
        <x:v>Fibularis longus; Fibularis brevis; Fibularis tertius; Gastrocnemius lateral head; Gastrocnemius medial head; Soleus; Plantaris</x:v>
      </x:c>
      <x:c r="K204" s="24" t="str">
        <x:v>Fibularis longus/brevis/tertius tendons</x:v>
      </x:c>
      <x:c r="L204" s="24" t="str">
        <x:v>Lateral ankle ligaments resist excessive inversion; not stretch targets</x:v>
      </x:c>
      <x:c r="M204" s="24" t="str">
        <x:v>Muscles: Fibularis longus; Fibularis brevis; Fibularis tertius; Gastrocnemius lateral head; Gastrocnemius medial head; Soleus; Plantaris | Tendons/fascia: Fibularis longus/brevis/tertius tendons | Ligament context only: Lateral ankle ligaments resist excessive inversion; not stretch targets</x:v>
      </x:c>
      <x:c r="N204" s="24" t="str">
        <x:v>Fibularis longus; Fibularis brevis; Fibularis tertius</x:v>
      </x:c>
      <x:c r="O204" s="24" t="str">
        <x:v>Turn sole outward against band without whole-leg rotation.</x:v>
      </x:c>
      <x:c r="P204" s="24" t="str">
        <x:v>Resistance band</x:v>
      </x:c>
      <x:c r="Q204" s="24" t="str">
        <x:v>2–3 × 8–12 controlled reps</x:v>
      </x:c>
      <x:c r="R204" s="24" t="str">
        <x:v>Progress gradually; stop with sharp pain, dizziness, or numbness.</x:v>
      </x:c>
      <x:c r="S204" s="24" t="str">
        <x:v>https://www.orthoinfo.org/recovery/foot-and-ankle-conditioning-program</x:v>
      </x:c>
      <x:c r="T204" s="24" t="str">
        <x:v>Anatomy-based mapping</x:v>
      </x:c>
    </x:row>
    <x:row r="205" ht="54" customHeight="1">
      <x:c r="A205" s="24" t="str">
        <x:v>EX0202</x:v>
      </x:c>
      <x:c r="B205" s="24" t="str">
        <x:v>Resisted great-toe extension</x:v>
      </x:c>
      <x:c r="C205" s="24" t="str">
        <x:v>Leg &amp; Ankle</x:v>
      </x:c>
      <x:c r="D205" s="24" t="str">
        <x:v>Home</x:v>
      </x:c>
      <x:c r="E205" s="24" t="str">
        <x:v>Band strength</x:v>
      </x:c>
      <x:c r="F205" s="24" t="str">
        <x:v>Extensor hallucis longus; Extensor hallucis brevis</x:v>
      </x:c>
      <x:c r="G205" s="24" t="str">
        <x:v>—</x:v>
      </x:c>
      <x:c r="H205" s="24" t="str">
        <x:v>—</x:v>
      </x:c>
      <x:c r="I205" s="24" t="str">
        <x:v>—</x:v>
      </x:c>
      <x:c r="J205" s="24" t="str">
        <x:v>Extensor hallucis longus; Extensor hallucis brevis</x:v>
      </x:c>
      <x:c r="K205" s="24" t="str">
        <x:v>EHL and EHB tendons</x:v>
      </x:c>
      <x:c r="L205" s="24" t="str">
        <x:v>Deltoid ligament and lateral ankle ligaments (ATFL/CFL/PTFL) stabilize ankle; NOT intentionally stretched</x:v>
      </x:c>
      <x:c r="M205" s="24" t="str">
        <x:v>Muscles: Extensor hallucis longus; Extensor hallucis brevis | Tendons/fascia: EHL and EHB tendons | Ligament context only: Deltoid ligament and lateral ankle ligaments (ATFL/CFL/PTFL) stabilize ankle; NOT intentionally stretched</x:v>
      </x:c>
      <x:c r="N205" s="24" t="str">
        <x:v>Extensor hallucis longus; Extensor hallucis brevis</x:v>
      </x:c>
      <x:c r="O205" s="24" t="str">
        <x:v>Lift big toe against very light elastic without curling lesser toes.</x:v>
      </x:c>
      <x:c r="P205" s="24" t="str">
        <x:v>Light elastic</x:v>
      </x:c>
      <x:c r="Q205" s="24" t="str">
        <x:v>2–3 × 8–12 controlled reps</x:v>
      </x:c>
      <x:c r="R205" s="24" t="str">
        <x:v>Progress gradually; stop with sharp pain, dizziness, or numbness.</x:v>
      </x:c>
      <x:c r="S205" s="24" t="str">
        <x:v>https://www.orthoinfo.org/recovery/foot-and-ankle-conditioning-program</x:v>
      </x:c>
      <x:c r="T205" s="24" t="str">
        <x:v>Anatomy-based mapping</x:v>
      </x:c>
    </x:row>
    <x:row r="206" ht="54" customHeight="1">
      <x:c r="A206" s="24" t="str">
        <x:v>EX0203</x:v>
      </x:c>
      <x:c r="B206" s="24" t="str">
        <x:v>Resisted lesser-toe extension</x:v>
      </x:c>
      <x:c r="C206" s="24" t="str">
        <x:v>Leg &amp; Ankle</x:v>
      </x:c>
      <x:c r="D206" s="24" t="str">
        <x:v>Home</x:v>
      </x:c>
      <x:c r="E206" s="24" t="str">
        <x:v>Band strength</x:v>
      </x:c>
      <x:c r="F206" s="24" t="str">
        <x:v>Extensor digitorum longus; Extensor digitorum brevis</x:v>
      </x:c>
      <x:c r="G206" s="24" t="str">
        <x:v>—</x:v>
      </x:c>
      <x:c r="H206" s="24" t="str">
        <x:v>—</x:v>
      </x:c>
      <x:c r="I206" s="24" t="str">
        <x:v>—</x:v>
      </x:c>
      <x:c r="J206" s="24" t="str">
        <x:v>Extensor digitorum longus; Extensor digitorum brevis</x:v>
      </x:c>
      <x:c r="K206" s="24" t="str">
        <x:v>EDL and EDB extensor tendons</x:v>
      </x:c>
      <x:c r="L206" s="24" t="str">
        <x:v>Deltoid ligament and lateral ankle ligaments (ATFL/CFL/PTFL) stabilize ankle; NOT intentionally stretched</x:v>
      </x:c>
      <x:c r="M206" s="24" t="str">
        <x:v>Muscles: Extensor digitorum longus; Extensor digitorum brevis | Tendons/fascia: EDL and EDB extensor tendons | Ligament context only: Deltoid ligament and lateral ankle ligaments (ATFL/CFL/PTFL) stabilize ankle; NOT intentionally stretched</x:v>
      </x:c>
      <x:c r="N206" s="24" t="str">
        <x:v>Extensor digitorum longus; Extensor digitorum brevis</x:v>
      </x:c>
      <x:c r="O206" s="24" t="str">
        <x:v>Extend lesser toes against soft elastic while ankle still.</x:v>
      </x:c>
      <x:c r="P206" s="24" t="str">
        <x:v>Light elastic</x:v>
      </x:c>
      <x:c r="Q206" s="24" t="str">
        <x:v>2–3 × 8–12 controlled reps</x:v>
      </x:c>
      <x:c r="R206" s="24" t="str">
        <x:v>Progress gradually; stop with sharp pain, dizziness, or numbness.</x:v>
      </x:c>
      <x:c r="S206" s="24" t="str">
        <x:v>https://www.orthoinfo.org/recovery/foot-and-ankle-conditioning-program</x:v>
      </x:c>
      <x:c r="T206" s="24" t="str">
        <x:v>Anatomy-based mapping</x:v>
      </x:c>
    </x:row>
    <x:row r="207" ht="54" customHeight="1">
      <x:c r="A207" s="24" t="str">
        <x:v>EX0204</x:v>
      </x:c>
      <x:c r="B207" s="24" t="str">
        <x:v>Resisted hallux flexion</x:v>
      </x:c>
      <x:c r="C207" s="24" t="str">
        <x:v>Leg &amp; Ankle</x:v>
      </x:c>
      <x:c r="D207" s="24" t="str">
        <x:v>Home</x:v>
      </x:c>
      <x:c r="E207" s="24" t="str">
        <x:v>Band strength</x:v>
      </x:c>
      <x:c r="F207" s="24" t="str">
        <x:v>Flexor hallucis longus; Flexor hallucis brevis lateral head; Flexor hallucis brevis medial head</x:v>
      </x:c>
      <x:c r="G207" s="24" t="str">
        <x:v>Abductor hallucis</x:v>
      </x:c>
      <x:c r="H207" s="24" t="str">
        <x:v>—</x:v>
      </x:c>
      <x:c r="I207" s="24" t="str">
        <x:v>—</x:v>
      </x:c>
      <x:c r="J207" s="24" t="str">
        <x:v>Flexor hallucis longus; Flexor hallucis brevis lateral head; Flexor hallucis brevis medial head; Abductor hallucis</x:v>
      </x:c>
      <x:c r="K207" s="24" t="str">
        <x:v>Flexor hallucis longus tendon</x:v>
      </x:c>
      <x:c r="L207" s="24" t="str">
        <x:v>Deltoid ligament and lateral ankle ligaments (ATFL/CFL/PTFL) stabilize ankle; NOT intentionally stretched</x:v>
      </x:c>
      <x:c r="M207" s="24" t="str">
        <x:v>Muscles: Flexor hallucis longus; Flexor hallucis brevis lateral head; Flexor hallucis brevis medial head; Abductor hallucis | Tendons/fascia: Flexor hallucis longus tendon | Ligament context only: Deltoid ligament and lateral ankle ligaments (ATFL/CFL/PTFL) stabilize ankle; NOT intentionally stretched</x:v>
      </x:c>
      <x:c r="N207" s="24" t="str">
        <x:v>Flexor hallucis longus; Flexor hallucis brevis lateral head; Flexor hallucis brevis medial head; Abductor hallucis</x:v>
      </x:c>
      <x:c r="O207" s="24" t="str">
        <x:v>Press big toe down against elastic while midfoot stays relaxed.</x:v>
      </x:c>
      <x:c r="P207" s="24" t="str">
        <x:v>Light band</x:v>
      </x:c>
      <x:c r="Q207" s="24" t="str">
        <x:v>2–3 × 8–12 controlled reps</x:v>
      </x:c>
      <x:c r="R207" s="24" t="str">
        <x:v>Progress gradually; stop with sharp pain, dizziness, or numbness.</x:v>
      </x:c>
      <x:c r="S207" s="24" t="str">
        <x:v>https://www.orthoinfo.org/recovery/foot-and-ankle-conditioning-program</x:v>
      </x:c>
      <x:c r="T207" s="24" t="str">
        <x:v>Anatomy-based mapping</x:v>
      </x:c>
    </x:row>
    <x:row r="208" ht="54" customHeight="1">
      <x:c r="A208" s="24" t="str">
        <x:v>EX0205</x:v>
      </x:c>
      <x:c r="B208" s="24" t="str">
        <x:v>Resisted lesser toe flexion</x:v>
      </x:c>
      <x:c r="C208" s="24" t="str">
        <x:v>Leg &amp; Ankle</x:v>
      </x:c>
      <x:c r="D208" s="24" t="str">
        <x:v>Home</x:v>
      </x:c>
      <x:c r="E208" s="24" t="str">
        <x:v>Band strength</x:v>
      </x:c>
      <x:c r="F208" s="24" t="str">
        <x:v>Flexor digitorum longus; Flexor digitorum brevis; Quadratus plantae lateral head; Quadratus plantae medial head</x:v>
      </x:c>
      <x:c r="G208" s="24" t="str">
        <x:v>—</x:v>
      </x:c>
      <x:c r="H208" s="24" t="str">
        <x:v>Abductor hallucis; Abductor digiti minimi (foot); Adductor hallucis oblique head; Adductor hallucis transverse head; Flexor hallucis brevis lateral head; Flexor hallucis brevis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208" s="24" t="str">
        <x:v>—</x:v>
      </x:c>
      <x:c r="J208" s="24" t="str">
        <x:v>Flexor digitorum longus; Flexor digitorum brevis; Quadratus plantae lateral head; Quadratus plantae medial head; Abductor hallucis; Abductor digiti minimi (foot); Adductor hallucis oblique head; Adductor hallucis transverse head; Flexor hallucis brevis lateral head; Flexor hallucis brevis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208" s="24" t="str">
        <x:v>FDL/FDB tendons</x:v>
      </x:c>
      <x:c r="L208" s="24" t="str">
        <x:v>Deltoid ligament and lateral ankle ligaments (ATFL/CFL/PTFL) stabilize ankle; NOT intentionally stretched</x:v>
      </x:c>
      <x:c r="M208" s="24" t="str">
        <x:v>Muscles: Flexor digitorum longus; Flexor digitorum brevis; Quadratus plantae lateral head; Quadratus plantae medial head; Abductor hallucis; Abductor digiti minimi (foot); Adductor hallucis oblique head; Adductor hallucis transverse head; Flexor hallucis brevis lateral head; Flexor hallucis brevis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FDL/FDB tendons | Ligament context only: Deltoid ligament and lateral ankle ligaments (ATFL/CFL/PTFL) stabilize ankle; NOT intentionally stretched</x:v>
      </x:c>
      <x:c r="N208" s="24" t="str">
        <x:v>Flexor digitorum longus; Flexor digitorum brevis; Quadratus plantae lateral head; Quadratus plantae medial head</x:v>
      </x:c>
      <x:c r="O208" s="24" t="str">
        <x:v>Curl toes gently against towel/band keeping ankle still.</x:v>
      </x:c>
      <x:c r="P208" s="24" t="str">
        <x:v>Towel/band</x:v>
      </x:c>
      <x:c r="Q208" s="24" t="str">
        <x:v>2–3 × 8–12 controlled reps</x:v>
      </x:c>
      <x:c r="R208" s="24" t="str">
        <x:v>Progress gradually; stop with sharp pain, dizziness, or numbness.</x:v>
      </x:c>
      <x:c r="S208" s="24" t="str">
        <x:v>https://www.orthoinfo.org/recovery/foot-and-ankle-conditioning-program</x:v>
      </x:c>
      <x:c r="T208" s="24" t="str">
        <x:v>Anatomy-based mapping</x:v>
      </x:c>
    </x:row>
    <x:row r="209" ht="54" customHeight="1">
      <x:c r="A209" s="24" t="str">
        <x:v>EX0206</x:v>
      </x:c>
      <x:c r="B209" s="24" t="str">
        <x:v>Short foot / arch doming</x:v>
      </x:c>
      <x:c r="C209" s="24" t="str">
        <x:v>Leg &amp; Ankle</x:v>
      </x:c>
      <x:c r="D209" s="24" t="str">
        <x:v>Home</x:v>
      </x:c>
      <x:c r="E209" s="24" t="str">
        <x:v>Motor control</x:v>
      </x:c>
      <x:c r="F209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Tibialis posterior</x:v>
      </x:c>
      <x:c r="G209" s="24" t="str">
        <x:v>Fibularis longus</x:v>
      </x:c>
      <x:c r="H209" s="24" t="str">
        <x:v>Gastrocnemius lateral head; Gastrocnemius medial head; Soleus; Plantaris; Gluteus medius; Gluteus minimus; Tensor fasciae latae</x:v>
      </x:c>
      <x:c r="I209" s="24" t="str">
        <x:v>—</x:v>
      </x:c>
      <x:c r="J209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Tibialis posterior; Fibularis longus; Gastrocnemius lateral head; Gastrocnemius medial head; Soleus; Plantaris; Gluteus medius; Gluteus minimus; Tensor fasciae latae</x:v>
      </x:c>
      <x:c r="K209" s="24" t="str">
        <x:v>Plantar aponeurosis; posterior tibial tendon</x:v>
      </x:c>
      <x:c r="L209" s="24" t="str">
        <x:v>Spring ligament and plantar ligaments support arch passively</x:v>
      </x:c>
      <x:c r="M209" s="24" t="str">
        <x:v>Muscles: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Tibialis posterior; Fibularis longus; Gastrocnemius lateral head; Gastrocnemius medial head; Soleus; Plantaris; Gluteus medius; Gluteus minimus; Tensor fasciae latae | Tendons/fascia: Plantar aponeurosis; posterior tibial tendon | Ligament context only: Spring ligament and plantar ligaments support arch passively</x:v>
      </x:c>
      <x:c r="N209" s="24" t="str">
        <x:v>Low-load activation, not ordinarily to fatigue: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Tibialis posterior</x:v>
      </x:c>
      <x:c r="O209" s="24" t="str">
        <x:v>Draw ball of foot toward heel without curling toes; maintain tripod foot.</x:v>
      </x:c>
      <x:c r="P209" s="24" t="str">
        <x:v>Floor</x:v>
      </x:c>
      <x:c r="Q209" s="24" t="str">
        <x:v>1–2 × 5–10 controlled reps</x:v>
      </x:c>
      <x:c r="R209" s="24" t="str">
        <x:v>Progress gradually; stop with sharp pain, dizziness, or numbness.</x:v>
      </x:c>
      <x:c r="S209" s="24" t="str">
        <x:v>https://www.orthoinfo.org/recovery/foot-and-ankle-conditioning-program</x:v>
      </x:c>
      <x:c r="T209" s="24" t="str">
        <x:v>Anatomy-based mapping</x:v>
      </x:c>
    </x:row>
    <x:row r="210" ht="54" customHeight="1">
      <x:c r="A210" s="24" t="str">
        <x:v>EX0207</x:v>
      </x:c>
      <x:c r="B210" s="24" t="str">
        <x:v>Towel toe scrunches</x:v>
      </x:c>
      <x:c r="C210" s="24" t="str">
        <x:v>Leg &amp; Ankle</x:v>
      </x:c>
      <x:c r="D210" s="24" t="str">
        <x:v>Home</x:v>
      </x:c>
      <x:c r="E210" s="24" t="str">
        <x:v>Isolation strength</x:v>
      </x:c>
      <x:c r="F210" s="24" t="str">
        <x:v>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</x:v>
      </x:c>
      <x:c r="G210" s="24" t="str">
        <x:v>—</x:v>
      </x:c>
      <x:c r="H210" s="24" t="str">
        <x:v>—</x:v>
      </x:c>
      <x:c r="I210" s="24" t="str">
        <x:v>—</x:v>
      </x:c>
      <x:c r="J210" s="24" t="str">
        <x:v>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</x:v>
      </x:c>
      <x:c r="K210" s="24" t="str">
        <x:v>Flexor digitorum tendons; plantar fascia</x:v>
      </x:c>
      <x:c r="L210" s="24" t="str">
        <x:v>Deltoid ligament and lateral ankle ligaments (ATFL/CFL/PTFL) stabilize ankle; NOT intentionally stretched</x:v>
      </x:c>
      <x:c r="M210" s="24" t="str">
        <x:v>Muscles: 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 | Tendons/fascia: Flexor digitorum tendons; plantar fascia | Ligament context only: Deltoid ligament and lateral ankle ligaments (ATFL/CFL/PTFL) stabilize ankle; NOT intentionally stretched</x:v>
      </x:c>
      <x:c r="N210" s="24" t="str">
        <x:v>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</x:v>
      </x:c>
      <x:c r="O210" s="24" t="str">
        <x:v>Curl towel toward heel using toes.</x:v>
      </x:c>
      <x:c r="P210" s="24" t="str">
        <x:v>Towel</x:v>
      </x:c>
      <x:c r="Q210" s="24" t="str">
        <x:v>2–3 × 8–12 controlled reps</x:v>
      </x:c>
      <x:c r="R210" s="24" t="str">
        <x:v>Progress gradually; stop with sharp pain, dizziness, or numbness.</x:v>
      </x:c>
      <x:c r="S210" s="24" t="str">
        <x:v>https://www.orthoinfo.org/recovery/foot-and-ankle-conditioning-program</x:v>
      </x:c>
      <x:c r="T210" s="24" t="str">
        <x:v>Anatomy-based mapping</x:v>
      </x:c>
    </x:row>
    <x:row r="211" ht="54" customHeight="1">
      <x:c r="A211" s="24" t="str">
        <x:v>EX0208</x:v>
      </x:c>
      <x:c r="B211" s="24" t="str">
        <x:v>Marble pick-up with toes</x:v>
      </x:c>
      <x:c r="C211" s="24" t="str">
        <x:v>Leg &amp; Ankle</x:v>
      </x:c>
      <x:c r="D211" s="24" t="str">
        <x:v>Home</x:v>
      </x:c>
      <x:c r="E211" s="24" t="str">
        <x:v>Motor control</x:v>
      </x:c>
      <x:c r="F211" s="24" t="str">
        <x:v>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</x:v>
      </x:c>
      <x:c r="G211" s="24" t="str">
        <x:v>—</x:v>
      </x:c>
      <x:c r="H211" s="24" t="str">
        <x:v>—</x:v>
      </x:c>
      <x:c r="I211" s="24" t="str">
        <x:v>—</x:v>
      </x:c>
      <x:c r="J211" s="24" t="str">
        <x:v>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</x:v>
      </x:c>
      <x:c r="K211" s="24" t="str">
        <x:v>Flexor digitorum longus/brevis tendons</x:v>
      </x:c>
      <x:c r="L211" s="24" t="str">
        <x:v>Deltoid ligament and lateral ankle ligaments (ATFL/CFL/PTFL) stabilize ankle; NOT intentionally stretched</x:v>
      </x:c>
      <x:c r="M211" s="24" t="str">
        <x:v>Muscles: 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 | Tendons/fascia: Flexor digitorum longus/brevis tendons | Ligament context only: Deltoid ligament and lateral ankle ligaments (ATFL/CFL/PTFL) stabilize ankle; NOT intentionally stretched</x:v>
      </x:c>
      <x:c r="N211" s="24" t="str">
        <x:v>Low-load activation, not ordinarily to fatigue: 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</x:v>
      </x:c>
      <x:c r="O211" s="24" t="str">
        <x:v>Pick up soft objects using toes, replace gently.</x:v>
      </x:c>
      <x:c r="P211" s="24" t="str">
        <x:v>Small soft objects</x:v>
      </x:c>
      <x:c r="Q211" s="24" t="str">
        <x:v>1–2 × 5–10 controlled reps</x:v>
      </x:c>
      <x:c r="R211" s="24" t="str">
        <x:v>Progress gradually; stop with sharp pain, dizziness, or numbness.</x:v>
      </x:c>
      <x:c r="S211" s="24" t="str">
        <x:v>https://www.orthoinfo.org/recovery/foot-and-ankle-conditioning-program</x:v>
      </x:c>
      <x:c r="T211" s="24" t="str">
        <x:v>Anatomy-based mapping</x:v>
      </x:c>
    </x:row>
    <x:row r="212" ht="54" customHeight="1">
      <x:c r="A212" s="24" t="str">
        <x:v>EX0209</x:v>
      </x:c>
      <x:c r="B212" s="24" t="str">
        <x:v>Toe spread and splay</x:v>
      </x:c>
      <x:c r="C212" s="24" t="str">
        <x:v>Leg &amp; Ankle</x:v>
      </x:c>
      <x:c r="D212" s="24" t="str">
        <x:v>Home</x:v>
      </x:c>
      <x:c r="E212" s="24" t="str">
        <x:v>Motor control</x:v>
      </x:c>
      <x:c r="F212" s="24" t="str">
        <x:v>Dorsal interosseous 1 (foot); Dorsal interosseous 2 (foot); Dorsal interosseous 3 (foot); Dorsal interosseous 4 (foot); Abductor hallucis; Abductor digiti minimi (foot)</x:v>
      </x:c>
      <x:c r="G212" s="24" t="str">
        <x:v>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Plantar interosseous 1 (third toe); Plantar interosseous 2 (fourth toe); Plantar interosseous 3 (fifth toe); Flexor digiti minimi brevis (foot); Opponens digiti minimi (foot, variable)</x:v>
      </x:c>
      <x:c r="H212" s="24" t="str">
        <x:v>—</x:v>
      </x:c>
      <x:c r="I212" s="24" t="str">
        <x:v>—</x:v>
      </x:c>
      <x:c r="J212" s="24" t="str">
        <x:v>Dorsal interosseous 1 (foot); Dorsal interosseous 2 (foot); Dorsal interosseous 3 (foot); Dorsal interosseous 4 (foot);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Plantar interosseous 1 (third toe); Plantar interosseous 2 (fourth toe); Plantar interosseous 3 (fifth toe); Flexor digiti minimi brevis (foot); Opponens digiti minimi (foot, variable)</x:v>
      </x:c>
      <x:c r="K212" s="24" t="str">
        <x:v>Dorsal interosseous insertion tendons</x:v>
      </x:c>
      <x:c r="L212" s="24" t="str">
        <x:v>Deltoid ligament and lateral ankle ligaments (ATFL/CFL/PTFL) stabilize ankle; NOT intentionally stretched</x:v>
      </x:c>
      <x:c r="M212" s="24" t="str">
        <x:v>Muscles: Dorsal interosseous 1 (foot); Dorsal interosseous 2 (foot); Dorsal interosseous 3 (foot); Dorsal interosseous 4 (foot);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Plantar interosseous 1 (third toe); Plantar interosseous 2 (fourth toe); Plantar interosseous 3 (fifth toe); Flexor digiti minimi brevis (foot); Opponens digiti minimi (foot, variable) | Tendons/fascia: Dorsal interosseous insertion tendons | Ligament context only: Deltoid ligament and lateral ankle ligaments (ATFL/CFL/PTFL) stabilize ankle; NOT intentionally stretched</x:v>
      </x:c>
      <x:c r="N212" s="24" t="str">
        <x:v>Low-load activation, not ordinarily to fatigue: Dorsal interosseous 1 (foot); Dorsal interosseous 2 (foot); Dorsal interosseous 3 (foot); Dorsal interosseous 4 (foot); Abductor hallucis; Abductor digiti minimi (foot)</x:v>
      </x:c>
      <x:c r="O212" s="24" t="str">
        <x:v>Spread toes apart without gripping or forcing.</x:v>
      </x:c>
      <x:c r="P212" s="24" t="str">
        <x:v>Floor</x:v>
      </x:c>
      <x:c r="Q212" s="24" t="str">
        <x:v>1–2 × 5–10 controlled reps</x:v>
      </x:c>
      <x:c r="R212" s="24" t="str">
        <x:v>Progress gradually; stop with sharp pain, dizziness, or numbness.</x:v>
      </x:c>
      <x:c r="S212" s="24" t="str">
        <x:v>https://www.orthoinfo.org/recovery/foot-and-ankle-conditioning-program</x:v>
      </x:c>
      <x:c r="T212" s="24" t="str">
        <x:v>Anatomy-based mapping</x:v>
      </x:c>
    </x:row>
    <x:row r="213" ht="54" customHeight="1">
      <x:c r="A213" s="24" t="str">
        <x:v>EX0210</x:v>
      </x:c>
      <x:c r="B213" s="24" t="str">
        <x:v>Toe squeeze together</x:v>
      </x:c>
      <x:c r="C213" s="24" t="str">
        <x:v>Leg &amp; Ankle</x:v>
      </x:c>
      <x:c r="D213" s="24" t="str">
        <x:v>Home</x:v>
      </x:c>
      <x:c r="E213" s="24" t="str">
        <x:v>Motor control</x:v>
      </x:c>
      <x:c r="F213" s="24" t="str">
        <x:v>Plantar interosseous 1 (third toe); Plantar interosseous 2 (fourth toe); Plantar interosseous 3 (fifth toe); Adductor hallucis oblique head; Adductor hallucis transverse head</x:v>
      </x:c>
      <x:c r="G213" s="24" t="str">
        <x:v>Abductor hallucis; Abductor digiti minimi (foot);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Flexor digiti minimi brevis (foot); Opponens digiti minimi (foot, variable)</x:v>
      </x:c>
      <x:c r="H213" s="24" t="str">
        <x:v>—</x:v>
      </x:c>
      <x:c r="I213" s="24" t="str">
        <x:v>—</x:v>
      </x:c>
      <x:c r="J213" s="24" t="str">
        <x:v>Plantar interosseous 1 (third toe); Plantar interosseous 2 (fourth toe); Plantar interosseous 3 (fifth toe); Adductor hallucis oblique head; Adductor hallucis transverse head; Abductor hallucis; Abductor digiti minimi (foot);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Flexor digiti minimi brevis (foot); Opponens digiti minimi (foot, variable)</x:v>
      </x:c>
      <x:c r="K213" s="24" t="str">
        <x:v>Plantar interossei; adductor hallucis tendons</x:v>
      </x:c>
      <x:c r="L213" s="24" t="str">
        <x:v>Deltoid ligament and lateral ankle ligaments (ATFL/CFL/PTFL) stabilize ankle; NOT intentionally stretched</x:v>
      </x:c>
      <x:c r="M213" s="24" t="str">
        <x:v>Muscles: Plantar interosseous 1 (third toe); Plantar interosseous 2 (fourth toe); Plantar interosseous 3 (fifth toe); Adductor hallucis oblique head; Adductor hallucis transverse head; Abductor hallucis; Abductor digiti minimi (foot);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Flexor digiti minimi brevis (foot); Opponens digiti minimi (foot, variable) | Tendons/fascia: Plantar interossei; adductor hallucis tendons | Ligament context only: Deltoid ligament and lateral ankle ligaments (ATFL/CFL/PTFL) stabilize ankle; NOT intentionally stretched</x:v>
      </x:c>
      <x:c r="N213" s="24" t="str">
        <x:v>Low-load activation, not ordinarily to fatigue: Plantar interosseous 1 (third toe); Plantar interosseous 2 (fourth toe); Plantar interosseous 3 (fifth toe); Adductor hallucis oblique head; Adductor hallucis transverse head</x:v>
      </x:c>
      <x:c r="O213" s="24" t="str">
        <x:v>Gently draw toes toward midline and relax.</x:v>
      </x:c>
      <x:c r="P213" s="24" t="str">
        <x:v>Floor</x:v>
      </x:c>
      <x:c r="Q213" s="24" t="str">
        <x:v>1–2 × 5–10 controlled reps</x:v>
      </x:c>
      <x:c r="R213" s="24" t="str">
        <x:v>Progress gradually; stop with sharp pain, dizziness, or numbness.</x:v>
      </x:c>
      <x:c r="S213" s="24" t="str">
        <x:v>https://www.orthoinfo.org/recovery/foot-and-ankle-conditioning-program</x:v>
      </x:c>
      <x:c r="T213" s="24" t="str">
        <x:v>Anatomy-based mapping</x:v>
      </x:c>
    </x:row>
    <x:row r="214" ht="54" customHeight="1">
      <x:c r="A214" s="24" t="str">
        <x:v>EX0211</x:v>
      </x:c>
      <x:c r="B214" s="24" t="str">
        <x:v>Big-toe abduction with finger spacer</x:v>
      </x:c>
      <x:c r="C214" s="24" t="str">
        <x:v>Leg &amp; Ankle</x:v>
      </x:c>
      <x:c r="D214" s="24" t="str">
        <x:v>Home</x:v>
      </x:c>
      <x:c r="E214" s="24" t="str">
        <x:v>Motor control</x:v>
      </x:c>
      <x:c r="F214" s="24" t="str">
        <x:v>Abductor hallucis</x:v>
      </x:c>
      <x:c r="G214" s="24" t="str">
        <x:v>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H214" s="24" t="str">
        <x:v>—</x:v>
      </x:c>
      <x:c r="I214" s="24" t="str">
        <x:v>—</x:v>
      </x:c>
      <x:c r="J214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214" s="24" t="str">
        <x:v>Abductor hallucis tendon</x:v>
      </x:c>
      <x:c r="L214" s="24" t="str">
        <x:v>Deltoid ligament and lateral ankle ligaments (ATFL/CFL/PTFL) stabilize ankle; NOT intentionally stretched</x:v>
      </x:c>
      <x:c r="M214" s="24" t="str">
        <x:v>Muscles: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Abductor hallucis tendon | Ligament context only: Deltoid ligament and lateral ankle ligaments (ATFL/CFL/PTFL) stabilize ankle; NOT intentionally stretched</x:v>
      </x:c>
      <x:c r="N214" s="24" t="str">
        <x:v>Low-load activation, not ordinarily to fatigue: Abductor hallucis</x:v>
      </x:c>
      <x:c r="O214" s="24" t="str">
        <x:v>Move big toe away from second toe gently against low resistance.</x:v>
      </x:c>
      <x:c r="P214" s="24" t="str">
        <x:v>Soft toe spacer</x:v>
      </x:c>
      <x:c r="Q214" s="24" t="str">
        <x:v>1–2 × 5–10 controlled reps</x:v>
      </x:c>
      <x:c r="R214" s="24" t="str">
        <x:v>Progress gradually; stop with sharp pain, dizziness, or numbness.</x:v>
      </x:c>
      <x:c r="S214" s="24" t="str">
        <x:v>https://www.orthoinfo.org/recovery/foot-and-ankle-conditioning-program</x:v>
      </x:c>
      <x:c r="T214" s="24" t="str">
        <x:v>Anatomy-based mapping</x:v>
      </x:c>
    </x:row>
    <x:row r="215" ht="54" customHeight="1">
      <x:c r="A215" s="24" t="str">
        <x:v>EX0212</x:v>
      </x:c>
      <x:c r="B215" s="24" t="str">
        <x:v>Little-toe abduction with band</x:v>
      </x:c>
      <x:c r="C215" s="24" t="str">
        <x:v>Leg &amp; Ankle</x:v>
      </x:c>
      <x:c r="D215" s="24" t="str">
        <x:v>Home</x:v>
      </x:c>
      <x:c r="E215" s="24" t="str">
        <x:v>Band strength</x:v>
      </x:c>
      <x:c r="F215" s="24" t="str">
        <x:v>Abductor digiti minimi (foot); Opponens digiti minimi (foot, variable)</x:v>
      </x:c>
      <x:c r="G215" s="24" t="str">
        <x:v>Abductor hallucis;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</x:v>
      </x:c>
      <x:c r="H215" s="24" t="str">
        <x:v>—</x:v>
      </x:c>
      <x:c r="I215" s="24" t="str">
        <x:v>—</x:v>
      </x:c>
      <x:c r="J215" s="24" t="str">
        <x:v>Abductor digiti minimi (foot); Opponens digiti minimi (foot, variable); Abductor hallucis;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</x:v>
      </x:c>
      <x:c r="K215" s="24" t="str">
        <x:v>Abductor digiti minimi tendon</x:v>
      </x:c>
      <x:c r="L215" s="24" t="str">
        <x:v>Deltoid ligament and lateral ankle ligaments (ATFL/CFL/PTFL) stabilize ankle; NOT intentionally stretched</x:v>
      </x:c>
      <x:c r="M215" s="24" t="str">
        <x:v>Muscles: Abductor digiti minimi (foot); Opponens digiti minimi (foot, variable); Abductor hallucis;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 | Tendons/fascia: Abductor digiti minimi tendon | Ligament context only: Deltoid ligament and lateral ankle ligaments (ATFL/CFL/PTFL) stabilize ankle; NOT intentionally stretched</x:v>
      </x:c>
      <x:c r="N215" s="24" t="str">
        <x:v>Abductor digiti minimi (foot); Opponens digiti minimi (foot, variable); Abductor hallucis;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</x:v>
      </x:c>
      <x:c r="O215" s="24" t="str">
        <x:v>Splay fifth toe outward slightly against light elastic.</x:v>
      </x:c>
      <x:c r="P215" s="24" t="str">
        <x:v>Light band</x:v>
      </x:c>
      <x:c r="Q215" s="24" t="str">
        <x:v>2–3 × 8–12 controlled reps</x:v>
      </x:c>
      <x:c r="R215" s="24" t="str">
        <x:v>Progress gradually; stop with sharp pain, dizziness, or numbness.</x:v>
      </x:c>
      <x:c r="S215" s="24" t="str">
        <x:v>https://www.orthoinfo.org/recovery/foot-and-ankle-conditioning-program</x:v>
      </x:c>
      <x:c r="T215" s="24" t="str">
        <x:v>Anatomy-based mapping</x:v>
      </x:c>
    </x:row>
    <x:row r="216" ht="54" customHeight="1">
      <x:c r="A216" s="24" t="str">
        <x:v>EX0213</x:v>
      </x:c>
      <x:c r="B216" s="24" t="str">
        <x:v>Hallux adduction paper squeeze</x:v>
      </x:c>
      <x:c r="C216" s="24" t="str">
        <x:v>Leg &amp; Ankle</x:v>
      </x:c>
      <x:c r="D216" s="24" t="str">
        <x:v>Home</x:v>
      </x:c>
      <x:c r="E216" s="24" t="str">
        <x:v>Isometric strength</x:v>
      </x:c>
      <x:c r="F216" s="24" t="str">
        <x:v>Adductor hallucis oblique head; Adductor hallucis transverse head</x:v>
      </x:c>
      <x:c r="G216" s="24" t="str">
        <x:v>—</x:v>
      </x:c>
      <x:c r="H216" s="24" t="str">
        <x:v>Abductor hallucis; Abductor digiti minimi (foot);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216" s="24" t="str">
        <x:v>—</x:v>
      </x:c>
      <x:c r="J216" s="24" t="str">
        <x:v>Adductor hallucis oblique head; Adductor hallucis transverse head; Abductor hallucis; Abductor digiti minimi (foot);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216" s="24" t="str">
        <x:v>Adductor hallucis tendon</x:v>
      </x:c>
      <x:c r="L216" s="24" t="str">
        <x:v>Deltoid ligament and lateral ankle ligaments (ATFL/CFL/PTFL) stabilize ankle; NOT intentionally stretched</x:v>
      </x:c>
      <x:c r="M216" s="24" t="str">
        <x:v>Muscles: Adductor hallucis oblique head; Adductor hallucis transverse head; Abductor hallucis; Abductor digiti minimi (foot);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Adductor hallucis tendon | Ligament context only: Deltoid ligament and lateral ankle ligaments (ATFL/CFL/PTFL) stabilize ankle; NOT intentionally stretched</x:v>
      </x:c>
      <x:c r="N216" s="24" t="str">
        <x:v>Adductor hallucis oblique head; Adductor hallucis transverse head</x:v>
      </x:c>
      <x:c r="O216" s="24" t="str">
        <x:v>Gently press big toe toward second toe against paper/spacer.</x:v>
      </x:c>
      <x:c r="P216" s="24" t="str">
        <x:v>Paper/spacer</x:v>
      </x:c>
      <x:c r="Q216" s="24" t="str">
        <x:v>2–3 × 8–12 controlled reps</x:v>
      </x:c>
      <x:c r="R216" s="24" t="str">
        <x:v>Progress gradually; stop with sharp pain, dizziness, or numbness.</x:v>
      </x:c>
      <x:c r="S216" s="24" t="str">
        <x:v>https://www.orthoinfo.org/recovery/foot-and-ankle-conditioning-program</x:v>
      </x:c>
      <x:c r="T216" s="24" t="str">
        <x:v>Anatomy-based mapping</x:v>
      </x:c>
    </x:row>
    <x:row r="217" ht="54" customHeight="1">
      <x:c r="A217" s="24" t="str">
        <x:v>EX0214</x:v>
      </x:c>
      <x:c r="B217" s="24" t="str">
        <x:v>Toe yoga: big toe up, lesser toes down</x:v>
      </x:c>
      <x:c r="C217" s="24" t="str">
        <x:v>Leg &amp; Ankle</x:v>
      </x:c>
      <x:c r="D217" s="24" t="str">
        <x:v>Home</x:v>
      </x:c>
      <x:c r="E217" s="24" t="str">
        <x:v>Motor control</x:v>
      </x:c>
      <x:c r="F217" s="24" t="str">
        <x:v>Extensor hallucis longus; Extensor hallucis brevis; Flexor digitorum brevis; Flexor digitorum longus; Flexor hallucis longus; Flexor hallucis brevis lateral head; Flexor hallucis brevis medial head; Flexor digiti minimi brevis (foot)</x:v>
      </x:c>
      <x:c r="G217" s="24" t="str">
        <x:v>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</x:v>
      </x:c>
      <x:c r="H217" s="24" t="str">
        <x:v>—</x:v>
      </x:c>
      <x:c r="I217" s="24" t="str">
        <x:v>—</x:v>
      </x:c>
      <x:c r="J217" s="24" t="str">
        <x:v>Extensor hallucis longus; Extensor hallucis brevis; 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</x:v>
      </x:c>
      <x:c r="K217" s="24" t="str">
        <x:v>Hallux extensor/flexor tendons</x:v>
      </x:c>
      <x:c r="L217" s="24" t="str">
        <x:v>Deltoid ligament and lateral ankle ligaments (ATFL/CFL/PTFL) stabilize ankle; NOT intentionally stretched</x:v>
      </x:c>
      <x:c r="M217" s="24" t="str">
        <x:v>Muscles: Extensor hallucis longus; Extensor hallucis brevis; 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 | Tendons/fascia: Hallux extensor/flexor tendons | Ligament context only: Deltoid ligament and lateral ankle ligaments (ATFL/CFL/PTFL) stabilize ankle; NOT intentionally stretched</x:v>
      </x:c>
      <x:c r="N217" s="24" t="str">
        <x:v>Low-load activation, not ordinarily to fatigue: Extensor hallucis longus; Extensor hallucis brevis; Flexor digitorum brevis; Flexor digitorum longus; Flexor hallucis longus; Flexor hallucis brevis lateral head; Flexor hallucis brevis medial head; Flexor digiti minimi brevis (foot)</x:v>
      </x:c>
      <x:c r="O217" s="24" t="str">
        <x:v>Lift great toe while lesser toes stay grounded, then switch.</x:v>
      </x:c>
      <x:c r="P217" s="24" t="str">
        <x:v>Floor</x:v>
      </x:c>
      <x:c r="Q217" s="24" t="str">
        <x:v>1–2 × 5–10 controlled reps</x:v>
      </x:c>
      <x:c r="R217" s="24" t="str">
        <x:v>Progress gradually; stop with sharp pain, dizziness, or numbness.</x:v>
      </x:c>
      <x:c r="S217" s="24" t="str">
        <x:v>https://www.orthoinfo.org/recovery/foot-and-ankle-conditioning-program</x:v>
      </x:c>
      <x:c r="T217" s="24" t="str">
        <x:v>Anatomy-based mapping</x:v>
      </x:c>
    </x:row>
    <x:row r="218" ht="54" customHeight="1">
      <x:c r="A218" s="24" t="str">
        <x:v>EX0215</x:v>
      </x:c>
      <x:c r="B218" s="24" t="str">
        <x:v>Lesser-toe interossei control with elastic</x:v>
      </x:c>
      <x:c r="C218" s="24" t="str">
        <x:v>Leg &amp; Ankle</x:v>
      </x:c>
      <x:c r="D218" s="24" t="str">
        <x:v>Home</x:v>
      </x:c>
      <x:c r="E218" s="24" t="str">
        <x:v>Motor control</x:v>
      </x:c>
      <x:c r="F218" s="24" t="str">
        <x:v>Dorsal interosseous 1 (foot); Dorsal interosseous 2 (foot); Dorsal interosseous 3 (foot); Dorsal interosseous 4 (foot); Plantar interosseous 1 (third toe); Plantar interosseous 2 (fourth toe); Plantar interosseous 3 (fifth toe)</x:v>
      </x:c>
      <x:c r="G218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Flexor digiti minimi brevis (foot); Opponens digiti minimi (foot, variable)</x:v>
      </x:c>
      <x:c r="H218" s="24" t="str">
        <x:v>—</x:v>
      </x:c>
      <x:c r="I218" s="24" t="str">
        <x:v>—</x:v>
      </x:c>
      <x:c r="J218" s="24" t="str">
        <x:v>Dorsal interosseous 1 (foot); Dorsal interosseous 2 (foot); Dorsal interosseous 3 (foot); Dorsal interosseous 4 (foot); Plantar interosseous 1 (third toe); Plantar interosseous 2 (fourth toe); Plantar interosseous 3 (fifth toe);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Flexor digiti minimi brevis (foot); Opponens digiti minimi (foot, variable)</x:v>
      </x:c>
      <x:c r="K218" s="24" t="str">
        <x:v>Atlas-listed tendon/aponeurosis examples: Distal interosseous tendon; Interosseous tendon to extensor hood; Medial hallucal sesamoid insertion tendon; Distal insertion tendon; additional listed attachments</x:v>
      </x:c>
      <x:c r="L218" s="24" t="str">
        <x:v>Deltoid ligament and lateral ankle ligaments (ATFL/CFL/PTFL) stabilize ankle; NOT intentionally stretched</x:v>
      </x:c>
      <x:c r="M218" s="24" t="str">
        <x:v>Muscles: Dorsal interosseous 1 (foot); Dorsal interosseous 2 (foot); Dorsal interosseous 3 (foot); Dorsal interosseous 4 (foot); Plantar interosseous 1 (third toe); Plantar interosseous 2 (fourth toe); Plantar interosseous 3 (fifth toe);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Flexor digiti minimi brevis (foot); Opponens digiti minimi (foot, variable) | Tendons/fascia: Atlas-listed tendon/aponeurosis examples: Distal interosseous tendon; Interosseous tendon to extensor hood; Medial hallucal sesamoid insertion tendon; Distal insertion tendon; additional listed attachments | Ligament context only: Deltoid ligament and lateral ankle ligaments (ATFL/CFL/PTFL) stabilize ankle; NOT intentionally stretched</x:v>
      </x:c>
      <x:c r="N218" s="24" t="str">
        <x:v>Low-load activation, not ordinarily to fatigue: Dorsal interosseous 1 (foot); Dorsal interosseous 2 (foot); Dorsal interosseous 3 (foot); Dorsal interosseous 4 (foot); Plantar interosseous 1 (third toe); Plantar interosseous 2 (fourth toe); Plantar interosseous 3 (fifth toe)</x:v>
      </x:c>
      <x:c r="O218" s="24" t="str">
        <x:v>Separate then gently adduct toes without force.</x:v>
      </x:c>
      <x:c r="P218" s="24" t="str">
        <x:v>Soft elastic</x:v>
      </x:c>
      <x:c r="Q218" s="24" t="str">
        <x:v>1–2 × 5–10 controlled reps</x:v>
      </x:c>
      <x:c r="R218" s="24" t="str">
        <x:v>Progress gradually; stop with sharp pain, dizziness, or numbness.</x:v>
      </x:c>
      <x:c r="S218" s="24" t="str">
        <x:v>https://www.orthoinfo.org/recovery/foot-and-ankle-conditioning-program</x:v>
      </x:c>
      <x:c r="T218" s="24" t="str">
        <x:v>Anatomy-based mapping</x:v>
      </x:c>
    </x:row>
    <x:row r="219" ht="54" customHeight="1">
      <x:c r="A219" s="24" t="str">
        <x:v>EX0216</x:v>
      </x:c>
      <x:c r="B219" s="24" t="str">
        <x:v>Lumbrical foot: MCP flexion/IP extension</x:v>
      </x:c>
      <x:c r="C219" s="24" t="str">
        <x:v>Leg &amp; Ankle</x:v>
      </x:c>
      <x:c r="D219" s="24" t="str">
        <x:v>Home</x:v>
      </x:c>
      <x:c r="E219" s="24" t="str">
        <x:v>Motor control</x:v>
      </x:c>
      <x:c r="F219" s="24" t="str">
        <x:v>Lumbrical 1 (foot); Lumbrical 2 (foot); Lumbrical 3 (foot); Lumbrical 4 (foot)</x:v>
      </x:c>
      <x:c r="G219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H219" s="24" t="str">
        <x:v>—</x:v>
      </x:c>
      <x:c r="I219" s="24" t="str">
        <x:v>—</x:v>
      </x:c>
      <x:c r="J219" s="24" t="str">
        <x:v>Lumbrical 1 (foot); Lumbrical 2 (foot); Lumbrical 3 (foot); Lumbrical 4 (foot);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219" s="24" t="str">
        <x:v>Lumbrical insertion into dorsal expansion</x:v>
      </x:c>
      <x:c r="L219" s="24" t="str">
        <x:v>Deltoid ligament and lateral ankle ligaments (ATFL/CFL/PTFL) stabilize ankle; NOT intentionally stretched</x:v>
      </x:c>
      <x:c r="M219" s="24" t="str">
        <x:v>Muscles: Lumbrical 1 (foot); Lumbrical 2 (foot); Lumbrical 3 (foot); Lumbrical 4 (foot);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Lumbrical insertion into dorsal expansion | Ligament context only: Deltoid ligament and lateral ankle ligaments (ATFL/CFL/PTFL) stabilize ankle; NOT intentionally stretched</x:v>
      </x:c>
      <x:c r="N219" s="24" t="str">
        <x:v>Low-load activation, not ordinarily to fatigue: Lumbrical 1 (foot); Lumbrical 2 (foot); Lumbrical 3 (foot); Lumbrical 4 (foot)</x:v>
      </x:c>
      <x:c r="O219" s="24" t="str">
        <x:v>Press toe bases into floor while keeping toe tips long, not clawed.</x:v>
      </x:c>
      <x:c r="P219" s="24" t="str">
        <x:v>Floor</x:v>
      </x:c>
      <x:c r="Q219" s="24" t="str">
        <x:v>1–2 × 5–10 controlled reps</x:v>
      </x:c>
      <x:c r="R219" s="24" t="str">
        <x:v>Progress gradually; stop with sharp pain, dizziness, or numbness.</x:v>
      </x:c>
      <x:c r="S219" s="24" t="str">
        <x:v>https://www.orthoinfo.org/recovery/foot-and-ankle-conditioning-program</x:v>
      </x:c>
      <x:c r="T219" s="24" t="str">
        <x:v>Anatomy-based mapping</x:v>
      </x:c>
    </x:row>
    <x:row r="220" ht="54" customHeight="1">
      <x:c r="A220" s="24" t="str">
        <x:v>EX0217</x:v>
      </x:c>
      <x:c r="B220" s="24" t="str">
        <x:v>Resisted toe quadratus plantae coordination</x:v>
      </x:c>
      <x:c r="C220" s="24" t="str">
        <x:v>Leg &amp; Ankle</x:v>
      </x:c>
      <x:c r="D220" s="24" t="str">
        <x:v>Home</x:v>
      </x:c>
      <x:c r="E220" s="24" t="str">
        <x:v>Motor control</x:v>
      </x:c>
      <x:c r="F220" s="24" t="str">
        <x:v>Quadratus plantae lateral head; Quadratus plantae medial head</x:v>
      </x:c>
      <x:c r="G220" s="24" t="str">
        <x:v>Flexor digitorum longus</x:v>
      </x:c>
      <x:c r="H220" s="24" t="str">
        <x:v>—</x:v>
      </x:c>
      <x:c r="I220" s="24" t="str">
        <x:v>—</x:v>
      </x:c>
      <x:c r="J220" s="24" t="str">
        <x:v>Quadratus plantae lateral head; Quadratus plantae medial head; Flexor digitorum longus</x:v>
      </x:c>
      <x:c r="K220" s="24" t="str">
        <x:v>Flexor digitorum longus tendon; quadratus plantae insertion</x:v>
      </x:c>
      <x:c r="L220" s="24" t="str">
        <x:v>Deltoid ligament and lateral ankle ligaments (ATFL/CFL/PTFL) stabilize ankle; NOT intentionally stretched</x:v>
      </x:c>
      <x:c r="M220" s="24" t="str">
        <x:v>Muscles: Quadratus plantae lateral head; Quadratus plantae medial head; Flexor digitorum longus | Tendons/fascia: Flexor digitorum longus tendon; quadratus plantae insertion | Ligament context only: Deltoid ligament and lateral ankle ligaments (ATFL/CFL/PTFL) stabilize ankle; NOT intentionally stretched</x:v>
      </x:c>
      <x:c r="N220" s="24" t="str">
        <x:v>Low-load activation, not ordinarily to fatigue: Quadratus plantae lateral head; Quadratus plantae medial head</x:v>
      </x:c>
      <x:c r="O220" s="24" t="str">
        <x:v>With foot planted, curl toes evenly without twisting toward great toe.</x:v>
      </x:c>
      <x:c r="P220" s="24" t="str">
        <x:v>Towel</x:v>
      </x:c>
      <x:c r="Q220" s="24" t="str">
        <x:v>1–2 × 5–10 controlled reps</x:v>
      </x:c>
      <x:c r="R220" s="24" t="str">
        <x:v>Progress gradually; stop with sharp pain, dizziness, or numbness.</x:v>
      </x:c>
      <x:c r="S220" s="24" t="str">
        <x:v>https://www.orthoinfo.org/recovery/foot-and-ankle-conditioning-program</x:v>
      </x:c>
      <x:c r="T220" s="24" t="str">
        <x:v>Anatomy-based mapping</x:v>
      </x:c>
    </x:row>
    <x:row r="221" ht="54" customHeight="1">
      <x:c r="A221" s="24" t="str">
        <x:v>EX0218</x:v>
      </x:c>
      <x:c r="B221" s="24" t="str">
        <x:v>Standing balance on foam cushion</x:v>
      </x:c>
      <x:c r="C221" s="24" t="str">
        <x:v>Leg &amp; Ankle</x:v>
      </x:c>
      <x:c r="D221" s="24" t="str">
        <x:v>Home</x:v>
      </x:c>
      <x:c r="E221" s="24" t="str">
        <x:v>Isometric strength</x:v>
      </x:c>
      <x:c r="F221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Fibularis longus; Fibularis brevis; Fibularis tertius; Tibialis posterior</x:v>
      </x:c>
      <x:c r="G221" s="24" t="str">
        <x:v>Gastrocnemius lateral head; Gastrocnemius medial head; Soleus; Plantaris</x:v>
      </x:c>
      <x:c r="H221" s="24" t="str">
        <x:v>Gluteus medius; Gluteus minimus; Tensor fasciae latae; Rectus abdominis; External oblique; Internal oblique; Transversus abdominis</x:v>
      </x:c>
      <x:c r="I221" s="24" t="str">
        <x:v>—</x:v>
      </x:c>
      <x:c r="J221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Fibularis longus; Fibularis brevis; Fibularis tertius; Tibialis posterior; Gastrocnemius lateral head; Gastrocnemius medial head; Soleus; Plantaris; Gluteus medius; Gluteus minimus; Tensor fasciae latae; Rectus abdominis; External oblique; Internal oblique; Transversus abdominis</x:v>
      </x:c>
      <x:c r="K221" s="24" t="str">
        <x:v>Posterior tibial/peroneal tendons; plantar fascia</x:v>
      </x:c>
      <x:c r="L221" s="24" t="str">
        <x:v>Ankle ligament proprioceptive function, not stretching</x:v>
      </x:c>
      <x:c r="M221" s="24" t="str">
        <x:v>Muscles: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Fibularis longus; Fibularis brevis; Fibularis tertius; Tibialis posterior; Gastrocnemius lateral head; Gastrocnemius medial head; Soleus; Plantaris; Gluteus medius; Gluteus minimus; Tensor fasciae latae; Rectus abdominis; External oblique; Internal oblique; Transversus abdominis | Tendons/fascia: Posterior tibial/peroneal tendons; plantar fascia | Ligament context only: Ankle ligament proprioceptive function, not stretching</x:v>
      </x:c>
      <x:c r="N221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Fibularis longus; Fibularis brevis; Fibularis tertius; Tibialis posterior; Gastrocnemius lateral head; Gastrocnemius medial head; Soleus; Plantaris</x:v>
      </x:c>
      <x:c r="O221" s="24" t="str">
        <x:v>Stand near counter on soft pad and hold a level arch.</x:v>
      </x:c>
      <x:c r="P221" s="24" t="str">
        <x:v>Foam cushion; counter</x:v>
      </x:c>
      <x:c r="Q221" s="24" t="str">
        <x:v>2–3 × 8–12 controlled reps</x:v>
      </x:c>
      <x:c r="R221" s="24" t="str">
        <x:v>Progress gradually; stop with sharp pain, dizziness, or numbness.</x:v>
      </x:c>
      <x:c r="S221" s="24" t="str">
        <x:v>https://www.orthoinfo.org/recovery/foot-and-ankle-conditioning-program</x:v>
      </x:c>
      <x:c r="T221" s="24" t="str">
        <x:v>Anatomy-based mapping</x:v>
      </x:c>
    </x:row>
    <x:row r="222" ht="54" customHeight="1">
      <x:c r="A222" s="24" t="str">
        <x:v>EX0219</x:v>
      </x:c>
      <x:c r="B222" s="24" t="str">
        <x:v>Single-leg balance eyes open</x:v>
      </x:c>
      <x:c r="C222" s="24" t="str">
        <x:v>Leg &amp; Ankle</x:v>
      </x:c>
      <x:c r="D222" s="24" t="str">
        <x:v>Home</x:v>
      </x:c>
      <x:c r="E222" s="24" t="str">
        <x:v>Isometric strength</x:v>
      </x:c>
      <x:c r="F222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Fibularis longus; Fibularis brevis; Fibularis tertius; Tibialis posterior</x:v>
      </x:c>
      <x:c r="G222" s="24" t="str">
        <x:v>Gastrocnemius lateral head; Gastrocnemius medial head; Soleus; Plantaris</x:v>
      </x:c>
      <x:c r="H222" s="24" t="str">
        <x:v>Gluteus medius; Gluteus minimus; Tensor fasciae latae; Rectus abdominis; External oblique; Internal oblique; Transversus abdominis</x:v>
      </x:c>
      <x:c r="I222" s="24" t="str">
        <x:v>—</x:v>
      </x:c>
      <x:c r="J222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Fibularis longus; Fibularis brevis; Fibularis tertius; Tibialis posterior; Gastrocnemius lateral head; Gastrocnemius medial head; Soleus; Plantaris; Gluteus medius; Gluteus minimus; Tensor fasciae latae; Rectus abdominis; External oblique; Internal oblique; Transversus abdominis</x:v>
      </x:c>
      <x:c r="K222" s="24" t="str">
        <x:v>Atlas-listed tendon/aponeurosis examples: Medial hallucal sesamoid insertion tendon; Distal insertion tendon; Tendon via lateral sesamoid; Common adductor tendon; additional listed attachments</x:v>
      </x:c>
      <x:c r="L222" s="24" t="str">
        <x:v>Deltoid ligament and lateral ankle ligaments (ATFL/CFL/PTFL) stabilize ankle; NOT intentionally stretched</x:v>
      </x:c>
      <x:c r="M222" s="24" t="str">
        <x:v>Muscles: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Fibularis longus; Fibularis brevis; Fibularis tertius; Tibialis posterior; Gastrocnemius lateral head; Gastrocnemius medial head; Soleus; Plantaris; Gluteus medius; Gluteus minimus; Tensor fasciae latae; Rectus abdominis; External oblique; Internal oblique; Transversus abdominis | Tendons/fascia: Atlas-listed tendon/aponeurosis examples: Medial hallucal sesamoid insertion tendon; Distal insertion tendon; Tendon via lateral sesamoid; Common adductor tendon; additional listed attachments | Ligament context only: Deltoid ligament and lateral ankle ligaments (ATFL/CFL/PTFL) stabilize ankle; NOT intentionally stretched</x:v>
      </x:c>
      <x:c r="N222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Fibularis longus; Fibularis brevis; Fibularis tertius; Tibialis posterior; Gastrocnemius lateral head; Gastrocnemius medial head; Soleus; Plantaris</x:v>
      </x:c>
      <x:c r="O222" s="24" t="str">
        <x:v>Balance near wall with relaxed knee and active foot tripod.</x:v>
      </x:c>
      <x:c r="P222" s="24" t="str">
        <x:v>Wall</x:v>
      </x:c>
      <x:c r="Q222" s="24" t="str">
        <x:v>2–3 × 8–12 controlled reps</x:v>
      </x:c>
      <x:c r="R222" s="24" t="str">
        <x:v>Progress gradually; stop with sharp pain, dizziness, or numbness.</x:v>
      </x:c>
      <x:c r="S222" s="24" t="str">
        <x:v>https://www.orthoinfo.org/recovery/foot-and-ankle-conditioning-program</x:v>
      </x:c>
      <x:c r="T222" s="24" t="str">
        <x:v>Anatomy-based mapping</x:v>
      </x:c>
    </x:row>
    <x:row r="223" ht="54" customHeight="1">
      <x:c r="A223" s="24" t="str">
        <x:v>EX0220</x:v>
      </x:c>
      <x:c r="B223" s="24" t="str">
        <x:v>Seated calf stretch strap (knee straight)</x:v>
      </x:c>
      <x:c r="C223" s="24" t="str">
        <x:v>Leg &amp; Ankle</x:v>
      </x:c>
      <x:c r="D223" s="24" t="str">
        <x:v>Home</x:v>
      </x:c>
      <x:c r="E223" s="24" t="str">
        <x:v>Passive stretch</x:v>
      </x:c>
      <x:c r="F223" s="24" t="str">
        <x:v>—</x:v>
      </x:c>
      <x:c r="G223" s="24" t="str">
        <x:v>—</x:v>
      </x:c>
      <x:c r="H223" s="24" t="str">
        <x:v>—</x:v>
      </x:c>
      <x:c r="I223" s="24" t="str">
        <x:v>Gastrocnemius lateral head; Gastrocnemius medial head; Soleus; Plantaris; Tibialis posterior; Flexor digitorum longus; Flexor hallucis longus; Popliteus</x:v>
      </x:c>
      <x:c r="J223" s="24" t="str">
        <x:v>Gastrocnemius lateral head; Gastrocnemius medial head; Soleus; Plantaris; Tibialis posterior; Flexor digitorum longus; Flexor hallucis longus; Popliteus</x:v>
      </x:c>
      <x:c r="K223" s="24" t="str">
        <x:v>Achilles tendon and plantar-flexor units</x:v>
      </x:c>
      <x:c r="L223" s="24" t="str">
        <x:v>Deltoid ligament and lateral ankle ligaments (ATFL/CFL/PTFL) stabilize ankle; NOT intentionally stretched</x:v>
      </x:c>
      <x:c r="M223" s="24" t="str">
        <x:v>Muscles: Gastrocnemius lateral head; Gastrocnemius medial head; Soleus; Plantaris; Tibialis posterior; Flexor digitorum longus; Flexor hallucis longus; Popliteus | Tendons/fascia: Achilles tendon and plantar-flexor units | Ligament context only: Deltoid ligament and lateral ankle ligaments (ATFL/CFL/PTFL) stabilize ankle; NOT intentionally stretched</x:v>
      </x:c>
      <x:c r="N223" s="24" t="str">
        <x:v>Usually none expected (stretch, mobility or relaxation; any active movers are low-load)</x:v>
      </x:c>
      <x:c r="O223" s="24" t="str">
        <x:v>Pull towel across ball of foot toward shin with knee straight.</x:v>
      </x:c>
      <x:c r="P223" s="24" t="str">
        <x:v>Towel</x:v>
      </x:c>
      <x:c r="Q223" s="24" t="str">
        <x:v>2–3 × 8–12 controlled reps</x:v>
      </x:c>
      <x:c r="R223" s="24" t="str">
        <x:v>Progress gradually; stop with sharp pain, dizziness, or numbness.</x:v>
      </x:c>
      <x:c r="S223" s="24" t="str">
        <x:v>https://www.orthoinfo.org/recovery/foot-and-ankle-conditioning-program</x:v>
      </x:c>
      <x:c r="T223" s="24" t="str">
        <x:v>Anatomy-based mapping</x:v>
      </x:c>
    </x:row>
    <x:row r="224" ht="54" customHeight="1">
      <x:c r="A224" s="24" t="str">
        <x:v>EX0221</x:v>
      </x:c>
      <x:c r="B224" s="24" t="str">
        <x:v>Wall calf stretch (straight knee)</x:v>
      </x:c>
      <x:c r="C224" s="24" t="str">
        <x:v>Leg &amp; Ankle</x:v>
      </x:c>
      <x:c r="D224" s="24" t="str">
        <x:v>Home</x:v>
      </x:c>
      <x:c r="E224" s="24" t="str">
        <x:v>Passive stretch</x:v>
      </x:c>
      <x:c r="F224" s="24" t="str">
        <x:v>—</x:v>
      </x:c>
      <x:c r="G224" s="24" t="str">
        <x:v>—</x:v>
      </x:c>
      <x:c r="H224" s="24" t="str">
        <x:v>—</x:v>
      </x:c>
      <x:c r="I224" s="24" t="str">
        <x:v>Gastrocnemius lateral head; Gastrocnemius medial head; Soleus</x:v>
      </x:c>
      <x:c r="J224" s="24" t="str">
        <x:v>Gastrocnemius lateral head; Gastrocnemius medial head; Soleus</x:v>
      </x:c>
      <x:c r="K224" s="24" t="str">
        <x:v>Achilles tendon</x:v>
      </x:c>
      <x:c r="L224" s="24" t="str">
        <x:v>Deltoid ligament and lateral ankle ligaments (ATFL/CFL/PTFL) stabilize ankle; NOT intentionally stretched</x:v>
      </x:c>
      <x:c r="M224" s="24" t="str">
        <x:v>Muscles: Gastrocnemius lateral head; Gastrocnemius medial head; Soleus | Tendons/fascia: Achilles tendon | Ligament context only: Deltoid ligament and lateral ankle ligaments (ATFL/CFL/PTFL) stabilize ankle; NOT intentionally stretched</x:v>
      </x:c>
      <x:c r="N224" s="24" t="str">
        <x:v>Usually none expected (stretch, mobility or relaxation; any active movers are low-load)</x:v>
      </x:c>
      <x:c r="O224" s="24" t="str">
        <x:v>Rear leg straight and heel planted; lean forward from ankle.</x:v>
      </x:c>
      <x:c r="P224" s="24" t="str">
        <x:v>Wall</x:v>
      </x:c>
      <x:c r="Q224" s="24" t="str">
        <x:v>2–3 × 8–12 controlled reps</x:v>
      </x:c>
      <x:c r="R224" s="24" t="str">
        <x:v>Progress gradually; stop with sharp pain, dizziness, or numbness.</x:v>
      </x:c>
      <x:c r="S224" s="24" t="str">
        <x:v>https://www.orthoinfo.org/recovery/foot-and-ankle-conditioning-program</x:v>
      </x:c>
      <x:c r="T224" s="24" t="str">
        <x:v>Anatomy-based mapping</x:v>
      </x:c>
    </x:row>
    <x:row r="225" ht="54" customHeight="1">
      <x:c r="A225" s="24" t="str">
        <x:v>EX0222</x:v>
      </x:c>
      <x:c r="B225" s="24" t="str">
        <x:v>Wall calf stretch (bent knee)</x:v>
      </x:c>
      <x:c r="C225" s="24" t="str">
        <x:v>Leg &amp; Ankle</x:v>
      </x:c>
      <x:c r="D225" s="24" t="str">
        <x:v>Home</x:v>
      </x:c>
      <x:c r="E225" s="24" t="str">
        <x:v>Passive stretch</x:v>
      </x:c>
      <x:c r="F225" s="24" t="str">
        <x:v>—</x:v>
      </x:c>
      <x:c r="G225" s="24" t="str">
        <x:v>—</x:v>
      </x:c>
      <x:c r="H225" s="24" t="str">
        <x:v>—</x:v>
      </x:c>
      <x:c r="I225" s="24" t="str">
        <x:v>Soleus</x:v>
      </x:c>
      <x:c r="J225" s="24" t="str">
        <x:v>Soleus</x:v>
      </x:c>
      <x:c r="K225" s="24" t="str">
        <x:v>Achilles tendon</x:v>
      </x:c>
      <x:c r="L225" s="24" t="str">
        <x:v>Deltoid ligament and lateral ankle ligaments (ATFL/CFL/PTFL) stabilize ankle; NOT intentionally stretched</x:v>
      </x:c>
      <x:c r="M225" s="24" t="str">
        <x:v>Muscles: Soleus | Tendons/fascia: Achilles tendon | Ligament context only: Deltoid ligament and lateral ankle ligaments (ATFL/CFL/PTFL) stabilize ankle; NOT intentionally stretched</x:v>
      </x:c>
      <x:c r="N225" s="24" t="str">
        <x:v>Usually none expected (stretch, mobility or relaxation; any active movers are low-load)</x:v>
      </x:c>
      <x:c r="O225" s="24" t="str">
        <x:v>Keep rear heel down, bend rear knee until lower calf stretches.</x:v>
      </x:c>
      <x:c r="P225" s="24" t="str">
        <x:v>Wall</x:v>
      </x:c>
      <x:c r="Q225" s="24" t="str">
        <x:v>2–3 × 8–12 controlled reps</x:v>
      </x:c>
      <x:c r="R225" s="24" t="str">
        <x:v>Progress gradually; stop with sharp pain, dizziness, or numbness.</x:v>
      </x:c>
      <x:c r="S225" s="24" t="str">
        <x:v>https://www.orthoinfo.org/recovery/foot-and-ankle-conditioning-program</x:v>
      </x:c>
      <x:c r="T225" s="24" t="str">
        <x:v>Anatomy-based mapping</x:v>
      </x:c>
    </x:row>
    <x:row r="226" ht="54" customHeight="1">
      <x:c r="A226" s="24" t="str">
        <x:v>EX0223</x:v>
      </x:c>
      <x:c r="B226" s="24" t="str">
        <x:v>Kneeling tibialis anterior stretch gentle</x:v>
      </x:c>
      <x:c r="C226" s="24" t="str">
        <x:v>Leg &amp; Ankle</x:v>
      </x:c>
      <x:c r="D226" s="24" t="str">
        <x:v>Home</x:v>
      </x:c>
      <x:c r="E226" s="24" t="str">
        <x:v>Passive stretch</x:v>
      </x:c>
      <x:c r="F226" s="24" t="str">
        <x:v>—</x:v>
      </x:c>
      <x:c r="G226" s="24" t="str">
        <x:v>—</x:v>
      </x:c>
      <x:c r="H226" s="24" t="str">
        <x:v>—</x:v>
      </x:c>
      <x:c r="I226" s="24" t="str">
        <x:v>Tibialis anterior; Extensor hallucis longus; Extensor digitorum longus</x:v>
      </x:c>
      <x:c r="J226" s="24" t="str">
        <x:v>Tibialis anterior; Extensor hallucis longus; Extensor digitorum longus</x:v>
      </x:c>
      <x:c r="K226" s="24" t="str">
        <x:v>Anterior ankle extensor tendons</x:v>
      </x:c>
      <x:c r="L226" s="24" t="str">
        <x:v>Avoid forced plantarflexion stressing ankle capsule</x:v>
      </x:c>
      <x:c r="M226" s="24" t="str">
        <x:v>Muscles: Tibialis anterior; Extensor hallucis longus; Extensor digitorum longus | Tendons/fascia: Anterior ankle extensor tendons | Ligament context only: Avoid forced plantarflexion stressing ankle capsule</x:v>
      </x:c>
      <x:c r="N226" s="24" t="str">
        <x:v>Usually none expected (stretch, mobility or relaxation; any active movers are low-load)</x:v>
      </x:c>
      <x:c r="O226" s="24" t="str">
        <x:v>From kneeling, gently sit back toward heels only if knees/ankles comfortable.</x:v>
      </x:c>
      <x:c r="P226" s="24" t="str">
        <x:v>Mat</x:v>
      </x:c>
      <x:c r="Q226" s="24" t="str">
        <x:v>2–3 × 8–12 controlled reps</x:v>
      </x:c>
      <x:c r="R226" s="24" t="str">
        <x:v>Progress gradually; stop with sharp pain, dizziness, or numbness.</x:v>
      </x:c>
      <x:c r="S226" s="24" t="str">
        <x:v>https://www.orthoinfo.org/recovery/foot-and-ankle-conditioning-program</x:v>
      </x:c>
      <x:c r="T226" s="24" t="str">
        <x:v>Anatomy-based mapping</x:v>
      </x:c>
    </x:row>
    <x:row r="227" ht="54" customHeight="1">
      <x:c r="A227" s="24" t="str">
        <x:v>EX0224</x:v>
      </x:c>
      <x:c r="B227" s="24" t="str">
        <x:v>Standing plantar fascia / toe extension stretch</x:v>
      </x:c>
      <x:c r="C227" s="24" t="str">
        <x:v>Leg &amp; Ankle</x:v>
      </x:c>
      <x:c r="D227" s="24" t="str">
        <x:v>Home</x:v>
      </x:c>
      <x:c r="E227" s="24" t="str">
        <x:v>Passive stretch</x:v>
      </x:c>
      <x:c r="F227" s="24" t="str">
        <x:v>—</x:v>
      </x:c>
      <x:c r="G227" s="24" t="str">
        <x:v>—</x:v>
      </x:c>
      <x:c r="H227" s="24" t="str">
        <x:v>—</x:v>
      </x:c>
      <x:c r="I227" s="24" t="str">
        <x:v>Flexor digitorum brevis; Flexor hallucis brevis lateral head; Flexor hallucis brevis medial head</x:v>
      </x:c>
      <x:c r="J227" s="24" t="str">
        <x:v>Flexor digitorum brevis; Flexor hallucis brevis lateral head; Flexor hallucis brevis medial head</x:v>
      </x:c>
      <x:c r="K227" s="24" t="str">
        <x:v>Plantar fascia; FDB/FHB musculotendinous units</x:v>
      </x:c>
      <x:c r="L227" s="24" t="str">
        <x:v>Avoid toe MCP collateral ligament strain</x:v>
      </x:c>
      <x:c r="M227" s="24" t="str">
        <x:v>Muscles: Flexor digitorum brevis; Flexor hallucis brevis lateral head; Flexor hallucis brevis medial head | Tendons/fascia: Plantar fascia; FDB/FHB musculotendinous units | Ligament context only: Avoid toe MCP collateral ligament strain</x:v>
      </x:c>
      <x:c r="N227" s="24" t="str">
        <x:v>Usually none expected (stretch, mobility or relaxation; any active movers are low-load)</x:v>
      </x:c>
      <x:c r="O227" s="24" t="str">
        <x:v>Extend toes against wall gently, keeping arch supported.</x:v>
      </x:c>
      <x:c r="P227" s="24" t="str">
        <x:v>Wall</x:v>
      </x:c>
      <x:c r="Q227" s="24" t="str">
        <x:v>2–3 × 8–12 controlled reps</x:v>
      </x:c>
      <x:c r="R227" s="24" t="str">
        <x:v>Progress gradually; stop with sharp pain, dizziness, or numbness.</x:v>
      </x:c>
      <x:c r="S227" s="24" t="str">
        <x:v>https://www.orthoinfo.org/recovery/foot-and-ankle-conditioning-program</x:v>
      </x:c>
      <x:c r="T227" s="24" t="str">
        <x:v>Anatomy-based mapping</x:v>
      </x:c>
    </x:row>
    <x:row r="228" ht="54" customHeight="1">
      <x:c r="A228" s="24" t="str">
        <x:v>EX0225</x:v>
      </x:c>
      <x:c r="B228" s="24" t="str">
        <x:v>Plantar fascia gentle ball roll</x:v>
      </x:c>
      <x:c r="C228" s="24" t="str">
        <x:v>Leg &amp; Ankle</x:v>
      </x:c>
      <x:c r="D228" s="24" t="str">
        <x:v>Home</x:v>
      </x:c>
      <x:c r="E228" s="24" t="str">
        <x:v>Soft-tissue mobility</x:v>
      </x:c>
      <x:c r="F228" s="24" t="str">
        <x:v>—</x:v>
      </x:c>
      <x:c r="G228" s="24" t="str">
        <x:v>—</x:v>
      </x:c>
      <x:c r="H228" s="24" t="str">
        <x:v>—</x:v>
      </x:c>
      <x:c r="I228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J228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228" s="24" t="str">
        <x:v>Plantar fascia (soft-tissue compression rather than a ligament stretch)</x:v>
      </x:c>
      <x:c r="L228" s="24" t="str">
        <x:v>Deltoid ligament and lateral ankle ligaments (ATFL/CFL/PTFL) stabilize ankle; NOT intentionally stretched</x:v>
      </x:c>
      <x:c r="M228" s="24" t="str">
        <x:v>Muscles: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Plantar fascia (soft-tissue compression rather than a ligament stretch) | Ligament context only: Deltoid ligament and lateral ankle ligaments (ATFL/CFL/PTFL) stabilize ankle; NOT intentionally stretched</x:v>
      </x:c>
      <x:c r="N228" s="24" t="str">
        <x:v>Usually none expected (stretch, mobility or relaxation; any active movers are low-load)</x:v>
      </x:c>
      <x:c r="O228" s="24" t="str">
        <x:v>Roll soft ball beneath arch gently without causing nerve pain.</x:v>
      </x:c>
      <x:c r="P228" s="24" t="str">
        <x:v>Soft ball</x:v>
      </x:c>
      <x:c r="Q228" s="24" t="str">
        <x:v>2–3 × 8–12 controlled reps</x:v>
      </x:c>
      <x:c r="R228" s="24" t="str">
        <x:v>Progress gradually; stop with sharp pain, dizziness, or numbness.</x:v>
      </x:c>
      <x:c r="S228" s="24" t="str">
        <x:v>https://www.orthoinfo.org/recovery/foot-and-ankle-conditioning-program</x:v>
      </x:c>
      <x:c r="T228" s="24" t="str">
        <x:v>Anatomy-based mapping</x:v>
      </x:c>
    </x:row>
    <x:row r="229" ht="54" customHeight="1">
      <x:c r="A229" s="24" t="str">
        <x:v>EX0226</x:v>
      </x:c>
      <x:c r="B229" s="24" t="str">
        <x:v>Towel-assisted peroneal stretch (gentle inversion)</x:v>
      </x:c>
      <x:c r="C229" s="24" t="str">
        <x:v>Leg &amp; Ankle</x:v>
      </x:c>
      <x:c r="D229" s="24" t="str">
        <x:v>Home</x:v>
      </x:c>
      <x:c r="E229" s="24" t="str">
        <x:v>Passive stretch</x:v>
      </x:c>
      <x:c r="F229" s="24" t="str">
        <x:v>—</x:v>
      </x:c>
      <x:c r="G229" s="24" t="str">
        <x:v>—</x:v>
      </x:c>
      <x:c r="H229" s="24" t="str">
        <x:v>—</x:v>
      </x:c>
      <x:c r="I229" s="24" t="str">
        <x:v>Fibularis longus; Fibularis brevis</x:v>
      </x:c>
      <x:c r="J229" s="24" t="str">
        <x:v>Fibularis longus; Fibularis brevis</x:v>
      </x:c>
      <x:c r="K229" s="24" t="str">
        <x:v>Fibularis longus/brevis tendons</x:v>
      </x:c>
      <x:c r="L229" s="24" t="str">
        <x:v>Lateral ligaments also tension with inversion; avoid end range</x:v>
      </x:c>
      <x:c r="M229" s="24" t="str">
        <x:v>Muscles: Fibularis longus; Fibularis brevis | Tendons/fascia: Fibularis longus/brevis tendons | Ligament context only: Lateral ligaments also tension with inversion; avoid end range</x:v>
      </x:c>
      <x:c r="N229" s="24" t="str">
        <x:v>Usually none expected (stretch, mobility or relaxation; any active movers are low-load)</x:v>
      </x:c>
      <x:c r="O229" s="24" t="str">
        <x:v>Bring foot very slightly into inversion while maintaining neutral knee.</x:v>
      </x:c>
      <x:c r="P229" s="24" t="str">
        <x:v>Towel</x:v>
      </x:c>
      <x:c r="Q229" s="24" t="str">
        <x:v>2–3 × 8–12 controlled reps</x:v>
      </x:c>
      <x:c r="R229" s="24" t="str">
        <x:v>Avoid if past ankle sprain/instability.</x:v>
      </x:c>
      <x:c r="S229" s="24" t="str">
        <x:v>https://www.orthoinfo.org/recovery/foot-and-ankle-conditioning-program</x:v>
      </x:c>
      <x:c r="T229" s="24" t="str">
        <x:v>Anatomy-based mapping</x:v>
      </x:c>
    </x:row>
    <x:row r="230" ht="54" customHeight="1">
      <x:c r="A230" s="24" t="str">
        <x:v>EX0227</x:v>
      </x:c>
      <x:c r="B230" s="24" t="str">
        <x:v>Towel-assisted posterior tibialis stretch (gentle eversion)</x:v>
      </x:c>
      <x:c r="C230" s="24" t="str">
        <x:v>Leg &amp; Ankle</x:v>
      </x:c>
      <x:c r="D230" s="24" t="str">
        <x:v>Home</x:v>
      </x:c>
      <x:c r="E230" s="24" t="str">
        <x:v>Passive stretch</x:v>
      </x:c>
      <x:c r="F230" s="24" t="str">
        <x:v>—</x:v>
      </x:c>
      <x:c r="G230" s="24" t="str">
        <x:v>—</x:v>
      </x:c>
      <x:c r="H230" s="24" t="str">
        <x:v>—</x:v>
      </x:c>
      <x:c r="I230" s="24" t="str">
        <x:v>Tibialis posterior</x:v>
      </x:c>
      <x:c r="J230" s="24" t="str">
        <x:v>Tibialis posterior</x:v>
      </x:c>
      <x:c r="K230" s="24" t="str">
        <x:v>Posterior tibial tendon</x:v>
      </x:c>
      <x:c r="L230" s="24" t="str">
        <x:v>Deltoid ligament may be tensioned; avoid forced eversion</x:v>
      </x:c>
      <x:c r="M230" s="24" t="str">
        <x:v>Muscles: Tibialis posterior | Tendons/fascia: Posterior tibial tendon | Ligament context only: Deltoid ligament may be tensioned; avoid forced eversion</x:v>
      </x:c>
      <x:c r="N230" s="24" t="str">
        <x:v>Usually none expected (stretch, mobility or relaxation; any active movers are low-load)</x:v>
      </x:c>
      <x:c r="O230" s="24" t="str">
        <x:v>Gently draw foot outward to mild inner calf/ankle stretch.</x:v>
      </x:c>
      <x:c r="P230" s="24" t="str">
        <x:v>Towel</x:v>
      </x:c>
      <x:c r="Q230" s="24" t="str">
        <x:v>2–3 × 8–12 controlled reps</x:v>
      </x:c>
      <x:c r="R230" s="24" t="str">
        <x:v>Progress gradually; stop with sharp pain, dizziness, or numbness.</x:v>
      </x:c>
      <x:c r="S230" s="24" t="str">
        <x:v>https://www.orthoinfo.org/recovery/foot-and-ankle-conditioning-program</x:v>
      </x:c>
      <x:c r="T230" s="24" t="str">
        <x:v>Anatomy-based mapping</x:v>
      </x:c>
    </x:row>
    <x:row r="231" ht="54" customHeight="1">
      <x:c r="A231" s="24" t="str">
        <x:v>EX0228</x:v>
      </x:c>
      <x:c r="B231" s="24" t="str">
        <x:v>Seated ankle circles</x:v>
      </x:c>
      <x:c r="C231" s="24" t="str">
        <x:v>Leg &amp; Ankle</x:v>
      </x:c>
      <x:c r="D231" s="24" t="str">
        <x:v>Home</x:v>
      </x:c>
      <x:c r="E231" s="24" t="str">
        <x:v>Mobility</x:v>
      </x:c>
      <x:c r="F231" s="24" t="str">
        <x:v>Tibialis anterior; Extensor digitorum longus; Extensor hallucis longus; Fibularis tertius; Gastrocnemius lateral head; Gastrocnemius medial head; Soleus; Plantaris; Tibialis posterior; Fibularis longus; Fibularis brevis</x:v>
      </x:c>
      <x:c r="G231" s="24" t="str">
        <x:v>—</x:v>
      </x:c>
      <x:c r="H231" s="24" t="str">
        <x:v>—</x:v>
      </x:c>
      <x:c r="I231" s="24" t="str">
        <x:v>Gastrocnemius lateral head; Gastrocnemius medial head; Soleus; Plantaris; Tibialis anterior; Extensor digitorum longus; Extensor hallucis longus; Fibularis tertius</x:v>
      </x:c>
      <x:c r="J231" s="24" t="str">
        <x:v>Tibialis anterior; Extensor digitorum longus; Extensor hallucis longus; Fibularis tertius; Gastrocnemius lateral head; Gastrocnemius medial head; Soleus; Plantaris; Tibialis posterior; Fibularis longus; Fibularis brevis</x:v>
      </x:c>
      <x:c r="K231" s="24" t="str">
        <x:v>Atlas-listed tendon/aponeurosis examples: Tibialis anterior tendon; Four extensor digitorum longus tendons; EHL tendon; Fibularis tertius tendon; additional listed attachments</x:v>
      </x:c>
      <x:c r="L231" s="24" t="str">
        <x:v>Deltoid ligament and lateral ankle ligaments (ATFL/CFL/PTFL) stabilize ankle; NOT intentionally stretched</x:v>
      </x:c>
      <x:c r="M231" s="24" t="str">
        <x:v>Muscles: Tibialis anterior; Extensor digitorum longus; Extensor hallucis longus; Fibularis tertius; Gastrocnemius lateral head; Gastrocnemius medial head; Soleus; Plantaris; Tibialis posterior; Fibularis longus; Fibularis brevis | Tendons/fascia: Atlas-listed tendon/aponeurosis examples: Tibialis anterior tendon; Four extensor digitorum longus tendons; EHL tendon; Fibularis tertius tendon; additional listed attachments | Ligament context only: Deltoid ligament and lateral ankle ligaments (ATFL/CFL/PTFL) stabilize ankle; NOT intentionally stretched</x:v>
      </x:c>
      <x:c r="N231" s="24" t="str">
        <x:v>Usually none expected (stretch, mobility or relaxation; any active movers are low-load)</x:v>
      </x:c>
      <x:c r="O231" s="24" t="str">
        <x:v>Trace slow ankle circles within comfortable available range.</x:v>
      </x:c>
      <x:c r="P231" s="24" t="str">
        <x:v>Chair</x:v>
      </x:c>
      <x:c r="Q231" s="24" t="str">
        <x:v>1–2 × 5–10 controlled reps</x:v>
      </x:c>
      <x:c r="R231" s="24" t="str">
        <x:v>Progress gradually; stop with sharp pain, dizziness, or numbness.</x:v>
      </x:c>
      <x:c r="S231" s="24" t="str">
        <x:v>https://www.orthoinfo.org/recovery/foot-and-ankle-conditioning-program</x:v>
      </x:c>
      <x:c r="T231" s="24" t="str">
        <x:v>Anatomy-based mapping</x:v>
      </x:c>
    </x:row>
    <x:row r="232" ht="54" customHeight="1">
      <x:c r="A232" s="24" t="str">
        <x:v>EX0229</x:v>
      </x:c>
      <x:c r="B232" s="24" t="str">
        <x:v>Heel walk short distance</x:v>
      </x:c>
      <x:c r="C232" s="24" t="str">
        <x:v>Leg &amp; Ankle</x:v>
      </x:c>
      <x:c r="D232" s="24" t="str">
        <x:v>Home</x:v>
      </x:c>
      <x:c r="E232" s="24" t="str">
        <x:v>Compound strength</x:v>
      </x:c>
      <x:c r="F232" s="24" t="str">
        <x:v>Tibialis anterior; Extensor digitorum longus; Extensor hallucis longus; Fibularis tertius</x:v>
      </x:c>
      <x:c r="G232" s="24" t="str">
        <x:v>—</x:v>
      </x:c>
      <x:c r="H232" s="24" t="str">
        <x:v>Gluteus medius; Gluteus minimus; Tensor fasciae latae;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232" s="24" t="str">
        <x:v>—</x:v>
      </x:c>
      <x:c r="J232" s="24" t="str">
        <x:v>Tibialis anterior; Extensor digitorum longus; Extensor hallucis longus; Fibularis tertius; Gluteus medius; Gluteus minimus; Tensor fasciae latae;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232" s="24" t="str">
        <x:v>Atlas-listed tendon/aponeurosis examples: Tibialis anterior tendon; Four extensor digitorum longus tendons; EHL tendon; Fibularis tertius tendon</x:v>
      </x:c>
      <x:c r="L232" s="24" t="str">
        <x:v>Deltoid ligament and lateral ankle ligaments (ATFL/CFL/PTFL) stabilize ankle; NOT intentionally stretched</x:v>
      </x:c>
      <x:c r="M232" s="24" t="str">
        <x:v>Muscles: Tibialis anterior; Extensor digitorum longus; Extensor hallucis longus; Fibularis tertius; Gluteus medius; Gluteus minimus; Tensor fasciae latae;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Atlas-listed tendon/aponeurosis examples: Tibialis anterior tendon; Four extensor digitorum longus tendons; EHL tendon; Fibularis tertius tendon | Ligament context only: Deltoid ligament and lateral ankle ligaments (ATFL/CFL/PTFL) stabilize ankle; NOT intentionally stretched</x:v>
      </x:c>
      <x:c r="N232" s="24" t="str">
        <x:v>Tibialis anterior; Extensor digitorum longus; Extensor hallucis longus; Fibularis tertius</x:v>
      </x:c>
      <x:c r="O232" s="24" t="str">
        <x:v>Walk on heels keeping toes gently lifted.</x:v>
      </x:c>
      <x:c r="P232" s="24" t="str">
        <x:v>Floor</x:v>
      </x:c>
      <x:c r="Q232" s="24" t="str">
        <x:v>2–3 × 8–12 controlled reps</x:v>
      </x:c>
      <x:c r="R232" s="24" t="str">
        <x:v>Progress gradually; stop with sharp pain, dizziness, or numbness.</x:v>
      </x:c>
      <x:c r="S232" s="24" t="str">
        <x:v>https://www.orthoinfo.org/recovery/foot-and-ankle-conditioning-program</x:v>
      </x:c>
      <x:c r="T232" s="24" t="str">
        <x:v>Anatomy-based mapping</x:v>
      </x:c>
    </x:row>
    <x:row r="233" ht="54" customHeight="1">
      <x:c r="A233" s="24" t="str">
        <x:v>EX0230</x:v>
      </x:c>
      <x:c r="B233" s="24" t="str">
        <x:v>Toe walk short distance</x:v>
      </x:c>
      <x:c r="C233" s="24" t="str">
        <x:v>Leg &amp; Ankle</x:v>
      </x:c>
      <x:c r="D233" s="24" t="str">
        <x:v>Home</x:v>
      </x:c>
      <x:c r="E233" s="24" t="str">
        <x:v>Compound strength</x:v>
      </x:c>
      <x:c r="F233" s="24" t="str">
        <x:v>Gastrocnemius lateral head; Gastrocnemius medial head; Soleus; Plantaris</x:v>
      </x:c>
      <x:c r="G233" s="24" t="str">
        <x:v>Tibialis posterior</x:v>
      </x:c>
      <x:c r="H233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Gluteus medius; Gluteus minimus; Tensor fasciae latae</x:v>
      </x:c>
      <x:c r="I233" s="24" t="str">
        <x:v>—</x:v>
      </x:c>
      <x:c r="J233" s="24" t="str">
        <x:v>Gastrocnemius lateral head; Gastrocnemius medial head; Soleus; Plantaris; Tibialis posterior;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Gluteus medius; Gluteus minimus; Tensor fasciae latae</x:v>
      </x:c>
      <x:c r="K233" s="24" t="str">
        <x:v>Achilles tendon</x:v>
      </x:c>
      <x:c r="L233" s="24" t="str">
        <x:v>Deltoid ligament and lateral ankle ligaments (ATFL/CFL/PTFL) stabilize ankle; NOT intentionally stretched</x:v>
      </x:c>
      <x:c r="M233" s="24" t="str">
        <x:v>Muscles: Gastrocnemius lateral head; Gastrocnemius medial head; Soleus; Plantaris; Tibialis posterior;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Gluteus medius; Gluteus minimus; Tensor fasciae latae | Tendons/fascia: Achilles tendon | Ligament context only: Deltoid ligament and lateral ankle ligaments (ATFL/CFL/PTFL) stabilize ankle; NOT intentionally stretched</x:v>
      </x:c>
      <x:c r="N233" s="24" t="str">
        <x:v>Gastrocnemius lateral head; Gastrocnemius medial head; Soleus; Plantaris; Tibialis posterior</x:v>
      </x:c>
      <x:c r="O233" s="24" t="str">
        <x:v>Walk on balls of feet with controlled ankle alignment.</x:v>
      </x:c>
      <x:c r="P233" s="24" t="str">
        <x:v>Floor</x:v>
      </x:c>
      <x:c r="Q233" s="24" t="str">
        <x:v>2–3 × 8–12 controlled reps</x:v>
      </x:c>
      <x:c r="R233" s="24" t="str">
        <x:v>Progress gradually; stop with sharp pain, dizziness, or numbness.</x:v>
      </x:c>
      <x:c r="S233" s="24" t="str">
        <x:v>https://www.orthoinfo.org/recovery/foot-and-ankle-conditioning-program</x:v>
      </x:c>
      <x:c r="T233" s="24" t="str">
        <x:v>Anatomy-based mapping</x:v>
      </x:c>
    </x:row>
    <x:row r="234" ht="54" customHeight="1">
      <x:c r="A234" s="24" t="str">
        <x:v>EX0231</x:v>
      </x:c>
      <x:c r="B234" s="24" t="str">
        <x:v>Seated band toe inversion/eversion coordination</x:v>
      </x:c>
      <x:c r="C234" s="24" t="str">
        <x:v>Leg &amp; Ankle</x:v>
      </x:c>
      <x:c r="D234" s="24" t="str">
        <x:v>Home</x:v>
      </x:c>
      <x:c r="E234" s="24" t="str">
        <x:v>Motor control</x:v>
      </x:c>
      <x:c r="F234" s="24" t="str">
        <x:v>Tibialis posterior; Fibularis longus; Fibularis brevis; Fibularis tertius</x:v>
      </x:c>
      <x:c r="G234" s="24" t="str">
        <x:v>—</x:v>
      </x:c>
      <x:c r="H234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234" s="24" t="str">
        <x:v>—</x:v>
      </x:c>
      <x:c r="J234" s="24" t="str">
        <x:v>Tibialis posterior; Fibularis longus; Fibularis brevis; Fibularis tertius;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234" s="24" t="str">
        <x:v>Atlas-listed tendon/aponeurosis examples: Tibialis posterior multi-slip tendon; Fibularis longus tendon runs beneath cuboid; Fibularis brevis tendon; Fibularis tertius tendon</x:v>
      </x:c>
      <x:c r="L234" s="24" t="str">
        <x:v>Deltoid ligament and lateral ankle ligaments (ATFL/CFL/PTFL) stabilize ankle; NOT intentionally stretched</x:v>
      </x:c>
      <x:c r="M234" s="24" t="str">
        <x:v>Muscles: Tibialis posterior; Fibularis longus; Fibularis brevis; Fibularis tertius;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Atlas-listed tendon/aponeurosis examples: Tibialis posterior multi-slip tendon; Fibularis longus tendon runs beneath cuboid; Fibularis brevis tendon; Fibularis tertius tendon | Ligament context only: Deltoid ligament and lateral ankle ligaments (ATFL/CFL/PTFL) stabilize ankle; NOT intentionally stretched</x:v>
      </x:c>
      <x:c r="N234" s="24" t="str">
        <x:v>Low-load activation, not ordinarily to fatigue: Tibialis posterior; Fibularis longus; Fibularis brevis; Fibularis tertius</x:v>
      </x:c>
      <x:c r="O234" s="24" t="str">
        <x:v>Alternately invert and evert forefoot against light band.</x:v>
      </x:c>
      <x:c r="P234" s="24" t="str">
        <x:v>Light band</x:v>
      </x:c>
      <x:c r="Q234" s="24" t="str">
        <x:v>1–2 × 5–10 controlled reps</x:v>
      </x:c>
      <x:c r="R234" s="24" t="str">
        <x:v>Progress gradually; stop with sharp pain, dizziness, or numbness.</x:v>
      </x:c>
      <x:c r="S234" s="24" t="str">
        <x:v>https://www.orthoinfo.org/recovery/foot-and-ankle-conditioning-program</x:v>
      </x:c>
      <x:c r="T234" s="24" t="str">
        <x:v>Anatomy-based mapping</x:v>
      </x:c>
    </x:row>
    <x:row r="235" ht="54" customHeight="1">
      <x:c r="A235" s="24" t="str">
        <x:v>EX0232</x:v>
      </x:c>
      <x:c r="B235" s="24" t="str">
        <x:v>Leg press calf raise</x:v>
      </x:c>
      <x:c r="C235" s="24" t="str">
        <x:v>Leg &amp; Ankle</x:v>
      </x:c>
      <x:c r="D235" s="24" t="str">
        <x:v>Gym</x:v>
      </x:c>
      <x:c r="E235" s="24" t="str">
        <x:v>Isolation strength</x:v>
      </x:c>
      <x:c r="F235" s="24" t="str">
        <x:v>Gastrocnemius lateral head; Gastrocnemius medial head; Soleus; Plantaris</x:v>
      </x:c>
      <x:c r="G235" s="24" t="str">
        <x:v>Tibialis posterior</x:v>
      </x:c>
      <x:c r="H235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235" s="24" t="str">
        <x:v>—</x:v>
      </x:c>
      <x:c r="J235" s="24" t="str">
        <x:v>Gastrocnemius lateral head; Gastrocnemius medial head; Soleus; Plantaris; Tibialis posterior;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235" s="24" t="str">
        <x:v>Achilles tendon</x:v>
      </x:c>
      <x:c r="L235" s="24" t="str">
        <x:v>Deltoid ligament and lateral ankle ligaments (ATFL/CFL/PTFL) stabilize ankle; NOT intentionally stretched</x:v>
      </x:c>
      <x:c r="M235" s="24" t="str">
        <x:v>Muscles: Gastrocnemius lateral head; Gastrocnemius medial head; Soleus; Plantaris; Tibialis posterior;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Achilles tendon | Ligament context only: Deltoid ligament and lateral ankle ligaments (ATFL/CFL/PTFL) stabilize ankle; NOT intentionally stretched</x:v>
      </x:c>
      <x:c r="N235" s="24" t="str">
        <x:v>Gastrocnemius lateral head; Gastrocnemius medial head; Soleus; Plantaris; Tibialis posterior</x:v>
      </x:c>
      <x:c r="O235" s="24" t="str">
        <x:v>On leg press platform plantarflex ankles only, knees soft.</x:v>
      </x:c>
      <x:c r="P235" s="24" t="str">
        <x:v>Leg press machine</x:v>
      </x:c>
      <x:c r="Q235" s="24" t="str">
        <x:v>2–3 × 8–12 controlled reps</x:v>
      </x:c>
      <x:c r="R235" s="24" t="str">
        <x:v>Progress gradually; stop with sharp pain, dizziness, or numbness.</x:v>
      </x:c>
      <x:c r="S235" s="24" t="str">
        <x:v>https://www.orthoinfo.org/recovery/foot-and-ankle-conditioning-program</x:v>
      </x:c>
      <x:c r="T235" s="24" t="str">
        <x:v>Anatomy-based mapping</x:v>
      </x:c>
    </x:row>
    <x:row r="236" ht="54" customHeight="1">
      <x:c r="A236" s="24" t="str">
        <x:v>EX0233</x:v>
      </x:c>
      <x:c r="B236" s="24" t="str">
        <x:v>Forearm plank</x:v>
      </x:c>
      <x:c r="C236" s="24" t="str">
        <x:v>Abdomen &amp; Core</x:v>
      </x:c>
      <x:c r="D236" s="24" t="str">
        <x:v>Home</x:v>
      </x:c>
      <x:c r="E236" s="24" t="str">
        <x:v>Isometric strength</x:v>
      </x:c>
      <x:c r="F236" s="24" t="str">
        <x:v>Rectus abdominis; External oblique; Internal oblique; Transversus abdominis</x:v>
      </x:c>
      <x:c r="G236" s="24" t="str">
        <x:v>Gluteus maximus</x:v>
      </x:c>
      <x:c r="H236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Deltoid; Supraspinatus; Serratus anterior; Pectoralis minor; Pyramidalis</x:v>
      </x:c>
      <x:c r="I236" s="24" t="str">
        <x:v>—</x:v>
      </x:c>
      <x:c r="J236" s="24" t="str">
        <x:v>Rectus abdominis; External oblique; Internal oblique; Transversus abdominis;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Deltoid; Supraspinatus; Serratus anterior; Pectoralis minor; Pyramidalis</x:v>
      </x:c>
      <x:c r="K236" s="24" t="str">
        <x:v>Rectus abdominis tendinous intersections; abdominal aponeuroses</x:v>
      </x:c>
      <x:c r="L236" s="24" t="str">
        <x:v>Thoracolumbar fascia and spinal ligaments contribute passive stability; NOT targeted for stretching</x:v>
      </x:c>
      <x:c r="M236" s="24" t="str">
        <x:v>Muscles: Rectus abdominis; External oblique; Internal oblique; Transversus abdominis;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Deltoid; Supraspinatus; Serratus anterior; Pectoralis minor; Pyramidalis | Tendons/fascia: Rectus abdominis tendinous intersections; abdominal aponeuroses | Ligament context only: Thoracolumbar fascia and spinal ligaments contribute passive stability; NOT targeted for stretching</x:v>
      </x:c>
      <x:c r="N236" s="24" t="str">
        <x:v>Rectus abdominis; External oblique; Internal oblique; Transversus abdominis; Gluteus maximus</x:v>
      </x:c>
      <x:c r="O236" s="24" t="str">
        <x:v>Hold ribs stacked over pelvis and prevent low-back sag.</x:v>
      </x:c>
      <x:c r="P236" s="24" t="str">
        <x:v>Mat</x:v>
      </x:c>
      <x:c r="Q236" s="24" t="str">
        <x:v>2–3 × 8–12 controlled reps</x:v>
      </x:c>
      <x:c r="R236" s="24" t="str">
        <x:v>Progress gradually; stop with sharp pain, dizziness, or numbness.</x:v>
      </x:c>
      <x:c r="S236" s="24" t="str">
        <x:v>https://www.acsm.org/education-resources/trending-topics-resources/physical-activity-guidelines</x:v>
      </x:c>
      <x:c r="T236" s="24" t="str">
        <x:v>Anatomy-based mapping</x:v>
      </x:c>
    </x:row>
    <x:row r="237" ht="54" customHeight="1">
      <x:c r="A237" s="24" t="str">
        <x:v>EX0234</x:v>
      </x:c>
      <x:c r="B237" s="24" t="str">
        <x:v>High plank</x:v>
      </x:c>
      <x:c r="C237" s="24" t="str">
        <x:v>Abdomen &amp; Core</x:v>
      </x:c>
      <x:c r="D237" s="24" t="str">
        <x:v>Home</x:v>
      </x:c>
      <x:c r="E237" s="24" t="str">
        <x:v>Isometric strength</x:v>
      </x:c>
      <x:c r="F237" s="24" t="str">
        <x:v>Rectus abdominis; External oblique; Internal oblique; Transversus abdominis</x:v>
      </x:c>
      <x:c r="G237" s="24" t="str">
        <x:v>Serratus anterior; Pectoralis minor; Triceps brachii lateral head; Triceps brachii long head; Triceps brachii medial head</x:v>
      </x:c>
      <x:c r="H237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Infraspinatus; Subscapularis; Supraspinatus; Teres minor</x:v>
      </x:c>
      <x:c r="I237" s="24" t="str">
        <x:v>—</x:v>
      </x:c>
      <x:c r="J237" s="24" t="str">
        <x:v>Rectus abdominis; External oblique; Internal oblique; Transversus abdominis; Serratus anterior; Pectoralis minor; Triceps brachii lateral head; Triceps brachii long head; Triceps brachii medial head;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Infraspinatus; Subscapularis; Supraspinatus; Teres minor</x:v>
      </x:c>
      <x:c r="K237" s="24" t="str">
        <x:v>Atlas-listed tendon/aponeurosis examples: Tendinous intersections and rectus sheath insertion; Broad external oblique aponeurosis; Internal oblique aponeurosis; conjoint tendon; Transversus aponeurosis; conjoint tendon; additional listed attachments</x:v>
      </x:c>
      <x:c r="L237" s="24" t="str">
        <x:v>Thoracolumbar fascia and spinal ligaments contribute passive stability; NOT targeted for stretching</x:v>
      </x:c>
      <x:c r="M237" s="24" t="str">
        <x:v>Muscles: Rectus abdominis; External oblique; Internal oblique; Transversus abdominis; Serratus anterior; Pectoralis minor; Triceps brachii lateral head; Triceps brachii long head; Triceps brachii medial head;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Infraspinatus; Subscapularis; Supraspinatus; Teres minor | Tendons/fascia: Atlas-listed tendon/aponeurosis examples: Tendinous intersections and rectus sheath insertion; Broad external oblique aponeurosis; Internal oblique aponeurosis; conjoint tendon; Transversus aponeurosis; conjoint tendon; additional listed attachments | Ligament context only: Thoracolumbar fascia and spinal ligaments contribute passive stability; NOT targeted for stretching</x:v>
      </x:c>
      <x:c r="N237" s="24" t="str">
        <x:v>Rectus abdominis; External oblique; Internal oblique; Transversus abdominis; Serratus anterior; Pectoralis minor; Triceps brachii lateral head; Triceps brachii long head; Triceps brachii medial head</x:v>
      </x:c>
      <x:c r="O237" s="24" t="str">
        <x:v>Hands under shoulders; maintain body alignment and reach ground away.</x:v>
      </x:c>
      <x:c r="P237" s="24" t="str">
        <x:v>Floor</x:v>
      </x:c>
      <x:c r="Q237" s="24" t="str">
        <x:v>2–3 × 8–12 controlled reps</x:v>
      </x:c>
      <x:c r="R237" s="24" t="str">
        <x:v>Progress gradually; stop with sharp pain, dizziness, or numbness.</x:v>
      </x:c>
      <x:c r="S237" s="24" t="str">
        <x:v>https://www.acsm.org/education-resources/trending-topics-resources/physical-activity-guidelines</x:v>
      </x:c>
      <x:c r="T237" s="24" t="str">
        <x:v>Anatomy-based mapping</x:v>
      </x:c>
    </x:row>
    <x:row r="238" ht="54" customHeight="1">
      <x:c r="A238" s="24" t="str">
        <x:v>EX0235</x:v>
      </x:c>
      <x:c r="B238" s="24" t="str">
        <x:v>Side plank (knees bent)</x:v>
      </x:c>
      <x:c r="C238" s="24" t="str">
        <x:v>Abdomen &amp; Core</x:v>
      </x:c>
      <x:c r="D238" s="24" t="str">
        <x:v>Home</x:v>
      </x:c>
      <x:c r="E238" s="24" t="str">
        <x:v>Isometric strength</x:v>
      </x:c>
      <x:c r="F238" s="24" t="str">
        <x:v>External oblique; Internal oblique; Transversus abdominis; Quadratus lumborum</x:v>
      </x:c>
      <x:c r="G238" s="24" t="str">
        <x:v>Gluteus medius; Gluteus minimus; Tensor fasciae latae</x:v>
      </x:c>
      <x:c r="H238" s="24" t="str">
        <x:v>Deltoid; Supraspinatus; Serratus anterior; Pectoralis minor</x:v>
      </x:c>
      <x:c r="I238" s="24" t="str">
        <x:v>—</x:v>
      </x:c>
      <x:c r="J238" s="24" t="str">
        <x:v>External oblique; Internal oblique; Transversus abdominis; Quadratus lumborum; Gluteus medius; Gluteus minimus; Tensor fasciae latae; Deltoid; Supraspinatus; Serratus anterior; Pectoralis minor</x:v>
      </x:c>
      <x:c r="K238" s="24" t="str">
        <x:v>Atlas-listed tendon/aponeurosis examples: Broad external oblique aponeurosis; Internal oblique aponeurosis; conjoint tendon; Transversus aponeurosis; conjoint tendon; Short aponeuroses to lumbar transverse processes; additional listed attachments</x:v>
      </x:c>
      <x:c r="L238" s="24" t="str">
        <x:v>Thoracolumbar fascia and spinal ligaments contribute passive stability; NOT targeted for stretching</x:v>
      </x:c>
      <x:c r="M238" s="24" t="str">
        <x:v>Muscles: External oblique; Internal oblique; Transversus abdominis; Quadratus lumborum; Gluteus medius; Gluteus minimus; Tensor fasciae latae; Deltoid; Supraspinatus; Serratus anterior; Pectoralis minor | Tendons/fascia: Atlas-listed tendon/aponeurosis examples: Broad external oblique aponeurosis; Internal oblique aponeurosis; conjoint tendon; Transversus aponeurosis; conjoint tendon; Short aponeuroses to lumbar transverse processes; additional listed attachments | Ligament context only: Thoracolumbar fascia and spinal ligaments contribute passive stability; NOT targeted for stretching</x:v>
      </x:c>
      <x:c r="N238" s="24" t="str">
        <x:v>External oblique; Internal oblique; Transversus abdominis; Quadratus lumborum; Gluteus medius; Gluteus minimus; Tensor fasciae latae</x:v>
      </x:c>
      <x:c r="O238" s="24" t="str">
        <x:v>Support on elbow and knees; lift hips with shoulders/hips stacked.</x:v>
      </x:c>
      <x:c r="P238" s="24" t="str">
        <x:v>Mat</x:v>
      </x:c>
      <x:c r="Q238" s="24" t="str">
        <x:v>2–3 × 8–12 controlled reps</x:v>
      </x:c>
      <x:c r="R238" s="24" t="str">
        <x:v>Progress gradually; stop with sharp pain, dizziness, or numbness.</x:v>
      </x:c>
      <x:c r="S238" s="24" t="str">
        <x:v>https://www.acsm.org/education-resources/trending-topics-resources/physical-activity-guidelines</x:v>
      </x:c>
      <x:c r="T238" s="24" t="str">
        <x:v>Anatomy-based mapping</x:v>
      </x:c>
    </x:row>
    <x:row r="239" ht="54" customHeight="1">
      <x:c r="A239" s="24" t="str">
        <x:v>EX0236</x:v>
      </x:c>
      <x:c r="B239" s="24" t="str">
        <x:v>Side plank (full)</x:v>
      </x:c>
      <x:c r="C239" s="24" t="str">
        <x:v>Abdomen &amp; Core</x:v>
      </x:c>
      <x:c r="D239" s="24" t="str">
        <x:v>Home</x:v>
      </x:c>
      <x:c r="E239" s="24" t="str">
        <x:v>Isometric strength</x:v>
      </x:c>
      <x:c r="F239" s="24" t="str">
        <x:v>External oblique; Internal oblique; Transversus abdominis; Quadratus lumborum</x:v>
      </x:c>
      <x:c r="G239" s="24" t="str">
        <x:v>Gluteus medius; Gluteus minimus; Tensor fasciae latae</x:v>
      </x:c>
      <x:c r="H239" s="24" t="str">
        <x:v>Deltoid; Supraspinatus; Serratus anterior; Pectoralis minor</x:v>
      </x:c>
      <x:c r="I239" s="24" t="str">
        <x:v>—</x:v>
      </x:c>
      <x:c r="J239" s="24" t="str">
        <x:v>External oblique; Internal oblique; Transversus abdominis; Quadratus lumborum; Gluteus medius; Gluteus minimus; Tensor fasciae latae; Deltoid; Supraspinatus; Serratus anterior; Pectoralis minor</x:v>
      </x:c>
      <x:c r="K239" s="24" t="str">
        <x:v>Atlas-listed tendon/aponeurosis examples: Broad external oblique aponeurosis; Internal oblique aponeurosis; conjoint tendon; Transversus aponeurosis; conjoint tendon; Short aponeuroses to lumbar transverse processes; additional listed attachments</x:v>
      </x:c>
      <x:c r="L239" s="24" t="str">
        <x:v>Thoracolumbar fascia and spinal ligaments contribute passive stability; NOT targeted for stretching</x:v>
      </x:c>
      <x:c r="M239" s="24" t="str">
        <x:v>Muscles: External oblique; Internal oblique; Transversus abdominis; Quadratus lumborum; Gluteus medius; Gluteus minimus; Tensor fasciae latae; Deltoid; Supraspinatus; Serratus anterior; Pectoralis minor | Tendons/fascia: Atlas-listed tendon/aponeurosis examples: Broad external oblique aponeurosis; Internal oblique aponeurosis; conjoint tendon; Transversus aponeurosis; conjoint tendon; Short aponeuroses to lumbar transverse processes; additional listed attachments | Ligament context only: Thoracolumbar fascia and spinal ligaments contribute passive stability; NOT targeted for stretching</x:v>
      </x:c>
      <x:c r="N239" s="24" t="str">
        <x:v>External oblique; Internal oblique; Transversus abdominis; Quadratus lumborum; Gluteus medius; Gluteus minimus; Tensor fasciae latae</x:v>
      </x:c>
      <x:c r="O239" s="24" t="str">
        <x:v>Balance on elbow and side of feet; keep waist long.</x:v>
      </x:c>
      <x:c r="P239" s="24" t="str">
        <x:v>Mat</x:v>
      </x:c>
      <x:c r="Q239" s="24" t="str">
        <x:v>2–3 × 8–12 controlled reps</x:v>
      </x:c>
      <x:c r="R239" s="24" t="str">
        <x:v>Progress gradually; stop with sharp pain, dizziness, or numbness.</x:v>
      </x:c>
      <x:c r="S239" s="24" t="str">
        <x:v>https://www.acsm.org/education-resources/trending-topics-resources/physical-activity-guidelines</x:v>
      </x:c>
      <x:c r="T239" s="24" t="str">
        <x:v>Anatomy-based mapping</x:v>
      </x:c>
    </x:row>
    <x:row r="240" ht="54" customHeight="1">
      <x:c r="A240" s="24" t="str">
        <x:v>EX0237</x:v>
      </x:c>
      <x:c r="B240" s="24" t="str">
        <x:v>Dead bug alternating arm-leg</x:v>
      </x:c>
      <x:c r="C240" s="24" t="str">
        <x:v>Abdomen &amp; Core</x:v>
      </x:c>
      <x:c r="D240" s="24" t="str">
        <x:v>Home</x:v>
      </x:c>
      <x:c r="E240" s="24" t="str">
        <x:v>Motor control</x:v>
      </x:c>
      <x:c r="F240" s="24" t="str">
        <x:v>Rectus abdominis; External oblique; Internal oblique; Transversus abdominis</x:v>
      </x:c>
      <x:c r="G240" s="24" t="str">
        <x:v>Iliacus; Psoas major; Sartorius; Tensor fasciae latae; Rectus femoris reflected head; Rectus femoris straight head; Pectineus</x:v>
      </x:c>
      <x:c r="H240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240" s="24" t="str">
        <x:v>—</x:v>
      </x:c>
      <x:c r="J240" s="24" t="str">
        <x:v>Rectus abdominis; External oblique; Internal oblique; Transversus abdominis; Iliacus; Psoas major; Sartorius; Tensor fasciae latae; Rectus femoris reflected head; Rectus femoris straight head;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240" s="24" t="str">
        <x:v>Atlas-listed tendon/aponeurosis examples: Tendinous intersections and rectus sheath insertion; Broad external oblique aponeurosis; Internal oblique aponeurosis; conjoint tendon; Transversus aponeurosis; conjoint tendon; additional listed attachments</x:v>
      </x:c>
      <x:c r="L240" s="24" t="str">
        <x:v>Thoracolumbar fascia and spinal ligaments contribute passive stability; NOT targeted for stretching</x:v>
      </x:c>
      <x:c r="M240" s="24" t="str">
        <x:v>Muscles: Rectus abdominis; External oblique; Internal oblique; Transversus abdominis; Iliacus; Psoas major; Sartorius; Tensor fasciae latae; Rectus femoris reflected head; Rectus femoris straight head;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Tendinous intersections and rectus sheath insertion; Broad external oblique aponeurosis; Internal oblique aponeurosis; conjoint tendon; Transversus aponeurosis; conjoint tendon; additional listed attachments | Ligament context only: Thoracolumbar fascia and spinal ligaments contribute passive stability; NOT targeted for stretching</x:v>
      </x:c>
      <x:c r="N240" s="24" t="str">
        <x:v>Low-load activation, not ordinarily to fatigue: Rectus abdominis; External oblique; Internal oblique; Transversus abdominis</x:v>
      </x:c>
      <x:c r="O240" s="24" t="str">
        <x:v>Supine, extend opposite arm/leg while lumbar spine remains steady.</x:v>
      </x:c>
      <x:c r="P240" s="24" t="str">
        <x:v>Mat</x:v>
      </x:c>
      <x:c r="Q240" s="24" t="str">
        <x:v>1–2 × 5–10 controlled reps</x:v>
      </x:c>
      <x:c r="R240" s="24" t="str">
        <x:v>Progress gradually; stop with sharp pain, dizziness, or numbness.</x:v>
      </x:c>
      <x:c r="S240" s="24" t="str">
        <x:v>https://www.acsm.org/education-resources/trending-topics-resources/physical-activity-guidelines</x:v>
      </x:c>
      <x:c r="T240" s="24" t="str">
        <x:v>Anatomy-based mapping</x:v>
      </x:c>
    </x:row>
    <x:row r="241" ht="54" customHeight="1">
      <x:c r="A241" s="24" t="str">
        <x:v>EX0238</x:v>
      </x:c>
      <x:c r="B241" s="24" t="str">
        <x:v>Hollow body hold bent knees</x:v>
      </x:c>
      <x:c r="C241" s="24" t="str">
        <x:v>Abdomen &amp; Core</x:v>
      </x:c>
      <x:c r="D241" s="24" t="str">
        <x:v>Home</x:v>
      </x:c>
      <x:c r="E241" s="24" t="str">
        <x:v>Isometric strength</x:v>
      </x:c>
      <x:c r="F241" s="24" t="str">
        <x:v>Rectus abdominis; Transversus abdominis</x:v>
      </x:c>
      <x:c r="G241" s="24" t="str">
        <x:v>External oblique; Internal oblique; Iliacus; Psoas major; Sartorius; Tensor fasciae latae; Rectus femoris reflected head; Rectus femoris straight head; Pectineus</x:v>
      </x:c>
      <x:c r="H241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241" s="24" t="str">
        <x:v>—</x:v>
      </x:c>
      <x:c r="J241" s="24" t="str">
        <x:v>Rectus abdominis; Transversus abdominis; External oblique; Internal oblique; Iliacus; Psoas major; Sartorius; Tensor fasciae latae; Rectus femoris reflected head; Rectus femoris straight head;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241" s="24" t="str">
        <x:v>Atlas-listed tendon/aponeurosis examples: Tendinous intersections and rectus sheath insertion; Transversus aponeurosis; conjoint tendon; Broad external oblique aponeurosis; Internal oblique aponeurosis; conjoint tendon; additional listed attachments</x:v>
      </x:c>
      <x:c r="L241" s="24" t="str">
        <x:v>Thoracolumbar fascia and spinal ligaments contribute passive stability; NOT targeted for stretching</x:v>
      </x:c>
      <x:c r="M241" s="24" t="str">
        <x:v>Muscles: Rectus abdominis; Transversus abdominis; External oblique; Internal oblique; Iliacus; Psoas major; Sartorius; Tensor fasciae latae; Rectus femoris reflected head; Rectus femoris straight head;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Tendinous intersections and rectus sheath insertion; Transversus aponeurosis; conjoint tendon; Broad external oblique aponeurosis; Internal oblique aponeurosis; conjoint tendon; additional listed attachments | Ligament context only: Thoracolumbar fascia and spinal ligaments contribute passive stability; NOT targeted for stretching</x:v>
      </x:c>
      <x:c r="N241" s="24" t="str">
        <x:v>Rectus abdominis; Transversus abdominis; External oblique; Internal oblique; Iliacus; Psoas major; Sartorius; Tensor fasciae latae; Rectus femoris reflected head; Rectus femoris straight head; Pectineus</x:v>
      </x:c>
      <x:c r="O241" s="24" t="str">
        <x:v>Flatten ribs toward pelvis and hover bent legs slightly.</x:v>
      </x:c>
      <x:c r="P241" s="24" t="str">
        <x:v>Mat</x:v>
      </x:c>
      <x:c r="Q241" s="24" t="str">
        <x:v>2–3 × 8–12 controlled reps</x:v>
      </x:c>
      <x:c r="R241" s="24" t="str">
        <x:v>Progress gradually; stop with sharp pain, dizziness, or numbness.</x:v>
      </x:c>
      <x:c r="S241" s="24" t="str">
        <x:v>https://www.acsm.org/education-resources/trending-topics-resources/physical-activity-guidelines</x:v>
      </x:c>
      <x:c r="T241" s="24" t="str">
        <x:v>Anatomy-based mapping</x:v>
      </x:c>
    </x:row>
    <x:row r="242" ht="54" customHeight="1">
      <x:c r="A242" s="24" t="str">
        <x:v>EX0239</x:v>
      </x:c>
      <x:c r="B242" s="24" t="str">
        <x:v>Reverse crunch</x:v>
      </x:c>
      <x:c r="C242" s="24" t="str">
        <x:v>Abdomen &amp; Core</x:v>
      </x:c>
      <x:c r="D242" s="24" t="str">
        <x:v>Home</x:v>
      </x:c>
      <x:c r="E242" s="24" t="str">
        <x:v>Compound strength</x:v>
      </x:c>
      <x:c r="F242" s="24" t="str">
        <x:v>Rectus abdominis; External oblique; Internal oblique; Transversus abdominis</x:v>
      </x:c>
      <x:c r="G242" s="24" t="str">
        <x:v>Iliacus; Psoas major; Sartorius; Tensor fasciae latae; Rectus femoris reflected head; Rectus femoris straight head; Pectineus</x:v>
      </x:c>
      <x:c r="H242" s="24" t="str">
        <x:v>—</x:v>
      </x:c>
      <x:c r="I242" s="24" t="str">
        <x:v>—</x:v>
      </x:c>
      <x:c r="J242" s="24" t="str">
        <x:v>Rectus abdominis; External oblique; Internal oblique; Transversus abdominis; Iliacus; Psoas major; Sartorius; Tensor fasciae latae; Rectus femoris reflected head; Rectus femoris straight head; Pectineus</x:v>
      </x:c>
      <x:c r="K242" s="24" t="str">
        <x:v>Atlas-listed tendon/aponeurosis examples: Tendinous intersections and rectus sheath insertion; Broad external oblique aponeurosis; Internal oblique aponeurosis; conjoint tendon; Transversus aponeurosis; conjoint tendon; additional listed attachments</x:v>
      </x:c>
      <x:c r="L242" s="24" t="str">
        <x:v>Thoracolumbar fascia and spinal ligaments contribute passive stability; NOT targeted for stretching</x:v>
      </x:c>
      <x:c r="M242" s="24" t="str">
        <x:v>Muscles: Rectus abdominis; External oblique; Internal oblique; Transversus abdominis; Iliacus; Psoas major; Sartorius; Tensor fasciae latae; Rectus femoris reflected head; Rectus femoris straight head; Pectineus | Tendons/fascia: Atlas-listed tendon/aponeurosis examples: Tendinous intersections and rectus sheath insertion; Broad external oblique aponeurosis; Internal oblique aponeurosis; conjoint tendon; Transversus aponeurosis; conjoint tendon; additional listed attachments | Ligament context only: Thoracolumbar fascia and spinal ligaments contribute passive stability; NOT targeted for stretching</x:v>
      </x:c>
      <x:c r="N242" s="24" t="str">
        <x:v>Rectus abdominis; External oblique; Internal oblique; Transversus abdominis; Iliacus; Psoas major; Sartorius; Tensor fasciae latae; Rectus femoris reflected head; Rectus femoris straight head; Pectineus</x:v>
      </x:c>
      <x:c r="O242" s="24" t="str">
        <x:v>Curl pelvis a few centimeters off floor, not swinging legs.</x:v>
      </x:c>
      <x:c r="P242" s="24" t="str">
        <x:v>Mat</x:v>
      </x:c>
      <x:c r="Q242" s="24" t="str">
        <x:v>2–3 × 8–12 controlled reps</x:v>
      </x:c>
      <x:c r="R242" s="24" t="str">
        <x:v>Progress gradually; stop with sharp pain, dizziness, or numbness.</x:v>
      </x:c>
      <x:c r="S242" s="24" t="str">
        <x:v>https://www.acsm.org/education-resources/trending-topics-resources/physical-activity-guidelines</x:v>
      </x:c>
      <x:c r="T242" s="24" t="str">
        <x:v>Anatomy-based mapping</x:v>
      </x:c>
    </x:row>
    <x:row r="243" ht="54" customHeight="1">
      <x:c r="A243" s="24" t="str">
        <x:v>EX0240</x:v>
      </x:c>
      <x:c r="B243" s="24" t="str">
        <x:v>Controlled curl-up / McGill curl-up</x:v>
      </x:c>
      <x:c r="C243" s="24" t="str">
        <x:v>Abdomen &amp; Core</x:v>
      </x:c>
      <x:c r="D243" s="24" t="str">
        <x:v>Home</x:v>
      </x:c>
      <x:c r="E243" s="24" t="str">
        <x:v>Isolation strength</x:v>
      </x:c>
      <x:c r="F243" s="24" t="str">
        <x:v>Rectus abdominis</x:v>
      </x:c>
      <x:c r="G243" s="24" t="str">
        <x:v>External oblique; Internal oblique; Transversus abdominis</x:v>
      </x:c>
      <x:c r="H243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243" s="24" t="str">
        <x:v>—</x:v>
      </x:c>
      <x:c r="J243" s="24" t="str">
        <x:v>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243" s="24" t="str">
        <x:v>Atlas-listed tendon/aponeurosis examples: Tendinous intersections and rectus sheath insertion; Broad external oblique aponeurosis; Internal oblique aponeurosis; conjoint tendon; Transversus aponeurosis; conjoint tendon</x:v>
      </x:c>
      <x:c r="L243" s="24" t="str">
        <x:v>Thoracolumbar fascia and spinal ligaments contribute passive stability; NOT targeted for stretching</x:v>
      </x:c>
      <x:c r="M243" s="24" t="str">
        <x:v>Muscles: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Tendinous intersections and rectus sheath insertion; Broad external oblique aponeurosis; Internal oblique aponeurosis; conjoint tendon; Transversus aponeurosis; conjoint tendon | Ligament context only: Thoracolumbar fascia and spinal ligaments contribute passive stability; NOT targeted for stretching</x:v>
      </x:c>
      <x:c r="N243" s="24" t="str">
        <x:v>Rectus abdominis; External oblique; Internal oblique; Transversus abdominis</x:v>
      </x:c>
      <x:c r="O243" s="24" t="str">
        <x:v>One knee bent, brace, lift head/shoulders a small distance.</x:v>
      </x:c>
      <x:c r="P243" s="24" t="str">
        <x:v>Mat</x:v>
      </x:c>
      <x:c r="Q243" s="24" t="str">
        <x:v>2–3 × 8–12 controlled reps</x:v>
      </x:c>
      <x:c r="R243" s="24" t="str">
        <x:v>Progress gradually; stop with sharp pain, dizziness, or numbness.</x:v>
      </x:c>
      <x:c r="S243" s="24" t="str">
        <x:v>https://www.acsm.org/education-resources/trending-topics-resources/physical-activity-guidelines</x:v>
      </x:c>
      <x:c r="T243" s="24" t="str">
        <x:v>Anatomy-based mapping</x:v>
      </x:c>
    </x:row>
    <x:row r="244" ht="54" customHeight="1">
      <x:c r="A244" s="24" t="str">
        <x:v>EX0241</x:v>
      </x:c>
      <x:c r="B244" s="24" t="str">
        <x:v>Oblique bicycle crunch slow</x:v>
      </x:c>
      <x:c r="C244" s="24" t="str">
        <x:v>Abdomen &amp; Core</x:v>
      </x:c>
      <x:c r="D244" s="24" t="str">
        <x:v>Home</x:v>
      </x:c>
      <x:c r="E244" s="24" t="str">
        <x:v>Compound strength</x:v>
      </x:c>
      <x:c r="F244" s="24" t="str">
        <x:v>External oblique; Internal oblique; Transversus abdominis; Rectus abdominis</x:v>
      </x:c>
      <x:c r="G244" s="24" t="str">
        <x:v>Iliacus; Psoas major; Sartorius; Tensor fasciae latae; Rectus femoris reflected head; Rectus femoris straight head; Pectineus</x:v>
      </x:c>
      <x:c r="H244" s="24" t="str">
        <x:v>—</x:v>
      </x:c>
      <x:c r="I244" s="24" t="str">
        <x:v>—</x:v>
      </x:c>
      <x:c r="J244" s="24" t="str">
        <x:v>External oblique; Internal oblique; Transversus abdominis; Rectus abdominis; Iliacus; Psoas major; Sartorius; Tensor fasciae latae; Rectus femoris reflected head; Rectus femoris straight head; Pectineus</x:v>
      </x:c>
      <x:c r="K244" s="24" t="str">
        <x:v>Atlas-listed tendon/aponeurosis examples: Broad external oblique aponeurosis; Internal oblique aponeurosis; conjoint tendon; Transversus aponeurosis; conjoint tendon; Tendinous intersections and rectus sheath insertion; additional listed attachments</x:v>
      </x:c>
      <x:c r="L244" s="24" t="str">
        <x:v>Thoracolumbar fascia and spinal ligaments contribute passive stability; NOT targeted for stretching</x:v>
      </x:c>
      <x:c r="M244" s="24" t="str">
        <x:v>Muscles: External oblique; Internal oblique; Transversus abdominis; Rectus abdominis; Iliacus; Psoas major; Sartorius; Tensor fasciae latae; Rectus femoris reflected head; Rectus femoris straight head; Pectineus | Tendons/fascia: Atlas-listed tendon/aponeurosis examples: Broad external oblique aponeurosis; Internal oblique aponeurosis; conjoint tendon; Transversus aponeurosis; conjoint tendon; Tendinous intersections and rectus sheath insertion; additional listed attachments | Ligament context only: Thoracolumbar fascia and spinal ligaments contribute passive stability; NOT targeted for stretching</x:v>
      </x:c>
      <x:c r="N244" s="24" t="str">
        <x:v>External oblique; Internal oblique; Transversus abdominis; Rectus abdominis; Iliacus; Psoas major; Sartorius; Tensor fasciae latae; Rectus femoris reflected head; Rectus femoris straight head; Pectineus</x:v>
      </x:c>
      <x:c r="O244" s="24" t="str">
        <x:v>Rotate rib cage gently toward opposite bent knee.</x:v>
      </x:c>
      <x:c r="P244" s="24" t="str">
        <x:v>Mat</x:v>
      </x:c>
      <x:c r="Q244" s="24" t="str">
        <x:v>2–3 × 8–12 controlled reps</x:v>
      </x:c>
      <x:c r="R244" s="24" t="str">
        <x:v>Progress gradually; stop with sharp pain, dizziness, or numbness.</x:v>
      </x:c>
      <x:c r="S244" s="24" t="str">
        <x:v>https://www.acsm.org/education-resources/trending-topics-resources/physical-activity-guidelines</x:v>
      </x:c>
      <x:c r="T244" s="24" t="str">
        <x:v>Anatomy-based mapping</x:v>
      </x:c>
    </x:row>
    <x:row r="245" ht="54" customHeight="1">
      <x:c r="A245" s="24" t="str">
        <x:v>EX0242</x:v>
      </x:c>
      <x:c r="B245" s="24" t="str">
        <x:v>Seated band trunk rotation</x:v>
      </x:c>
      <x:c r="C245" s="24" t="str">
        <x:v>Abdomen &amp; Core</x:v>
      </x:c>
      <x:c r="D245" s="24" t="str">
        <x:v>Home</x:v>
      </x:c>
      <x:c r="E245" s="24" t="str">
        <x:v>Band strength</x:v>
      </x:c>
      <x:c r="F245" s="24" t="str">
        <x:v>External oblique; Internal oblique; Transversus abdominis</x:v>
      </x:c>
      <x:c r="G245" s="24" t="str">
        <x:v>Rectus abdominis</x:v>
      </x:c>
      <x:c r="H245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245" s="24" t="str">
        <x:v>—</x:v>
      </x:c>
      <x:c r="J245" s="24" t="str">
        <x:v>External oblique; Internal oblique; Transversus abdominis; Rectus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245" s="24" t="str">
        <x:v>Atlas-listed tendon/aponeurosis examples: Broad external oblique aponeurosis; Internal oblique aponeurosis; conjoint tendon; Transversus aponeurosis; conjoint tendon; Tendinous intersections and rectus sheath insertion</x:v>
      </x:c>
      <x:c r="L245" s="24" t="str">
        <x:v>Thoracolumbar fascia and spinal ligaments contribute passive stability; NOT targeted for stretching</x:v>
      </x:c>
      <x:c r="M245" s="24" t="str">
        <x:v>Muscles: External oblique; Internal oblique; Transversus abdominis; Rectus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Broad external oblique aponeurosis; Internal oblique aponeurosis; conjoint tendon; Transversus aponeurosis; conjoint tendon; Tendinous intersections and rectus sheath insertion | Ligament context only: Thoracolumbar fascia and spinal ligaments contribute passive stability; NOT targeted for stretching</x:v>
      </x:c>
      <x:c r="N245" s="24" t="str">
        <x:v>External oblique; Internal oblique; Transversus abdominis; Rectus abdominis</x:v>
      </x:c>
      <x:c r="O245" s="24" t="str">
        <x:v>Rotate thorax with band tension while pelvis steady.</x:v>
      </x:c>
      <x:c r="P245" s="24" t="str">
        <x:v>Band; anchor</x:v>
      </x:c>
      <x:c r="Q245" s="24" t="str">
        <x:v>2–3 × 8–12 controlled reps</x:v>
      </x:c>
      <x:c r="R245" s="24" t="str">
        <x:v>Progress gradually; stop with sharp pain, dizziness, or numbness.</x:v>
      </x:c>
      <x:c r="S245" s="24" t="str">
        <x:v>https://www.acsm.org/education-resources/trending-topics-resources/physical-activity-guidelines</x:v>
      </x:c>
      <x:c r="T245" s="24" t="str">
        <x:v>Anatomy-based mapping</x:v>
      </x:c>
    </x:row>
    <x:row r="246" ht="54" customHeight="1">
      <x:c r="A246" s="24" t="str">
        <x:v>EX0243</x:v>
      </x:c>
      <x:c r="B246" s="24" t="str">
        <x:v>Standing Pallof press</x:v>
      </x:c>
      <x:c r="C246" s="24" t="str">
        <x:v>Abdomen &amp; Core</x:v>
      </x:c>
      <x:c r="D246" s="24" t="str">
        <x:v>Home</x:v>
      </x:c>
      <x:c r="E246" s="24" t="str">
        <x:v>Band strength</x:v>
      </x:c>
      <x:c r="F246" s="24" t="str">
        <x:v>External oblique; Internal oblique; Transversus abdominis</x:v>
      </x:c>
      <x:c r="G246" s="24" t="str">
        <x:v>Rectus abdominis</x:v>
      </x:c>
      <x:c r="H246" s="24" t="str">
        <x:v>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246" s="24" t="str">
        <x:v>—</x:v>
      </x:c>
      <x:c r="J246" s="24" t="str">
        <x:v>External oblique; Internal oblique; Transversus abdominis; Rectus abdominis;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246" s="24" t="str">
        <x:v>Atlas-listed tendon/aponeurosis examples: Broad external oblique aponeurosis; Internal oblique aponeurosis; conjoint tendon; Transversus aponeurosis; conjoint tendon; Tendinous intersections and rectus sheath insertion</x:v>
      </x:c>
      <x:c r="L246" s="24" t="str">
        <x:v>Thoracolumbar fascia and spinal ligaments contribute passive stability; NOT targeted for stretching</x:v>
      </x:c>
      <x:c r="M246" s="24" t="str">
        <x:v>Muscles: External oblique; Internal oblique; Transversus abdominis; Rectus abdominis;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Broad external oblique aponeurosis; Internal oblique aponeurosis; conjoint tendon; Transversus aponeurosis; conjoint tendon; Tendinous intersections and rectus sheath insertion | Ligament context only: Thoracolumbar fascia and spinal ligaments contribute passive stability; NOT targeted for stretching</x:v>
      </x:c>
      <x:c r="N246" s="24" t="str">
        <x:v>External oblique; Internal oblique; Transversus abdominis; Rectus abdominis</x:v>
      </x:c>
      <x:c r="O246" s="24" t="str">
        <x:v>Stand side-on to anchor and press band forward resisting rotation.</x:v>
      </x:c>
      <x:c r="P246" s="24" t="str">
        <x:v>Band; secure anchor</x:v>
      </x:c>
      <x:c r="Q246" s="24" t="str">
        <x:v>2–3 × 8–12 controlled reps</x:v>
      </x:c>
      <x:c r="R246" s="24" t="str">
        <x:v>Progress gradually; stop with sharp pain, dizziness, or numbness.</x:v>
      </x:c>
      <x:c r="S246" s="24" t="str">
        <x:v>https://www.acsm.org/education-resources/trending-topics-resources/physical-activity-guidelines</x:v>
      </x:c>
      <x:c r="T246" s="24" t="str">
        <x:v>Anatomy-based mapping</x:v>
      </x:c>
    </x:row>
    <x:row r="247" ht="54" customHeight="1">
      <x:c r="A247" s="24" t="str">
        <x:v>EX0244</x:v>
      </x:c>
      <x:c r="B247" s="24" t="str">
        <x:v>Kneeling Pallof hold</x:v>
      </x:c>
      <x:c r="C247" s="24" t="str">
        <x:v>Abdomen &amp; Core</x:v>
      </x:c>
      <x:c r="D247" s="24" t="str">
        <x:v>Home</x:v>
      </x:c>
      <x:c r="E247" s="24" t="str">
        <x:v>Isometric strength</x:v>
      </x:c>
      <x:c r="F247" s="24" t="str">
        <x:v>External oblique; Internal oblique; Transversus abdominis</x:v>
      </x:c>
      <x:c r="G247" s="24" t="str">
        <x:v>Rectus abdominis</x:v>
      </x:c>
      <x:c r="H247" s="24" t="str">
        <x:v>Gluteus medius; Gluteus minimus; Tensor fasciae latae</x:v>
      </x:c>
      <x:c r="I247" s="24" t="str">
        <x:v>—</x:v>
      </x:c>
      <x:c r="J247" s="24" t="str">
        <x:v>External oblique; Internal oblique; Transversus abdominis; Rectus abdominis; Gluteus medius; Gluteus minimus; Tensor fasciae latae</x:v>
      </x:c>
      <x:c r="K247" s="24" t="str">
        <x:v>Atlas-listed tendon/aponeurosis examples: Broad external oblique aponeurosis; Internal oblique aponeurosis; conjoint tendon; Transversus aponeurosis; conjoint tendon; Tendinous intersections and rectus sheath insertion</x:v>
      </x:c>
      <x:c r="L247" s="24" t="str">
        <x:v>Thoracolumbar fascia and spinal ligaments contribute passive stability; NOT targeted for stretching</x:v>
      </x:c>
      <x:c r="M247" s="24" t="str">
        <x:v>Muscles: External oblique; Internal oblique; Transversus abdominis; Rectus abdominis; Gluteus medius; Gluteus minimus; Tensor fasciae latae | Tendons/fascia: Atlas-listed tendon/aponeurosis examples: Broad external oblique aponeurosis; Internal oblique aponeurosis; conjoint tendon; Transversus aponeurosis; conjoint tendon; Tendinous intersections and rectus sheath insertion | Ligament context only: Thoracolumbar fascia and spinal ligaments contribute passive stability; NOT targeted for stretching</x:v>
      </x:c>
      <x:c r="N247" s="24" t="str">
        <x:v>External oblique; Internal oblique; Transversus abdominis; Rectus abdominis</x:v>
      </x:c>
      <x:c r="O247" s="24" t="str">
        <x:v>Hold band at arm's length while knees/hips remain square.</x:v>
      </x:c>
      <x:c r="P247" s="24" t="str">
        <x:v>Band; anchor</x:v>
      </x:c>
      <x:c r="Q247" s="24" t="str">
        <x:v>2–3 × 8–12 controlled reps</x:v>
      </x:c>
      <x:c r="R247" s="24" t="str">
        <x:v>Progress gradually; stop with sharp pain, dizziness, or numbness.</x:v>
      </x:c>
      <x:c r="S247" s="24" t="str">
        <x:v>https://www.acsm.org/education-resources/trending-topics-resources/physical-activity-guidelines</x:v>
      </x:c>
      <x:c r="T247" s="24" t="str">
        <x:v>Anatomy-based mapping</x:v>
      </x:c>
    </x:row>
    <x:row r="248" ht="54" customHeight="1">
      <x:c r="A248" s="24" t="str">
        <x:v>EX0245</x:v>
      </x:c>
      <x:c r="B248" s="24" t="str">
        <x:v>Cable anti-rotation press</x:v>
      </x:c>
      <x:c r="C248" s="24" t="str">
        <x:v>Abdomen &amp; Core</x:v>
      </x:c>
      <x:c r="D248" s="24" t="str">
        <x:v>Gym</x:v>
      </x:c>
      <x:c r="E248" s="24" t="str">
        <x:v>Compound strength</x:v>
      </x:c>
      <x:c r="F248" s="24" t="str">
        <x:v>External oblique; Internal oblique; Transversus abdominis</x:v>
      </x:c>
      <x:c r="G248" s="24" t="str">
        <x:v>Rectus abdominis</x:v>
      </x:c>
      <x:c r="H248" s="24" t="str">
        <x:v>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248" s="24" t="str">
        <x:v>—</x:v>
      </x:c>
      <x:c r="J248" s="24" t="str">
        <x:v>External oblique; Internal oblique; Transversus abdominis; Rectus abdominis;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248" s="24" t="str">
        <x:v>Atlas-listed tendon/aponeurosis examples: Broad external oblique aponeurosis; Internal oblique aponeurosis; conjoint tendon; Transversus aponeurosis; conjoint tendon; Tendinous intersections and rectus sheath insertion</x:v>
      </x:c>
      <x:c r="L248" s="24" t="str">
        <x:v>Thoracolumbar fascia and spinal ligaments contribute passive stability; NOT targeted for stretching</x:v>
      </x:c>
      <x:c r="M248" s="24" t="str">
        <x:v>Muscles: External oblique; Internal oblique; Transversus abdominis; Rectus abdominis;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Broad external oblique aponeurosis; Internal oblique aponeurosis; conjoint tendon; Transversus aponeurosis; conjoint tendon; Tendinous intersections and rectus sheath insertion | Ligament context only: Thoracolumbar fascia and spinal ligaments contribute passive stability; NOT targeted for stretching</x:v>
      </x:c>
      <x:c r="N248" s="24" t="str">
        <x:v>External oblique; Internal oblique; Transversus abdominis; Rectus abdominis</x:v>
      </x:c>
      <x:c r="O248" s="24" t="str">
        <x:v>Resist trunk twisting against cable while arms move forward.</x:v>
      </x:c>
      <x:c r="P248" s="24" t="str">
        <x:v>Cable station</x:v>
      </x:c>
      <x:c r="Q248" s="24" t="str">
        <x:v>2–3 × 8–12 controlled reps</x:v>
      </x:c>
      <x:c r="R248" s="24" t="str">
        <x:v>Progress gradually; stop with sharp pain, dizziness, or numbness.</x:v>
      </x:c>
      <x:c r="S248" s="24" t="str">
        <x:v>https://www.acsm.org/education-resources/trending-topics-resources/physical-activity-guidelines</x:v>
      </x:c>
      <x:c r="T248" s="24" t="str">
        <x:v>Anatomy-based mapping</x:v>
      </x:c>
    </x:row>
    <x:row r="249" ht="54" customHeight="1">
      <x:c r="A249" s="24" t="str">
        <x:v>EX0246</x:v>
      </x:c>
      <x:c r="B249" s="24" t="str">
        <x:v>Cable wood chop high-to-low</x:v>
      </x:c>
      <x:c r="C249" s="24" t="str">
        <x:v>Abdomen &amp; Core</x:v>
      </x:c>
      <x:c r="D249" s="24" t="str">
        <x:v>Gym</x:v>
      </x:c>
      <x:c r="E249" s="24" t="str">
        <x:v>Compound strength</x:v>
      </x:c>
      <x:c r="F249" s="24" t="str">
        <x:v>External oblique; Internal oblique; Transversus abdominis</x:v>
      </x:c>
      <x:c r="G249" s="24" t="str">
        <x:v>Rectus abdominis</x:v>
      </x:c>
      <x:c r="H249" s="24" t="str">
        <x:v>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249" s="24" t="str">
        <x:v>—</x:v>
      </x:c>
      <x:c r="J249" s="24" t="str">
        <x:v>External oblique; Internal oblique; Transversus abdominis; Rectus abdominis;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249" s="24" t="str">
        <x:v>Atlas-listed tendon/aponeurosis examples: Broad external oblique aponeurosis; Internal oblique aponeurosis; conjoint tendon; Transversus aponeurosis; conjoint tendon; Tendinous intersections and rectus sheath insertion</x:v>
      </x:c>
      <x:c r="L249" s="24" t="str">
        <x:v>Thoracolumbar fascia and spinal ligaments contribute passive stability; NOT targeted for stretching</x:v>
      </x:c>
      <x:c r="M249" s="24" t="str">
        <x:v>Muscles: External oblique; Internal oblique; Transversus abdominis; Rectus abdominis;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Broad external oblique aponeurosis; Internal oblique aponeurosis; conjoint tendon; Transversus aponeurosis; conjoint tendon; Tendinous intersections and rectus sheath insertion | Ligament context only: Thoracolumbar fascia and spinal ligaments contribute passive stability; NOT targeted for stretching</x:v>
      </x:c>
      <x:c r="N249" s="24" t="str">
        <x:v>External oblique; Internal oblique; Transversus abdominis; Rectus abdominis</x:v>
      </x:c>
      <x:c r="O249" s="24" t="str">
        <x:v>Draw cable diagonally toward opposite hip with controlled trunk rotation.</x:v>
      </x:c>
      <x:c r="P249" s="24" t="str">
        <x:v>Cable station</x:v>
      </x:c>
      <x:c r="Q249" s="24" t="str">
        <x:v>2–3 × 8–12 controlled reps</x:v>
      </x:c>
      <x:c r="R249" s="24" t="str">
        <x:v>Progress gradually; stop with sharp pain, dizziness, or numbness.</x:v>
      </x:c>
      <x:c r="S249" s="24" t="str">
        <x:v>https://www.acsm.org/education-resources/trending-topics-resources/physical-activity-guidelines</x:v>
      </x:c>
      <x:c r="T249" s="24" t="str">
        <x:v>Anatomy-based mapping</x:v>
      </x:c>
    </x:row>
    <x:row r="250" ht="54" customHeight="1">
      <x:c r="A250" s="24" t="str">
        <x:v>EX0247</x:v>
      </x:c>
      <x:c r="B250" s="24" t="str">
        <x:v>Cable low-to-high lift</x:v>
      </x:c>
      <x:c r="C250" s="24" t="str">
        <x:v>Abdomen &amp; Core</x:v>
      </x:c>
      <x:c r="D250" s="24" t="str">
        <x:v>Gym</x:v>
      </x:c>
      <x:c r="E250" s="24" t="str">
        <x:v>Compound strength</x:v>
      </x:c>
      <x:c r="F250" s="24" t="str">
        <x:v>External oblique; Internal oblique; Transversus abdominis</x:v>
      </x:c>
      <x:c r="G250" s="24" t="str">
        <x:v>Trapezius; Serratus anterior; Deltoid; Supraspinatus</x:v>
      </x:c>
      <x:c r="H250" s="24" t="str">
        <x:v>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250" s="24" t="str">
        <x:v>—</x:v>
      </x:c>
      <x:c r="J250" s="24" t="str">
        <x:v>External oblique; Internal oblique; Transversus abdominis; Trapezius; Serratus anterior; Deltoid; Supraspinatus;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250" s="24" t="str">
        <x:v>Atlas-listed tendon/aponeurosis examples: Broad external oblique aponeurosis; Internal oblique aponeurosis; conjoint tendon; Transversus aponeurosis; conjoint tendon; Broad aponeuroses and scapular/clavicular tendinous insertions; additional listed attachments</x:v>
      </x:c>
      <x:c r="L250" s="24" t="str">
        <x:v>Thoracolumbar fascia and spinal ligaments contribute passive stability; NOT targeted for stretching</x:v>
      </x:c>
      <x:c r="M250" s="24" t="str">
        <x:v>Muscles: External oblique; Internal oblique; Transversus abdominis; Trapezius; Serratus anterior; Deltoid; Supraspinatus;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Broad external oblique aponeurosis; Internal oblique aponeurosis; conjoint tendon; Transversus aponeurosis; conjoint tendon; Broad aponeuroses and scapular/clavicular tendinous insertions; additional listed attachments | Ligament context only: Thoracolumbar fascia and spinal ligaments contribute passive stability; NOT targeted for stretching</x:v>
      </x:c>
      <x:c r="N250" s="24" t="str">
        <x:v>External oblique; Internal oblique; Transversus abdominis; Trapezius; Serratus anterior; Deltoid; Supraspinatus</x:v>
      </x:c>
      <x:c r="O250" s="24" t="str">
        <x:v>Pull cable diagonally up through trunk/shoulder rotation without wrenching spine.</x:v>
      </x:c>
      <x:c r="P250" s="24" t="str">
        <x:v>Cable station</x:v>
      </x:c>
      <x:c r="Q250" s="24" t="str">
        <x:v>2–3 × 8–12 controlled reps</x:v>
      </x:c>
      <x:c r="R250" s="24" t="str">
        <x:v>Progress gradually; stop with sharp pain, dizziness, or numbness.</x:v>
      </x:c>
      <x:c r="S250" s="24" t="str">
        <x:v>https://www.acsm.org/education-resources/trending-topics-resources/physical-activity-guidelines</x:v>
      </x:c>
      <x:c r="T250" s="24" t="str">
        <x:v>Anatomy-based mapping</x:v>
      </x:c>
    </x:row>
    <x:row r="251" ht="54" customHeight="1">
      <x:c r="A251" s="24" t="str">
        <x:v>EX0248</x:v>
      </x:c>
      <x:c r="B251" s="24" t="str">
        <x:v>Hanging knee raise assisted</x:v>
      </x:c>
      <x:c r="C251" s="24" t="str">
        <x:v>Abdomen &amp; Core</x:v>
      </x:c>
      <x:c r="D251" s="24" t="str">
        <x:v>Gym</x:v>
      </x:c>
      <x:c r="E251" s="24" t="str">
        <x:v>Compound strength</x:v>
      </x:c>
      <x:c r="F251" s="24" t="str">
        <x:v>Iliacus; Psoas major; Sartorius; Tensor fasciae latae; Rectus femoris reflected head; Rectus femoris straight head; Pectineus; Rectus abdominis</x:v>
      </x:c>
      <x:c r="G251" s="24" t="str">
        <x:v>External oblique; Internal oblique; Transversus abdominis</x:v>
      </x:c>
      <x:c r="H251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Rhomboid major; Rhomboid minor; Trapezius</x:v>
      </x:c>
      <x:c r="I251" s="24" t="str">
        <x:v>—</x:v>
      </x:c>
      <x:c r="J251" s="24" t="str">
        <x:v>Iliacus; Psoas major; Sartorius; Tensor fasciae latae; Rectus femoris reflected head; Rectus femoris straight head; Pectineus;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Rhomboid major; Rhomboid minor; Trapezius</x:v>
      </x:c>
      <x:c r="K251" s="24" t="str">
        <x:v>Atlas-listed tendon/aponeurosis examples: Iliopsoas shared tendon; Pes anserinus superficial tendon; Iliotibial tract (fascial thickening); Reflected proximal tendon; quadriceps tendon; additional listed attachments</x:v>
      </x:c>
      <x:c r="L251" s="24" t="str">
        <x:v>Thoracolumbar fascia and spinal ligaments contribute passive stability; NOT targeted for stretching</x:v>
      </x:c>
      <x:c r="M251" s="24" t="str">
        <x:v>Muscles: Iliacus; Psoas major; Sartorius; Tensor fasciae latae; Rectus femoris reflected head; Rectus femoris straight head; Pectineus;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Rhomboid major; Rhomboid minor; Trapezius | Tendons/fascia: Atlas-listed tendon/aponeurosis examples: Iliopsoas shared tendon; Pes anserinus superficial tendon; Iliotibial tract (fascial thickening); Reflected proximal tendon; quadriceps tendon; additional listed attachments | Ligament context only: Thoracolumbar fascia and spinal ligaments contribute passive stability; NOT targeted for stretching</x:v>
      </x:c>
      <x:c r="N251" s="24" t="str">
        <x:v>Iliacus; Psoas major; Sartorius; Tensor fasciae latae; Rectus femoris reflected head; Rectus femoris straight head; Pectineus; Rectus abdominis; External oblique; Internal oblique; Transversus abdominis</x:v>
      </x:c>
      <x:c r="O251" s="24" t="str">
        <x:v>From captain's chair or bar, flex hips and gently posteriorly tilt pelvis.</x:v>
      </x:c>
      <x:c r="P251" s="24" t="str">
        <x:v>Captain's chair</x:v>
      </x:c>
      <x:c r="Q251" s="24" t="str">
        <x:v>2–3 × 8–12 controlled reps</x:v>
      </x:c>
      <x:c r="R251" s="24" t="str">
        <x:v>Progress gradually; stop with sharp pain, dizziness, or numbness.</x:v>
      </x:c>
      <x:c r="S251" s="24" t="str">
        <x:v>https://www.acsm.org/education-resources/trending-topics-resources/physical-activity-guidelines</x:v>
      </x:c>
      <x:c r="T251" s="24" t="str">
        <x:v>Anatomy-based mapping</x:v>
      </x:c>
    </x:row>
    <x:row r="252" ht="54" customHeight="1">
      <x:c r="A252" s="24" t="str">
        <x:v>EX0249</x:v>
      </x:c>
      <x:c r="B252" s="24" t="str">
        <x:v>Ab wheel rollout short range</x:v>
      </x:c>
      <x:c r="C252" s="24" t="str">
        <x:v>Abdomen &amp; Core</x:v>
      </x:c>
      <x:c r="D252" s="24" t="str">
        <x:v>Gym</x:v>
      </x:c>
      <x:c r="E252" s="24" t="str">
        <x:v>Compound strength</x:v>
      </x:c>
      <x:c r="F252" s="24" t="str">
        <x:v>Rectus abdominis; Transversus abdominis</x:v>
      </x:c>
      <x:c r="G252" s="24" t="str">
        <x:v>Latissimus dorsi</x:v>
      </x:c>
      <x:c r="H252" s="24" t="str">
        <x:v>Deltoid; Supraspinatus;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252" s="24" t="str">
        <x:v>—</x:v>
      </x:c>
      <x:c r="J252" s="24" t="str">
        <x:v>Rectus abdominis; Transversus abdominis; Latissimus dorsi; Deltoid; Supraspinatus;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252" s="24" t="str">
        <x:v>Abdominal aponeuroses</x:v>
      </x:c>
      <x:c r="L252" s="24" t="str">
        <x:v>Thoracolumbar fascia and spinal ligaments contribute passive stability; NOT targeted for stretching</x:v>
      </x:c>
      <x:c r="M252" s="24" t="str">
        <x:v>Muscles: Rectus abdominis; Transversus abdominis; Latissimus dorsi; Deltoid; Supraspinatus;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Abdominal aponeuroses | Ligament context only: Thoracolumbar fascia and spinal ligaments contribute passive stability; NOT targeted for stretching</x:v>
      </x:c>
      <x:c r="N252" s="24" t="str">
        <x:v>Rectus abdominis; Transversus abdominis; Latissimus dorsi</x:v>
      </x:c>
      <x:c r="O252" s="24" t="str">
        <x:v>Kneel, roll wheel only as far as trunk can resist arching.</x:v>
      </x:c>
      <x:c r="P252" s="24" t="str">
        <x:v>Ab wheel</x:v>
      </x:c>
      <x:c r="Q252" s="24" t="str">
        <x:v>2–3 × 8–12 controlled reps</x:v>
      </x:c>
      <x:c r="R252" s="24" t="str">
        <x:v>Advanced; avoid with symptomatic lumbar disc/shoulder issues.</x:v>
      </x:c>
      <x:c r="S252" s="24" t="str">
        <x:v>https://www.acsm.org/education-resources/trending-topics-resources/physical-activity-guidelines</x:v>
      </x:c>
      <x:c r="T252" s="24" t="str">
        <x:v>Anatomy-based mapping</x:v>
      </x:c>
    </x:row>
    <x:row r="253" ht="54" customHeight="1">
      <x:c r="A253" s="24" t="str">
        <x:v>EX0250</x:v>
      </x:c>
      <x:c r="B253" s="24" t="str">
        <x:v>Standing suitcase carry</x:v>
      </x:c>
      <x:c r="C253" s="24" t="str">
        <x:v>Abdomen &amp; Core</x:v>
      </x:c>
      <x:c r="D253" s="24" t="str">
        <x:v>Gym</x:v>
      </x:c>
      <x:c r="E253" s="24" t="str">
        <x:v>Compound strength</x:v>
      </x:c>
      <x:c r="F253" s="24" t="str">
        <x:v>Quadratus lumborum;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G253" s="24" t="str">
        <x:v>Trapezius</x:v>
      </x:c>
      <x:c r="H253" s="24" t="str">
        <x:v>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</x:v>
      </x:c>
      <x:c r="I253" s="24" t="str">
        <x:v>—</x:v>
      </x:c>
      <x:c r="J253" s="24" t="str">
        <x:v>Quadratus lumborum;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Trapezius;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</x:v>
      </x:c>
      <x:c r="K253" s="24" t="str">
        <x:v>Atlas-listed tendon/aponeurosis examples: Short aponeuroses to lumbar transverse processes; Broad external oblique aponeurosis; Internal oblique aponeurosis; conjoint tendon; Transversus aponeurosis; conjoint tendon; additional listed attachments</x:v>
      </x:c>
      <x:c r="L253" s="24" t="str">
        <x:v>Thoracolumbar fascia and spinal ligaments contribute passive stability; NOT targeted for stretching</x:v>
      </x:c>
      <x:c r="M253" s="24" t="str">
        <x:v>Muscles: Quadratus lumborum;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Trapezius;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 | Tendons/fascia: Atlas-listed tendon/aponeurosis examples: Short aponeuroses to lumbar transverse processes; Broad external oblique aponeurosis; Internal oblique aponeurosis; conjoint tendon; Transversus aponeurosis; conjoint tendon; additional listed attachments | Ligament context only: Thoracolumbar fascia and spinal ligaments contribute passive stability; NOT targeted for stretching</x:v>
      </x:c>
      <x:c r="N253" s="24" t="str">
        <x:v>Quadratus lumborum;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Trapezius</x:v>
      </x:c>
      <x:c r="O253" s="24" t="str">
        <x:v>Carry weight at one side; walk tall without side bending.</x:v>
      </x:c>
      <x:c r="P253" s="24" t="str">
        <x:v>Dumbbell</x:v>
      </x:c>
      <x:c r="Q253" s="24" t="str">
        <x:v>2–3 × 8–12 controlled reps</x:v>
      </x:c>
      <x:c r="R253" s="24" t="str">
        <x:v>Progress gradually; stop with sharp pain, dizziness, or numbness.</x:v>
      </x:c>
      <x:c r="S253" s="24" t="str">
        <x:v>https://www.acsm.org/education-resources/trending-topics-resources/physical-activity-guidelines</x:v>
      </x:c>
      <x:c r="T253" s="24" t="str">
        <x:v>Anatomy-based mapping</x:v>
      </x:c>
    </x:row>
    <x:row r="254" ht="54" customHeight="1">
      <x:c r="A254" s="24" t="str">
        <x:v>EX0251</x:v>
      </x:c>
      <x:c r="B254" s="24" t="str">
        <x:v>Front-rack single-dumbbell carry</x:v>
      </x:c>
      <x:c r="C254" s="24" t="str">
        <x:v>Abdomen &amp; Core</x:v>
      </x:c>
      <x:c r="D254" s="24" t="str">
        <x:v>Gym</x:v>
      </x:c>
      <x:c r="E254" s="24" t="str">
        <x:v>Compound strength</x:v>
      </x:c>
      <x:c r="F254" s="24" t="str">
        <x:v>External oblique; Internal oblique; Transversus abdominis; Rectus abdominis</x:v>
      </x:c>
      <x:c r="G254" s="24" t="str">
        <x:v>Deltoid; Supraspinatus;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H254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</x:v>
      </x:c>
      <x:c r="I254" s="24" t="str">
        <x:v>—</x:v>
      </x:c>
      <x:c r="J254" s="24" t="str">
        <x:v>External oblique; Internal oblique; Transversus abdominis; Rectus abdominis; Deltoid; Supraspinatus;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</x:v>
      </x:c>
      <x:c r="K254" s="24" t="str">
        <x:v>Atlas-listed tendon/aponeurosis examples: Broad external oblique aponeurosis; Internal oblique aponeurosis; conjoint tendon; Transversus aponeurosis; conjoint tendon; Tendinous intersections and rectus sheath insertion; additional listed attachments</x:v>
      </x:c>
      <x:c r="L254" s="24" t="str">
        <x:v>Thoracolumbar fascia and spinal ligaments contribute passive stability; NOT targeted for stretching</x:v>
      </x:c>
      <x:c r="M254" s="24" t="str">
        <x:v>Muscles: External oblique; Internal oblique; Transversus abdominis; Rectus abdominis; Deltoid; Supraspinatus;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 | Tendons/fascia: Atlas-listed tendon/aponeurosis examples: Broad external oblique aponeurosis; Internal oblique aponeurosis; conjoint tendon; Transversus aponeurosis; conjoint tendon; Tendinous intersections and rectus sheath insertion; additional listed attachments | Ligament context only: Thoracolumbar fascia and spinal ligaments contribute passive stability; NOT targeted for stretching</x:v>
      </x:c>
      <x:c r="N254" s="24" t="str">
        <x:v>External oblique; Internal oblique; Transversus abdominis; Rectus abdominis; Deltoid; Supraspinatus;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O254" s="24" t="str">
        <x:v>Carry a dumbbell at shoulder while resisting trunk rotation.</x:v>
      </x:c>
      <x:c r="P254" s="24" t="str">
        <x:v>Dumbbell</x:v>
      </x:c>
      <x:c r="Q254" s="24" t="str">
        <x:v>2–3 × 8–12 controlled reps</x:v>
      </x:c>
      <x:c r="R254" s="24" t="str">
        <x:v>Progress gradually; stop with sharp pain, dizziness, or numbness.</x:v>
      </x:c>
      <x:c r="S254" s="24" t="str">
        <x:v>https://www.acsm.org/education-resources/trending-topics-resources/physical-activity-guidelines</x:v>
      </x:c>
      <x:c r="T254" s="24" t="str">
        <x:v>Anatomy-based mapping</x:v>
      </x:c>
    </x:row>
    <x:row r="255" ht="54" customHeight="1">
      <x:c r="A255" s="24" t="str">
        <x:v>EX0252</x:v>
      </x:c>
      <x:c r="B255" s="24" t="str">
        <x:v>Abdominal brace with breathing</x:v>
      </x:c>
      <x:c r="C255" s="24" t="str">
        <x:v>Abdomen &amp; Core</x:v>
      </x:c>
      <x:c r="D255" s="24" t="str">
        <x:v>Home</x:v>
      </x:c>
      <x:c r="E255" s="24" t="str">
        <x:v>Motor control</x:v>
      </x:c>
      <x:c r="F255" s="24" t="str">
        <x:v>Transversus abdominis; Internal oblique</x:v>
      </x:c>
      <x:c r="G255" s="24" t="str">
        <x:v>Diaphragm costal part; Diaphragm lumbar part / crura; Diaphragm sternal part</x:v>
      </x:c>
      <x:c r="H255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Pyramidalis</x:v>
      </x:c>
      <x:c r="I255" s="24" t="str">
        <x:v>—</x:v>
      </x:c>
      <x:c r="J255" s="24" t="str">
        <x:v>Transversus abdominis; Internal oblique;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Pyramidalis</x:v>
      </x:c>
      <x:c r="K255" s="24" t="str">
        <x:v>Atlas-listed tendon/aponeurosis examples: Transversus aponeurosis; conjoint tendon; Internal oblique aponeurosis; conjoint tendon; Central tendon; Central tendon; crural tendons</x:v>
      </x:c>
      <x:c r="L255" s="24" t="str">
        <x:v>Thoracolumbar fascia and spinal ligaments contribute passive stability; NOT targeted for stretching</x:v>
      </x:c>
      <x:c r="M255" s="24" t="str">
        <x:v>Muscles: Transversus abdominis; Internal oblique;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Pyramidalis | Tendons/fascia: Atlas-listed tendon/aponeurosis examples: Transversus aponeurosis; conjoint tendon; Internal oblique aponeurosis; conjoint tendon; Central tendon; Central tendon; crural tendons | Ligament context only: Thoracolumbar fascia and spinal ligaments contribute passive stability; NOT targeted for stretching</x:v>
      </x:c>
      <x:c r="N255" s="24" t="str">
        <x:v>Low-load activation, not ordinarily to fatigue: Transversus abdominis; Internal oblique</x:v>
      </x:c>
      <x:c r="O255" s="24" t="str">
        <x:v>Breathe normally while gently engaging abdominal wall without bearing down.</x:v>
      </x:c>
      <x:c r="P255" s="24" t="str">
        <x:v>None</x:v>
      </x:c>
      <x:c r="Q255" s="24" t="str">
        <x:v>1–2 × 5–10 controlled reps</x:v>
      </x:c>
      <x:c r="R255" s="24" t="str">
        <x:v>Progress gradually; stop with sharp pain, dizziness, or numbness.</x:v>
      </x:c>
      <x:c r="S255" s="24" t="str">
        <x:v>https://www.acsm.org/education-resources/trending-topics-resources/physical-activity-guidelines</x:v>
      </x:c>
      <x:c r="T255" s="24" t="str">
        <x:v>Anatomy-based mapping</x:v>
      </x:c>
    </x:row>
    <x:row r="256" ht="54" customHeight="1">
      <x:c r="A256" s="24" t="str">
        <x:v>EX0253</x:v>
      </x:c>
      <x:c r="B256" s="24" t="str">
        <x:v>Supine abdominal drawing-in</x:v>
      </x:c>
      <x:c r="C256" s="24" t="str">
        <x:v>Abdomen &amp; Core</x:v>
      </x:c>
      <x:c r="D256" s="24" t="str">
        <x:v>Home</x:v>
      </x:c>
      <x:c r="E256" s="24" t="str">
        <x:v>Motor control</x:v>
      </x:c>
      <x:c r="F256" s="24" t="str">
        <x:v>Transversus abdominis</x:v>
      </x:c>
      <x:c r="G256" s="24" t="str">
        <x:v>Internal oblique</x:v>
      </x:c>
      <x:c r="H256" s="24" t="str">
        <x:v>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Pyramidalis</x:v>
      </x:c>
      <x:c r="I256" s="24" t="str">
        <x:v>—</x:v>
      </x:c>
      <x:c r="J256" s="24" t="str">
        <x:v>Transversus abdominis; Internal oblique;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Pyramidalis</x:v>
      </x:c>
      <x:c r="K256" s="24" t="str">
        <x:v>Atlas-listed tendon/aponeurosis examples: Transversus aponeurosis; conjoint tendon; Internal oblique aponeurosis; conjoint tendon</x:v>
      </x:c>
      <x:c r="L256" s="24" t="str">
        <x:v>Thoracolumbar fascia and spinal ligaments contribute passive stability; NOT targeted for stretching</x:v>
      </x:c>
      <x:c r="M256" s="24" t="str">
        <x:v>Muscles: Transversus abdominis; Internal oblique;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Pyramidalis | Tendons/fascia: Atlas-listed tendon/aponeurosis examples: Transversus aponeurosis; conjoint tendon; Internal oblique aponeurosis; conjoint tendon | Ligament context only: Thoracolumbar fascia and spinal ligaments contribute passive stability; NOT targeted for stretching</x:v>
      </x:c>
      <x:c r="N256" s="24" t="str">
        <x:v>Low-load activation, not ordinarily to fatigue: Transversus abdominis</x:v>
      </x:c>
      <x:c r="O256" s="24" t="str">
        <x:v>Gently narrow lower abdomen without holding breath or flattening forcefully.</x:v>
      </x:c>
      <x:c r="P256" s="24" t="str">
        <x:v>Mat</x:v>
      </x:c>
      <x:c r="Q256" s="24" t="str">
        <x:v>1–2 × 5–10 controlled reps</x:v>
      </x:c>
      <x:c r="R256" s="24" t="str">
        <x:v>Progress gradually; stop with sharp pain, dizziness, or numbness.</x:v>
      </x:c>
      <x:c r="S256" s="24" t="str">
        <x:v>https://www.acsm.org/education-resources/trending-topics-resources/physical-activity-guidelines</x:v>
      </x:c>
      <x:c r="T256" s="24" t="str">
        <x:v>Anatomy-based mapping</x:v>
      </x:c>
    </x:row>
    <x:row r="257" ht="54" customHeight="1">
      <x:c r="A257" s="24" t="str">
        <x:v>EX0254</x:v>
      </x:c>
      <x:c r="B257" s="24" t="str">
        <x:v>Standing abdominal wall stretch</x:v>
      </x:c>
      <x:c r="C257" s="24" t="str">
        <x:v>Abdomen &amp; Core</x:v>
      </x:c>
      <x:c r="D257" s="24" t="str">
        <x:v>Home</x:v>
      </x:c>
      <x:c r="E257" s="24" t="str">
        <x:v>Active stretch</x:v>
      </x:c>
      <x:c r="F257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G257" s="24" t="str">
        <x:v>—</x:v>
      </x:c>
      <x:c r="H257" s="24" t="str">
        <x:v>—</x:v>
      </x:c>
      <x:c r="I257" s="24" t="str">
        <x:v>Rectus abdominis; External oblique; Internal oblique</x:v>
      </x:c>
      <x:c r="J257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</x:v>
      </x:c>
      <x:c r="K257" s="24" t="str">
        <x:v>Atlas-listed tendon/aponeurosis examples: Costal-to-cervical tendons; Common erector spinae aponeurosis; rib slips; Long costal fascicular tendons; Mastoid insertion tendon; additional listed attachments</x:v>
      </x:c>
      <x:c r="L257" s="24" t="str">
        <x:v>Thoracolumbar fascia and spinal ligaments contribute passive stability; NOT targeted for stretching</x:v>
      </x:c>
      <x:c r="M257" s="24" t="str">
        <x:v>Muscles: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 | Tendons/fascia: Atlas-listed tendon/aponeurosis examples: Costal-to-cervical tendons; Common erector spinae aponeurosis; rib slips; Long costal fascicular tendons; Mastoid insertion tendon; additional listed attachments | Ligament context only: Thoracolumbar fascia and spinal ligaments contribute passive stability; NOT targeted for stretching</x:v>
      </x:c>
      <x:c r="N257" s="24" t="str">
        <x:v>Usually none expected (stretch, mobility or relaxation; any active movers are low-load)</x:v>
      </x:c>
      <x:c r="O257" s="24" t="str">
        <x:v>Reach arms overhead and extend thorax slightly without lumbar hinge.</x:v>
      </x:c>
      <x:c r="P257" s="24" t="str">
        <x:v>None</x:v>
      </x:c>
      <x:c r="Q257" s="24" t="str">
        <x:v>2–3 × 8–12 controlled reps</x:v>
      </x:c>
      <x:c r="R257" s="24" t="str">
        <x:v>Progress gradually; stop with sharp pain, dizziness, or numbness.</x:v>
      </x:c>
      <x:c r="S257" s="24" t="str">
        <x:v>https://www.acsm.org/education-resources/trending-topics-resources/physical-activity-guidelines</x:v>
      </x:c>
      <x:c r="T257" s="24" t="str">
        <x:v>Anatomy-based mapping</x:v>
      </x:c>
    </x:row>
    <x:row r="258" ht="54" customHeight="1">
      <x:c r="A258" s="24" t="str">
        <x:v>EX0255</x:v>
      </x:c>
      <x:c r="B258" s="24" t="str">
        <x:v>Sphinx pose chest/abdominal stretch</x:v>
      </x:c>
      <x:c r="C258" s="24" t="str">
        <x:v>Abdomen &amp; Core</x:v>
      </x:c>
      <x:c r="D258" s="24" t="str">
        <x:v>Home</x:v>
      </x:c>
      <x:c r="E258" s="24" t="str">
        <x:v>Passive stretch</x:v>
      </x:c>
      <x:c r="F258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G258" s="24" t="str">
        <x:v>—</x:v>
      </x:c>
      <x:c r="H258" s="24" t="str">
        <x:v>—</x:v>
      </x:c>
      <x:c r="I258" s="24" t="str">
        <x:v>Rectus abdominis; External oblique; Pyramidalis</x:v>
      </x:c>
      <x:c r="J258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Pyramidalis</x:v>
      </x:c>
      <x:c r="K258" s="24" t="str">
        <x:v>Atlas-listed tendon/aponeurosis examples: Costal-to-cervical tendons; Common erector spinae aponeurosis; rib slips; Long costal fascicular tendons; Mastoid insertion tendon; additional listed attachments</x:v>
      </x:c>
      <x:c r="L258" s="24" t="str">
        <x:v>Thoracolumbar fascia and spinal ligaments contribute passive stability; NOT targeted for stretching</x:v>
      </x:c>
      <x:c r="M258" s="24" t="str">
        <x:v>Muscles: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Pyramidalis | Tendons/fascia: Atlas-listed tendon/aponeurosis examples: Costal-to-cervical tendons; Common erector spinae aponeurosis; rib slips; Long costal fascicular tendons; Mastoid insertion tendon; additional listed attachments | Ligament context only: Thoracolumbar fascia and spinal ligaments contribute passive stability; NOT targeted for stretching</x:v>
      </x:c>
      <x:c r="N258" s="24" t="str">
        <x:v>Usually none expected (stretch, mobility or relaxation; any active movers are low-load)</x:v>
      </x:c>
      <x:c r="O258" s="24" t="str">
        <x:v>Prone on forearms, lift chest just enough to feel gentle front abdominal length.</x:v>
      </x:c>
      <x:c r="P258" s="24" t="str">
        <x:v>Mat</x:v>
      </x:c>
      <x:c r="Q258" s="24" t="str">
        <x:v>2–3 × 8–12 controlled reps</x:v>
      </x:c>
      <x:c r="R258" s="24" t="str">
        <x:v>Progress gradually; stop with sharp pain, dizziness, or numbness.</x:v>
      </x:c>
      <x:c r="S258" s="24" t="str">
        <x:v>https://www.acsm.org/education-resources/trending-topics-resources/physical-activity-guidelines</x:v>
      </x:c>
      <x:c r="T258" s="24" t="str">
        <x:v>Anatomy-based mapping</x:v>
      </x:c>
    </x:row>
    <x:row r="259" ht="54" customHeight="1">
      <x:c r="A259" s="24" t="str">
        <x:v>EX0256</x:v>
      </x:c>
      <x:c r="B259" s="24" t="str">
        <x:v>Standing side bend stretch</x:v>
      </x:c>
      <x:c r="C259" s="24" t="str">
        <x:v>Abdomen &amp; Core</x:v>
      </x:c>
      <x:c r="D259" s="24" t="str">
        <x:v>Home</x:v>
      </x:c>
      <x:c r="E259" s="24" t="str">
        <x:v>Active stretch</x:v>
      </x:c>
      <x:c r="F259" s="24" t="str">
        <x:v>External oblique; Internal oblique; Transversus abdominis; Quadratus lumborum</x:v>
      </x:c>
      <x:c r="G259" s="24" t="str">
        <x:v>—</x:v>
      </x:c>
      <x:c r="H259" s="24" t="str">
        <x:v>—</x:v>
      </x:c>
      <x:c r="I259" s="24" t="str">
        <x:v>Quadratus lumborum; External oblique; Internal oblique</x:v>
      </x:c>
      <x:c r="J259" s="24" t="str">
        <x:v>External oblique; Internal oblique; Transversus abdominis; Quadratus lumborum</x:v>
      </x:c>
      <x:c r="K259" s="24" t="str">
        <x:v>Atlas-listed tendon/aponeurosis examples: Broad external oblique aponeurosis; Internal oblique aponeurosis; conjoint tendon; Transversus aponeurosis; conjoint tendon; Short aponeuroses to lumbar transverse processes</x:v>
      </x:c>
      <x:c r="L259" s="24" t="str">
        <x:v>Thoracolumbar fascia and spinal ligaments contribute passive stability; NOT targeted for stretching</x:v>
      </x:c>
      <x:c r="M259" s="24" t="str">
        <x:v>Muscles: External oblique; Internal oblique; Transversus abdominis; Quadratus lumborum | Tendons/fascia: Atlas-listed tendon/aponeurosis examples: Broad external oblique aponeurosis; Internal oblique aponeurosis; conjoint tendon; Transversus aponeurosis; conjoint tendon; Short aponeuroses to lumbar transverse processes | Ligament context only: Thoracolumbar fascia and spinal ligaments contribute passive stability; NOT targeted for stretching</x:v>
      </x:c>
      <x:c r="N259" s="24" t="str">
        <x:v>Usually none expected (stretch, mobility or relaxation; any active movers are low-load)</x:v>
      </x:c>
      <x:c r="O259" s="24" t="str">
        <x:v>Reach one arm overhead and lean away slightly without twisting.</x:v>
      </x:c>
      <x:c r="P259" s="24" t="str">
        <x:v>None</x:v>
      </x:c>
      <x:c r="Q259" s="24" t="str">
        <x:v>2–3 × 8–12 controlled reps</x:v>
      </x:c>
      <x:c r="R259" s="24" t="str">
        <x:v>Progress gradually; stop with sharp pain, dizziness, or numbness.</x:v>
      </x:c>
      <x:c r="S259" s="24" t="str">
        <x:v>https://www.acsm.org/education-resources/trending-topics-resources/physical-activity-guidelines</x:v>
      </x:c>
      <x:c r="T259" s="24" t="str">
        <x:v>Anatomy-based mapping</x:v>
      </x:c>
    </x:row>
    <x:row r="260" ht="54" customHeight="1">
      <x:c r="A260" s="24" t="str">
        <x:v>EX0257</x:v>
      </x:c>
      <x:c r="B260" s="24" t="str">
        <x:v>Supine trunk rotation stretch</x:v>
      </x:c>
      <x:c r="C260" s="24" t="str">
        <x:v>Abdomen &amp; Core</x:v>
      </x:c>
      <x:c r="D260" s="24" t="str">
        <x:v>Home</x:v>
      </x:c>
      <x:c r="E260" s="24" t="str">
        <x:v>Passive stretch</x:v>
      </x:c>
      <x:c r="F260" s="24" t="str">
        <x:v>—</x:v>
      </x:c>
      <x:c r="G260" s="24" t="str">
        <x:v>—</x:v>
      </x:c>
      <x:c r="H260" s="24" t="str">
        <x:v>—</x:v>
      </x:c>
      <x:c r="I260" s="24" t="str">
        <x:v>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J260" s="24" t="str">
        <x:v>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260" s="24" t="str">
        <x:v>Thoracolumbar fascia; oblique aponeuroses</x:v>
      </x:c>
      <x:c r="L260" s="24" t="str">
        <x:v>Thoracolumbar fascia and spinal ligaments contribute passive stability; NOT targeted for stretching</x:v>
      </x:c>
      <x:c r="M260" s="24" t="str">
        <x:v>Muscles: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Thoracolumbar fascia; oblique aponeuroses | Ligament context only: Thoracolumbar fascia and spinal ligaments contribute passive stability; NOT targeted for stretching</x:v>
      </x:c>
      <x:c r="N260" s="24" t="str">
        <x:v>Usually none expected (stretch, mobility or relaxation; any active movers are low-load)</x:v>
      </x:c>
      <x:c r="O260" s="24" t="str">
        <x:v>With knees bent, rotate gently toward floor while shoulders stay relaxed.</x:v>
      </x:c>
      <x:c r="P260" s="24" t="str">
        <x:v>Mat</x:v>
      </x:c>
      <x:c r="Q260" s="24" t="str">
        <x:v>2–3 × 8–12 controlled reps</x:v>
      </x:c>
      <x:c r="R260" s="24" t="str">
        <x:v>Progress gradually; stop with sharp pain, dizziness, or numbness.</x:v>
      </x:c>
      <x:c r="S260" s="24" t="str">
        <x:v>https://www.acsm.org/education-resources/trending-topics-resources/physical-activity-guidelines</x:v>
      </x:c>
      <x:c r="T260" s="24" t="str">
        <x:v>Anatomy-based mapping</x:v>
      </x:c>
    </x:row>
    <x:row r="261" ht="54" customHeight="1">
      <x:c r="A261" s="24" t="str">
        <x:v>EX0258</x:v>
      </x:c>
      <x:c r="B261" s="24" t="str">
        <x:v>Bird dog</x:v>
      </x:c>
      <x:c r="C261" s="24" t="str">
        <x:v>Back &amp; Spine</x:v>
      </x:c>
      <x:c r="D261" s="24" t="str">
        <x:v>Home</x:v>
      </x:c>
      <x:c r="E261" s="24" t="str">
        <x:v>Motor control</x:v>
      </x:c>
      <x:c r="F261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</x:v>
      </x:c>
      <x:c r="G261" s="24" t="str">
        <x:v>Rectus abdominis; External oblique; Internal oblique; Transversus abdominis</x:v>
      </x:c>
      <x:c r="H261" s="24" t="str">
        <x:v>Serratus anterior; Pectoralis minor; Gluteus medius; Gluteus minimus; Tensor fasciae latae</x:v>
      </x:c>
      <x:c r="I261" s="24" t="str">
        <x:v>—</x:v>
      </x:c>
      <x:c r="J261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maximus; Rectus abdominis; External oblique; Internal oblique; Transversus abdominis; Serratus anterior; Pectoralis minor; Gluteus medius; Gluteus minimus; Tensor fasciae latae</x:v>
      </x:c>
      <x:c r="K261" s="24" t="str">
        <x:v>Thoracolumbar fascia; multifidus fascial attachments</x:v>
      </x:c>
      <x:c r="L261" s="24" t="str">
        <x:v>Interspinous/supraspinous ligaments and ligamenta flava limit end-range motion; NOT intentionally stretched</x:v>
      </x:c>
      <x:c r="M261" s="24" t="str">
        <x:v>Muscles: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maximus; Rectus abdominis; External oblique; Internal oblique; Transversus abdominis; Serratus anterior; Pectoralis minor; Gluteus medius; Gluteus minimus; Tensor fasciae latae | Tendons/fascia: Thoracolumbar fascia; multifidus fascial attachments | Ligament context only: Interspinous/supraspinous ligaments and ligamenta flava limit end-range motion; NOT intentionally stretched</x:v>
      </x:c>
      <x:c r="N261" s="24" t="str">
        <x:v>Low-load activation, not ordinarily to fatigue: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</x:v>
      </x:c>
      <x:c r="O261" s="24" t="str">
        <x:v>From all fours reach opposite arm/leg while spine and pelvis stay quiet.</x:v>
      </x:c>
      <x:c r="P261" s="24" t="str">
        <x:v>Mat</x:v>
      </x:c>
      <x:c r="Q261" s="24" t="str">
        <x:v>1–2 × 5–10 controlled reps</x:v>
      </x:c>
      <x:c r="R261" s="24" t="str">
        <x:v>Progress gradually; stop with sharp pain, dizziness, or numbness.</x:v>
      </x:c>
      <x:c r="S261" s="24" t="str">
        <x:v>https://orthoinfo.aaos.org/globalassets/pdfs/spine-conditioning-program.pdf</x:v>
      </x:c>
      <x:c r="T261" s="24" t="str">
        <x:v>Anatomy-based mapping</x:v>
      </x:c>
    </x:row>
    <x:row r="262" ht="54" customHeight="1">
      <x:c r="A262" s="24" t="str">
        <x:v>EX0259</x:v>
      </x:c>
      <x:c r="B262" s="24" t="str">
        <x:v>Quadruped single-leg extension</x:v>
      </x:c>
      <x:c r="C262" s="24" t="str">
        <x:v>Back &amp; Spine</x:v>
      </x:c>
      <x:c r="D262" s="24" t="str">
        <x:v>Home</x:v>
      </x:c>
      <x:c r="E262" s="24" t="str">
        <x:v>Motor control</x:v>
      </x:c>
      <x:c r="F262" s="24" t="str">
        <x:v>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G262" s="24" t="str">
        <x:v>—</x:v>
      </x:c>
      <x:c r="H262" s="24" t="str">
        <x:v>Rectus abdominis; External oblique; Internal oblique; Transversus abdominis</x:v>
      </x:c>
      <x:c r="I262" s="24" t="str">
        <x:v>—</x:v>
      </x:c>
      <x:c r="J262" s="24" t="str">
        <x:v>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262" s="24" t="str">
        <x:v>Atlas-listed tendon/aponeurosis examples: Iliotibial tract aponeurosis and gluteal tendon; Costal-to-cervical tendons; Common erector spinae aponeurosis; rib slips; Long costal fascicular tendons; additional listed attachments</x:v>
      </x:c>
      <x:c r="L262" s="24" t="str">
        <x:v>Interspinous/supraspinous ligaments and ligamenta flava limit end-range motion; NOT intentionally stretched</x:v>
      </x:c>
      <x:c r="M262" s="24" t="str">
        <x:v>Muscles: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Atlas-listed tendon/aponeurosis examples: Iliotibial tract aponeurosis and gluteal tendon; Costal-to-cervical tendons; Common erector spinae aponeurosis; rib slips; Long costal fascicular tendons; additional listed attachments | Ligament context only: Interspinous/supraspinous ligaments and ligamenta flava limit end-range motion; NOT intentionally stretched</x:v>
      </x:c>
      <x:c r="N262" s="24" t="str">
        <x:v>Low-load activation, not ordinarily to fatigue: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O262" s="24" t="str">
        <x:v>On all fours extend one hip without extending lumbar spine.</x:v>
      </x:c>
      <x:c r="P262" s="24" t="str">
        <x:v>Mat</x:v>
      </x:c>
      <x:c r="Q262" s="24" t="str">
        <x:v>1–2 × 5–10 controlled reps</x:v>
      </x:c>
      <x:c r="R262" s="24" t="str">
        <x:v>Progress gradually; stop with sharp pain, dizziness, or numbness.</x:v>
      </x:c>
      <x:c r="S262" s="24" t="str">
        <x:v>https://orthoinfo.aaos.org/globalassets/pdfs/spine-conditioning-program.pdf</x:v>
      </x:c>
      <x:c r="T262" s="24" t="str">
        <x:v>Anatomy-based mapping</x:v>
      </x:c>
    </x:row>
    <x:row r="263" ht="54" customHeight="1">
      <x:c r="A263" s="24" t="str">
        <x:v>EX0260</x:v>
      </x:c>
      <x:c r="B263" s="24" t="str">
        <x:v>Prone back extension (small lift)</x:v>
      </x:c>
      <x:c r="C263" s="24" t="str">
        <x:v>Back &amp; Spine</x:v>
      </x:c>
      <x:c r="D263" s="24" t="str">
        <x:v>Home</x:v>
      </x:c>
      <x:c r="E263" s="24" t="str">
        <x:v>Isolation strength</x:v>
      </x:c>
      <x:c r="F263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G263" s="24" t="str">
        <x:v>Gluteus maximus</x:v>
      </x:c>
      <x:c r="H263" s="24" t="str">
        <x:v>Rectus abdominis; External oblique; Internal oblique; Transversus abdominis</x:v>
      </x:c>
      <x:c r="I263" s="24" t="str">
        <x:v>—</x:v>
      </x:c>
      <x:c r="J263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maximus; Rectus abdominis; External oblique; Internal oblique; Transversus abdominis</x:v>
      </x:c>
      <x:c r="K263" s="24" t="str">
        <x:v>Thoracolumbar fascia; erector spinae aponeurosis</x:v>
      </x:c>
      <x:c r="L263" s="24" t="str">
        <x:v>Interspinous/supraspinous ligaments and ligamenta flava limit end-range motion; NOT intentionally stretched</x:v>
      </x:c>
      <x:c r="M263" s="24" t="str">
        <x:v>Muscles: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maximus; Rectus abdominis; External oblique; Internal oblique; Transversus abdominis | Tendons/fascia: Thoracolumbar fascia; erector spinae aponeurosis | Ligament context only: Interspinous/supraspinous ligaments and ligamenta flava limit end-range motion; NOT intentionally stretched</x:v>
      </x:c>
      <x:c r="N263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</x:v>
      </x:c>
      <x:c r="O263" s="24" t="str">
        <x:v>Lying prone, lift chest a few centimeters while neck stays long.</x:v>
      </x:c>
      <x:c r="P263" s="24" t="str">
        <x:v>Mat</x:v>
      </x:c>
      <x:c r="Q263" s="24" t="str">
        <x:v>2–3 × 8–12 controlled reps</x:v>
      </x:c>
      <x:c r="R263" s="24" t="str">
        <x:v>Progress gradually; stop with sharp pain, dizziness, or numbness.</x:v>
      </x:c>
      <x:c r="S263" s="24" t="str">
        <x:v>https://orthoinfo.aaos.org/globalassets/pdfs/spine-conditioning-program.pdf</x:v>
      </x:c>
      <x:c r="T263" s="24" t="str">
        <x:v>Anatomy-based mapping</x:v>
      </x:c>
    </x:row>
    <x:row r="264" ht="54" customHeight="1">
      <x:c r="A264" s="24" t="str">
        <x:v>EX0261</x:v>
      </x:c>
      <x:c r="B264" s="24" t="str">
        <x:v>Superman alternating arms only</x:v>
      </x:c>
      <x:c r="C264" s="24" t="str">
        <x:v>Back &amp; Spine</x:v>
      </x:c>
      <x:c r="D264" s="24" t="str">
        <x:v>Home</x:v>
      </x:c>
      <x:c r="E264" s="24" t="str">
        <x:v>Isometric strength</x:v>
      </x:c>
      <x:c r="F264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G264" s="24" t="str">
        <x:v>Rhomboid major; Rhomboid minor; Trapezius</x:v>
      </x:c>
      <x:c r="H264" s="24" t="str">
        <x:v>Gluteus medius; Gluteus minimus; Tensor fasciae latae</x:v>
      </x:c>
      <x:c r="I264" s="24" t="str">
        <x:v>—</x:v>
      </x:c>
      <x:c r="J264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Rhomboid major; Rhomboid minor; Trapezius; Gluteus medius; Gluteus minimus; Tensor fasciae latae</x:v>
      </x:c>
      <x:c r="K264" s="24" t="str">
        <x:v>Atlas-listed tendon/aponeurosis examples: Costal-to-cervical tendons; Common erector spinae aponeurosis; rib slips; Long costal fascicular tendons; Mastoid insertion tendon; additional listed attachments</x:v>
      </x:c>
      <x:c r="L264" s="24" t="str">
        <x:v>Interspinous/supraspinous ligaments and ligamenta flava limit end-range motion; NOT intentionally stretched</x:v>
      </x:c>
      <x:c r="M264" s="24" t="str">
        <x:v>Muscles: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Rhomboid major; Rhomboid minor; Trapezius; Gluteus medius; Gluteus minimus; Tensor fasciae latae | Tendons/fascia: Atlas-listed tendon/aponeurosis examples: Costal-to-cervical tendons; Common erector spinae aponeurosis; rib slips; Long costal fascicular tendons; Mastoid insertion tendon; additional listed attachments | Ligament context only: Interspinous/supraspinous ligaments and ligamenta flava limit end-range motion; NOT intentionally stretched</x:v>
      </x:c>
      <x:c r="N264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Rhomboid major; Rhomboid minor; Trapezius</x:v>
      </x:c>
      <x:c r="O264" s="24" t="str">
        <x:v>Prone, lift one arm and opposite leg a little without high lumbar arch.</x:v>
      </x:c>
      <x:c r="P264" s="24" t="str">
        <x:v>Mat</x:v>
      </x:c>
      <x:c r="Q264" s="24" t="str">
        <x:v>2–3 × 8–12 controlled reps</x:v>
      </x:c>
      <x:c r="R264" s="24" t="str">
        <x:v>Avoid with painful lumbar extension or spinal instability.</x:v>
      </x:c>
      <x:c r="S264" s="24" t="str">
        <x:v>https://orthoinfo.aaos.org/globalassets/pdfs/spine-conditioning-program.pdf</x:v>
      </x:c>
      <x:c r="T264" s="24" t="str">
        <x:v>Anatomy-based mapping</x:v>
      </x:c>
    </x:row>
    <x:row r="265" ht="54" customHeight="1">
      <x:c r="A265" s="24" t="str">
        <x:v>EX0262</x:v>
      </x:c>
      <x:c r="B265" s="24" t="str">
        <x:v>Seated band row</x:v>
      </x:c>
      <x:c r="C265" s="24" t="str">
        <x:v>Back &amp; Spine</x:v>
      </x:c>
      <x:c r="D265" s="24" t="str">
        <x:v>Home</x:v>
      </x:c>
      <x:c r="E265" s="24" t="str">
        <x:v>Band strength</x:v>
      </x:c>
      <x:c r="F265" s="24" t="str">
        <x:v>Latissimus dorsi; Teres major; Trapezius; Rhomboid major; Rhomboid minor</x:v>
      </x:c>
      <x:c r="G265" s="24" t="str">
        <x:v>Biceps brachii long head; Biceps brachii short head; Brachialis; Brachioradialis</x:v>
      </x:c>
      <x:c r="H265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abdominis; Infraspinatus; Subscapularis; Supraspinatus; Teres minor</x:v>
      </x:c>
      <x:c r="I265" s="24" t="str">
        <x:v>—</x:v>
      </x:c>
      <x:c r="J265" s="24" t="str">
        <x:v>Latissimus dorsi; Teres major; Trapezius; Rhomboid major; Rhomboid minor; Biceps brachii long head; Biceps brachii short head; Brachialis; Brachioradialis;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abdominis; Infraspinatus; Subscapularis; Supraspinatus; Teres minor</x:v>
      </x:c>
      <x:c r="K265" s="24" t="str">
        <x:v>Atlas-listed tendon/aponeurosis examples: Flattened latissimus dorsi tendon; Teres major insertion tendon; Broad aponeuroses and scapular/clavicular tendinous insertions; Fibrous scapular insertion; additional listed attachments</x:v>
      </x:c>
      <x:c r="L265" s="24" t="str">
        <x:v>Interspinous/supraspinous ligaments and ligamenta flava limit end-range motion; NOT intentionally stretched</x:v>
      </x:c>
      <x:c r="M265" s="24" t="str">
        <x:v>Muscles: Latissimus dorsi; Teres major; Trapezius; Rhomboid major; Rhomboid minor; Biceps brachii long head; Biceps brachii short head; Brachialis; Brachioradialis;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abdominis; Infraspinatus; Subscapularis; Supraspinatus; Teres minor | Tendons/fascia: Atlas-listed tendon/aponeurosis examples: Flattened latissimus dorsi tendon; Teres major insertion tendon; Broad aponeuroses and scapular/clavicular tendinous insertions; Fibrous scapular insertion; additional listed attachments | Ligament context only: Interspinous/supraspinous ligaments and ligamenta flava limit end-range motion; NOT intentionally stretched</x:v>
      </x:c>
      <x:c r="N265" s="24" t="str">
        <x:v>Latissimus dorsi; Teres major; Trapezius; Rhomboid major; Rhomboid minor; Biceps brachii long head; Biceps brachii short head; Brachialis; Brachioradialis</x:v>
      </x:c>
      <x:c r="O265" s="24" t="str">
        <x:v>Band wrapped around secure support; pull elbows back, shoulder blades glide.</x:v>
      </x:c>
      <x:c r="P265" s="24" t="str">
        <x:v>Band; secure anchor</x:v>
      </x:c>
      <x:c r="Q265" s="24" t="str">
        <x:v>2–3 × 8–12 controlled reps</x:v>
      </x:c>
      <x:c r="R265" s="24" t="str">
        <x:v>Progress gradually; stop with sharp pain, dizziness, or numbness.</x:v>
      </x:c>
      <x:c r="S265" s="24" t="str">
        <x:v>https://orthoinfo.aaos.org/globalassets/pdfs/spine-conditioning-program.pdf</x:v>
      </x:c>
      <x:c r="T265" s="24" t="str">
        <x:v>Anatomy-based mapping</x:v>
      </x:c>
    </x:row>
    <x:row r="266" ht="54" customHeight="1">
      <x:c r="A266" s="24" t="str">
        <x:v>EX0263</x:v>
      </x:c>
      <x:c r="B266" s="24" t="str">
        <x:v>Standing band row</x:v>
      </x:c>
      <x:c r="C266" s="24" t="str">
        <x:v>Back &amp; Spine</x:v>
      </x:c>
      <x:c r="D266" s="24" t="str">
        <x:v>Home</x:v>
      </x:c>
      <x:c r="E266" s="24" t="str">
        <x:v>Band strength</x:v>
      </x:c>
      <x:c r="F266" s="24" t="str">
        <x:v>Latissimus dorsi; Teres major; Trapezius; Rhomboid major; Rhomboid minor</x:v>
      </x:c>
      <x:c r="G266" s="24" t="str">
        <x:v>Biceps brachii long head; Biceps brachii short head</x:v>
      </x:c>
      <x:c r="H266" s="24" t="str">
        <x:v>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266" s="24" t="str">
        <x:v>—</x:v>
      </x:c>
      <x:c r="J266" s="24" t="str">
        <x:v>Latissimus dorsi; Teres major; Trapezius; Rhomboid major; Rhomboid minor; Biceps brachii long head; Biceps brachii short head;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266" s="24" t="str">
        <x:v>Atlas-listed tendon/aponeurosis examples: Flattened latissimus dorsi tendon; Teres major insertion tendon; Broad aponeuroses and scapular/clavicular tendinous insertions; Fibrous scapular insertion; additional listed attachments</x:v>
      </x:c>
      <x:c r="L266" s="24" t="str">
        <x:v>Interspinous/supraspinous ligaments and ligamenta flava limit end-range motion; NOT intentionally stretched</x:v>
      </x:c>
      <x:c r="M266" s="24" t="str">
        <x:v>Muscles: Latissimus dorsi; Teres major; Trapezius; Rhomboid major; Rhomboid minor; Biceps brachii long head; Biceps brachii short head;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Flattened latissimus dorsi tendon; Teres major insertion tendon; Broad aponeuroses and scapular/clavicular tendinous insertions; Fibrous scapular insertion; additional listed attachments | Ligament context only: Interspinous/supraspinous ligaments and ligamenta flava limit end-range motion; NOT intentionally stretched</x:v>
      </x:c>
      <x:c r="N266" s="24" t="str">
        <x:v>Latissimus dorsi; Teres major; Trapezius; Rhomboid major; Rhomboid minor; Biceps brachii long head; Biceps brachii short head</x:v>
      </x:c>
      <x:c r="O266" s="24" t="str">
        <x:v>Pull anchored band to lower ribs with shoulders down.</x:v>
      </x:c>
      <x:c r="P266" s="24" t="str">
        <x:v>Band; secure anchor</x:v>
      </x:c>
      <x:c r="Q266" s="24" t="str">
        <x:v>2–3 × 8–12 controlled reps</x:v>
      </x:c>
      <x:c r="R266" s="24" t="str">
        <x:v>Progress gradually; stop with sharp pain, dizziness, or numbness.</x:v>
      </x:c>
      <x:c r="S266" s="24" t="str">
        <x:v>https://orthoinfo.aaos.org/globalassets/pdfs/spine-conditioning-program.pdf</x:v>
      </x:c>
      <x:c r="T266" s="24" t="str">
        <x:v>Anatomy-based mapping</x:v>
      </x:c>
    </x:row>
    <x:row r="267" ht="54" customHeight="1">
      <x:c r="A267" s="24" t="str">
        <x:v>EX0264</x:v>
      </x:c>
      <x:c r="B267" s="24" t="str">
        <x:v>Inverted row at secured bar</x:v>
      </x:c>
      <x:c r="C267" s="24" t="str">
        <x:v>Back &amp; Spine</x:v>
      </x:c>
      <x:c r="D267" s="24" t="str">
        <x:v>Home</x:v>
      </x:c>
      <x:c r="E267" s="24" t="str">
        <x:v>Compound strength</x:v>
      </x:c>
      <x:c r="F267" s="24" t="str">
        <x:v>Latissimus dorsi; Teres major; Trapezius; Rhomboid major; Rhomboid minor</x:v>
      </x:c>
      <x:c r="G267" s="24" t="str">
        <x:v>Biceps brachii long head; Biceps brachii short head; Brachialis; Brachioradialis</x:v>
      </x:c>
      <x:c r="H267" s="24" t="str">
        <x:v>Rectus abdominis; External oblique; Internal oblique; Transversus abdominis; Infraspinatus; Subscapularis; Supraspinatus; Teres minor; Gluteus maximus; Gluteus medius; Gluteus minimus</x:v>
      </x:c>
      <x:c r="I267" s="24" t="str">
        <x:v>—</x:v>
      </x:c>
      <x:c r="J267" s="24" t="str">
        <x:v>Latissimus dorsi; Teres major; Trapezius; Rhomboid major; Rhomboid minor; Biceps brachii long head; Biceps brachii short head; Brachialis; Brachioradialis; Rectus abdominis; External oblique; Internal oblique; Transversus abdominis; Infraspinatus; Subscapularis; Supraspinatus; Teres minor; Gluteus maximus; Gluteus medius; Gluteus minimus</x:v>
      </x:c>
      <x:c r="K267" s="24" t="str">
        <x:v>Atlas-listed tendon/aponeurosis examples: Flattened latissimus dorsi tendon; Teres major insertion tendon; Broad aponeuroses and scapular/clavicular tendinous insertions; Fibrous scapular insertion; additional listed attachments</x:v>
      </x:c>
      <x:c r="L267" s="24" t="str">
        <x:v>Interspinous/supraspinous ligaments and ligamenta flava limit end-range motion; NOT intentionally stretched</x:v>
      </x:c>
      <x:c r="M267" s="24" t="str">
        <x:v>Muscles: Latissimus dorsi; Teres major; Trapezius; Rhomboid major; Rhomboid minor; Biceps brachii long head; Biceps brachii short head; Brachialis; Brachioradialis; Rectus abdominis; External oblique; Internal oblique; Transversus abdominis; Infraspinatus; Subscapularis; Supraspinatus; Teres minor; Gluteus maximus; Gluteus medius; Gluteus minimus | Tendons/fascia: Atlas-listed tendon/aponeurosis examples: Flattened latissimus dorsi tendon; Teres major insertion tendon; Broad aponeuroses and scapular/clavicular tendinous insertions; Fibrous scapular insertion; additional listed attachments | Ligament context only: Interspinous/supraspinous ligaments and ligamenta flava limit end-range motion; NOT intentionally stretched</x:v>
      </x:c>
      <x:c r="N267" s="24" t="str">
        <x:v>Latissimus dorsi; Teres major; Trapezius; Rhomboid major; Rhomboid minor; Biceps brachii long head; Biceps brachii short head; Brachialis; Brachioradialis</x:v>
      </x:c>
      <x:c r="O267" s="24" t="str">
        <x:v>Hang under stable bar; pull chest upward without hips dropping.</x:v>
      </x:c>
      <x:c r="P267" s="24" t="str">
        <x:v>Rated secured bar</x:v>
      </x:c>
      <x:c r="Q267" s="24" t="str">
        <x:v>2–3 × 8–12 controlled reps</x:v>
      </x:c>
      <x:c r="R267" s="24" t="str">
        <x:v>Progress gradually; stop with sharp pain, dizziness, or numbness.</x:v>
      </x:c>
      <x:c r="S267" s="24" t="str">
        <x:v>https://orthoinfo.aaos.org/globalassets/pdfs/spine-conditioning-program.pdf</x:v>
      </x:c>
      <x:c r="T267" s="24" t="str">
        <x:v>Anatomy-based mapping</x:v>
      </x:c>
    </x:row>
    <x:row r="268" ht="54" customHeight="1">
      <x:c r="A268" s="24" t="str">
        <x:v>EX0265</x:v>
      </x:c>
      <x:c r="B268" s="24" t="str">
        <x:v>Assisted pull-up with band</x:v>
      </x:c>
      <x:c r="C268" s="24" t="str">
        <x:v>Back &amp; Spine</x:v>
      </x:c>
      <x:c r="D268" s="24" t="str">
        <x:v>Home</x:v>
      </x:c>
      <x:c r="E268" s="24" t="str">
        <x:v>Compound strength</x:v>
      </x:c>
      <x:c r="F268" s="24" t="str">
        <x:v>Latissimus dorsi; Teres major</x:v>
      </x:c>
      <x:c r="G268" s="24" t="str">
        <x:v>Biceps brachii long head; Biceps brachii short head; Rhomboid major; Rhomboid minor; Trapezius</x:v>
      </x:c>
      <x:c r="H268" s="24" t="str">
        <x:v>Rectus abdominis; External oblique; Internal oblique; Transversus abdominis; Infraspinatus; Subscapularis; Supraspinatus; Teres minor</x:v>
      </x:c>
      <x:c r="I268" s="24" t="str">
        <x:v>—</x:v>
      </x:c>
      <x:c r="J268" s="24" t="str">
        <x:v>Latissimus dorsi; Teres major; Biceps brachii long head; Biceps brachii short head; Rhomboid major; Rhomboid minor; Trapezius; Rectus abdominis; External oblique; Internal oblique; Transversus abdominis; Infraspinatus; Subscapularis; Supraspinatus; Teres minor</x:v>
      </x:c>
      <x:c r="K268" s="24" t="str">
        <x:v>Latissimus tendon; distal biceps tendon</x:v>
      </x:c>
      <x:c r="L268" s="24" t="str">
        <x:v>Interspinous/supraspinous ligaments and ligamenta flava limit end-range motion; NOT intentionally stretched</x:v>
      </x:c>
      <x:c r="M268" s="24" t="str">
        <x:v>Muscles: Latissimus dorsi; Teres major; Biceps brachii long head; Biceps brachii short head; Rhomboid major; Rhomboid minor; Trapezius; Rectus abdominis; External oblique; Internal oblique; Transversus abdominis; Infraspinatus; Subscapularis; Supraspinatus; Teres minor | Tendons/fascia: Latissimus tendon; distal biceps tendon | Ligament context only: Interspinous/supraspinous ligaments and ligamenta flava limit end-range motion; NOT intentionally stretched</x:v>
      </x:c>
      <x:c r="N268" s="24" t="str">
        <x:v>Latissimus dorsi; Teres major; Biceps brachii long head; Biceps brachii short head; Rhomboid major; Rhomboid minor; Trapezius</x:v>
      </x:c>
      <x:c r="O268" s="24" t="str">
        <x:v>Use rated pull-up bar and properly attached assistance band; pull chin toward bar.</x:v>
      </x:c>
      <x:c r="P268" s="24" t="str">
        <x:v>Rated pull-up bar/band</x:v>
      </x:c>
      <x:c r="Q268" s="24" t="str">
        <x:v>2–3 × 8–12 controlled reps</x:v>
      </x:c>
      <x:c r="R268" s="24" t="str">
        <x:v>Avoid improvised doorframes or unverified anchors.</x:v>
      </x:c>
      <x:c r="S268" s="24" t="str">
        <x:v>https://orthoinfo.aaos.org/globalassets/pdfs/spine-conditioning-program.pdf</x:v>
      </x:c>
      <x:c r="T268" s="24" t="str">
        <x:v>Anatomy-based mapping</x:v>
      </x:c>
    </x:row>
    <x:row r="269" ht="54" customHeight="1">
      <x:c r="A269" s="24" t="str">
        <x:v>EX0266</x:v>
      </x:c>
      <x:c r="B269" s="24" t="str">
        <x:v>Chin-up with supinated grip</x:v>
      </x:c>
      <x:c r="C269" s="24" t="str">
        <x:v>Back &amp; Spine</x:v>
      </x:c>
      <x:c r="D269" s="24" t="str">
        <x:v>Home</x:v>
      </x:c>
      <x:c r="E269" s="24" t="str">
        <x:v>Compound strength</x:v>
      </x:c>
      <x:c r="F269" s="24" t="str">
        <x:v>Latissimus dorsi; Biceps brachii long head; Biceps brachii short head</x:v>
      </x:c>
      <x:c r="G269" s="24" t="str">
        <x:v>Teres major; Rhomboid major; Rhomboid minor; Trapezius</x:v>
      </x:c>
      <x:c r="H269" s="24" t="str">
        <x:v>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I269" s="24" t="str">
        <x:v>—</x:v>
      </x:c>
      <x:c r="J269" s="24" t="str">
        <x:v>Latissimus dorsi; Biceps brachii long head; Biceps brachii short head; Teres major; Rhomboid major; Rhomboid minor; Trapezius;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K269" s="24" t="str">
        <x:v>Distal biceps tendon; latissimus tendon</x:v>
      </x:c>
      <x:c r="L269" s="24" t="str">
        <x:v>Interspinous/supraspinous ligaments and ligamenta flava limit end-range motion; NOT intentionally stretched</x:v>
      </x:c>
      <x:c r="M269" s="24" t="str">
        <x:v>Muscles: Latissimus dorsi; Biceps brachii long head; Biceps brachii short head; Teres major; Rhomboid major; Rhomboid minor; Trapezius;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 | Tendons/fascia: Distal biceps tendon; latissimus tendon | Ligament context only: Interspinous/supraspinous ligaments and ligamenta flava limit end-range motion; NOT intentionally stretched</x:v>
      </x:c>
      <x:c r="N269" s="24" t="str">
        <x:v>Latissimus dorsi; Biceps brachii long head; Biceps brachii short head; Teres major; Rhomboid major; Rhomboid minor; Trapezius</x:v>
      </x:c>
      <x:c r="O269" s="24" t="str">
        <x:v>Underhand hang on safe bar; draw elbows down to ribs.</x:v>
      </x:c>
      <x:c r="P269" s="24" t="str">
        <x:v>Rated bar</x:v>
      </x:c>
      <x:c r="Q269" s="24" t="str">
        <x:v>2–3 × 8–12 controlled reps</x:v>
      </x:c>
      <x:c r="R269" s="24" t="str">
        <x:v>Progress gradually; stop with sharp pain, dizziness, or numbness.</x:v>
      </x:c>
      <x:c r="S269" s="24" t="str">
        <x:v>https://orthoinfo.aaos.org/globalassets/pdfs/spine-conditioning-program.pdf</x:v>
      </x:c>
      <x:c r="T269" s="24" t="str">
        <x:v>Anatomy-based mapping</x:v>
      </x:c>
    </x:row>
    <x:row r="270" ht="54" customHeight="1">
      <x:c r="A270" s="24" t="str">
        <x:v>EX0267</x:v>
      </x:c>
      <x:c r="B270" s="24" t="str">
        <x:v>Dumbbell single-arm row</x:v>
      </x:c>
      <x:c r="C270" s="24" t="str">
        <x:v>Back &amp; Spine</x:v>
      </x:c>
      <x:c r="D270" s="24" t="str">
        <x:v>Gym</x:v>
      </x:c>
      <x:c r="E270" s="24" t="str">
        <x:v>Compound strength</x:v>
      </x:c>
      <x:c r="F270" s="24" t="str">
        <x:v>Latissimus dorsi; Rhomboid major; Rhomboid minor; Trapezius</x:v>
      </x:c>
      <x:c r="G270" s="24" t="str">
        <x:v>Biceps brachii long head; Biceps brachii short head; Teres major</x:v>
      </x:c>
      <x:c r="H270" s="24" t="str">
        <x:v>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I270" s="24" t="str">
        <x:v>—</x:v>
      </x:c>
      <x:c r="J270" s="24" t="str">
        <x:v>Latissimus dorsi; Rhomboid major; Rhomboid minor; Trapezius; Biceps brachii long head; Biceps brachii short head; Teres major;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K270" s="24" t="str">
        <x:v>Atlas-listed tendon/aponeurosis examples: Flattened latissimus dorsi tendon; Fibrous scapular insertion; Fibrous insertion slips; Broad aponeuroses and scapular/clavicular tendinous insertions; additional listed attachments</x:v>
      </x:c>
      <x:c r="L270" s="24" t="str">
        <x:v>Interspinous/supraspinous ligaments and ligamenta flava limit end-range motion; NOT intentionally stretched</x:v>
      </x:c>
      <x:c r="M270" s="24" t="str">
        <x:v>Muscles: Latissimus dorsi; Rhomboid major; Rhomboid minor; Trapezius; Biceps brachii long head; Biceps brachii short head; Teres major;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 | Tendons/fascia: Atlas-listed tendon/aponeurosis examples: Flattened latissimus dorsi tendon; Fibrous scapular insertion; Fibrous insertion slips; Broad aponeuroses and scapular/clavicular tendinous insertions; additional listed attachments | Ligament context only: Interspinous/supraspinous ligaments and ligamenta flava limit end-range motion; NOT intentionally stretched</x:v>
      </x:c>
      <x:c r="N270" s="24" t="str">
        <x:v>Latissimus dorsi; Rhomboid major; Rhomboid minor; Trapezius; Biceps brachii long head; Biceps brachii short head; Teres major</x:v>
      </x:c>
      <x:c r="O270" s="24" t="str">
        <x:v>Support free hand on bench; row dumbbell toward hip.</x:v>
      </x:c>
      <x:c r="P270" s="24" t="str">
        <x:v>Bench; dumbbell</x:v>
      </x:c>
      <x:c r="Q270" s="24" t="str">
        <x:v>2–3 × 8–12 controlled reps</x:v>
      </x:c>
      <x:c r="R270" s="24" t="str">
        <x:v>Progress gradually; stop with sharp pain, dizziness, or numbness.</x:v>
      </x:c>
      <x:c r="S270" s="24" t="str">
        <x:v>https://orthoinfo.aaos.org/globalassets/pdfs/spine-conditioning-program.pdf</x:v>
      </x:c>
      <x:c r="T270" s="24" t="str">
        <x:v>Anatomy-based mapping</x:v>
      </x:c>
    </x:row>
    <x:row r="271" ht="54" customHeight="1">
      <x:c r="A271" s="24" t="str">
        <x:v>EX0268</x:v>
      </x:c>
      <x:c r="B271" s="24" t="str">
        <x:v>Chest-supported dumbbell row</x:v>
      </x:c>
      <x:c r="C271" s="24" t="str">
        <x:v>Back &amp; Spine</x:v>
      </x:c>
      <x:c r="D271" s="24" t="str">
        <x:v>Gym</x:v>
      </x:c>
      <x:c r="E271" s="24" t="str">
        <x:v>Compound strength</x:v>
      </x:c>
      <x:c r="F271" s="24" t="str">
        <x:v>Latissimus dorsi; Teres major; Trapezius; Rhomboid major; Rhomboid minor</x:v>
      </x:c>
      <x:c r="G271" s="24" t="str">
        <x:v>Biceps brachii long head; Biceps brachii short head</x:v>
      </x:c>
      <x:c r="H271" s="24" t="str">
        <x:v>Infraspinatus; Subscapularis; Supraspinatus; Teres minor</x:v>
      </x:c>
      <x:c r="I271" s="24" t="str">
        <x:v>—</x:v>
      </x:c>
      <x:c r="J271" s="24" t="str">
        <x:v>Latissimus dorsi; Teres major; Trapezius; Rhomboid major; Rhomboid minor; Biceps brachii long head; Biceps brachii short head; Infraspinatus; Subscapularis; Supraspinatus; Teres minor</x:v>
      </x:c>
      <x:c r="K271" s="24" t="str">
        <x:v>Atlas-listed tendon/aponeurosis examples: Flattened latissimus dorsi tendon; Teres major insertion tendon; Broad aponeuroses and scapular/clavicular tendinous insertions; Fibrous scapular insertion; additional listed attachments</x:v>
      </x:c>
      <x:c r="L271" s="24" t="str">
        <x:v>Interspinous/supraspinous ligaments and ligamenta flava limit end-range motion; NOT intentionally stretched</x:v>
      </x:c>
      <x:c r="M271" s="24" t="str">
        <x:v>Muscles: Latissimus dorsi; Teres major; Trapezius; Rhomboid major; Rhomboid minor; Biceps brachii long head; Biceps brachii short head; Infraspinatus; Subscapularis; Supraspinatus; Teres minor | Tendons/fascia: Atlas-listed tendon/aponeurosis examples: Flattened latissimus dorsi tendon; Teres major insertion tendon; Broad aponeuroses and scapular/clavicular tendinous insertions; Fibrous scapular insertion; additional listed attachments | Ligament context only: Interspinous/supraspinous ligaments and ligamenta flava limit end-range motion; NOT intentionally stretched</x:v>
      </x:c>
      <x:c r="N271" s="24" t="str">
        <x:v>Latissimus dorsi; Teres major; Trapezius; Rhomboid major; Rhomboid minor; Biceps brachii long head; Biceps brachii short head</x:v>
      </x:c>
      <x:c r="O271" s="24" t="str">
        <x:v>Chest on incline bench; pull elbows behind torso without shrug.</x:v>
      </x:c>
      <x:c r="P271" s="24" t="str">
        <x:v>Incline bench; dumbbells</x:v>
      </x:c>
      <x:c r="Q271" s="24" t="str">
        <x:v>2–3 × 8–12 controlled reps</x:v>
      </x:c>
      <x:c r="R271" s="24" t="str">
        <x:v>Progress gradually; stop with sharp pain, dizziness, or numbness.</x:v>
      </x:c>
      <x:c r="S271" s="24" t="str">
        <x:v>https://orthoinfo.aaos.org/globalassets/pdfs/spine-conditioning-program.pdf</x:v>
      </x:c>
      <x:c r="T271" s="24" t="str">
        <x:v>Anatomy-based mapping</x:v>
      </x:c>
    </x:row>
    <x:row r="272" ht="54" customHeight="1">
      <x:c r="A272" s="24" t="str">
        <x:v>EX0269</x:v>
      </x:c>
      <x:c r="B272" s="24" t="str">
        <x:v>Seated cable row</x:v>
      </x:c>
      <x:c r="C272" s="24" t="str">
        <x:v>Back &amp; Spine</x:v>
      </x:c>
      <x:c r="D272" s="24" t="str">
        <x:v>Gym</x:v>
      </x:c>
      <x:c r="E272" s="24" t="str">
        <x:v>Compound strength</x:v>
      </x:c>
      <x:c r="F272" s="24" t="str">
        <x:v>Latissimus dorsi; Teres major; Trapezius; Rhomboid major; Rhomboid minor</x:v>
      </x:c>
      <x:c r="G272" s="24" t="str">
        <x:v>Biceps brachii long head; Biceps brachii short head</x:v>
      </x:c>
      <x:c r="H272" s="24" t="str">
        <x:v>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272" s="24" t="str">
        <x:v>—</x:v>
      </x:c>
      <x:c r="J272" s="24" t="str">
        <x:v>Latissimus dorsi; Teres major; Trapezius; Rhomboid major; Rhomboid minor; Biceps brachii long head; Biceps brachii short head;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272" s="24" t="str">
        <x:v>Atlas-listed tendon/aponeurosis examples: Flattened latissimus dorsi tendon; Teres major insertion tendon; Broad aponeuroses and scapular/clavicular tendinous insertions; Fibrous scapular insertion; additional listed attachments</x:v>
      </x:c>
      <x:c r="L272" s="24" t="str">
        <x:v>Interspinous/supraspinous ligaments and ligamenta flava limit end-range motion; NOT intentionally stretched</x:v>
      </x:c>
      <x:c r="M272" s="24" t="str">
        <x:v>Muscles: Latissimus dorsi; Teres major; Trapezius; Rhomboid major; Rhomboid minor; Biceps brachii long head; Biceps brachii short head;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Flattened latissimus dorsi tendon; Teres major insertion tendon; Broad aponeuroses and scapular/clavicular tendinous insertions; Fibrous scapular insertion; additional listed attachments | Ligament context only: Interspinous/supraspinous ligaments and ligamenta flava limit end-range motion; NOT intentionally stretched</x:v>
      </x:c>
      <x:c r="N272" s="24" t="str">
        <x:v>Latissimus dorsi; Teres major; Trapezius; Rhomboid major; Rhomboid minor; Biceps brachii long head; Biceps brachii short head</x:v>
      </x:c>
      <x:c r="O272" s="24" t="str">
        <x:v>Pull cable toward belly with torso stable.</x:v>
      </x:c>
      <x:c r="P272" s="24" t="str">
        <x:v>Seated cable row</x:v>
      </x:c>
      <x:c r="Q272" s="24" t="str">
        <x:v>2–3 × 8–12 controlled reps</x:v>
      </x:c>
      <x:c r="R272" s="24" t="str">
        <x:v>Progress gradually; stop with sharp pain, dizziness, or numbness.</x:v>
      </x:c>
      <x:c r="S272" s="24" t="str">
        <x:v>https://orthoinfo.aaos.org/globalassets/pdfs/spine-conditioning-program.pdf</x:v>
      </x:c>
      <x:c r="T272" s="24" t="str">
        <x:v>Anatomy-based mapping</x:v>
      </x:c>
    </x:row>
    <x:row r="273" ht="54" customHeight="1">
      <x:c r="A273" s="24" t="str">
        <x:v>EX0270</x:v>
      </x:c>
      <x:c r="B273" s="24" t="str">
        <x:v>Lat pulldown</x:v>
      </x:c>
      <x:c r="C273" s="24" t="str">
        <x:v>Back &amp; Spine</x:v>
      </x:c>
      <x:c r="D273" s="24" t="str">
        <x:v>Gym</x:v>
      </x:c>
      <x:c r="E273" s="24" t="str">
        <x:v>Compound strength</x:v>
      </x:c>
      <x:c r="F273" s="24" t="str">
        <x:v>Latissimus dorsi; Teres major</x:v>
      </x:c>
      <x:c r="G273" s="24" t="str">
        <x:v>Biceps brachii long head; Biceps brachii short head; Rhomboid major; Rhomboid minor; Trapezius</x:v>
      </x:c>
      <x:c r="H273" s="24" t="str">
        <x:v>Infraspinatus; Subscapularis; Supraspinatus; Teres minor; Rectus abdominis; External oblique; Internal oblique; Transversus abdominis</x:v>
      </x:c>
      <x:c r="I273" s="24" t="str">
        <x:v>—</x:v>
      </x:c>
      <x:c r="J273" s="24" t="str">
        <x:v>Latissimus dorsi; Teres major; Biceps brachii long head; Biceps brachii short head; Rhomboid major; Rhomboid minor; Trapezius; Infraspinatus; Subscapularis; Supraspinatus; Teres minor; Rectus abdominis; External oblique; Internal oblique; Transversus abdominis</x:v>
      </x:c>
      <x:c r="K273" s="24" t="str">
        <x:v>Atlas-listed tendon/aponeurosis examples: Flattened latissimus dorsi tendon; Teres major insertion tendon; Long-head proximal tendon; distal biceps tendon; bicipital aponeurosis; Conjoined proximal tendon; common distal biceps tendon; additional listed attachments</x:v>
      </x:c>
      <x:c r="L273" s="24" t="str">
        <x:v>Interspinous/supraspinous ligaments and ligamenta flava limit end-range motion; NOT intentionally stretched</x:v>
      </x:c>
      <x:c r="M273" s="24" t="str">
        <x:v>Muscles: Latissimus dorsi; Teres major; Biceps brachii long head; Biceps brachii short head; Rhomboid major; Rhomboid minor; Trapezius; Infraspinatus; Subscapularis; Supraspinatus; Teres minor; Rectus abdominis; External oblique; Internal oblique; Transversus abdominis | Tendons/fascia: Atlas-listed tendon/aponeurosis examples: Flattened latissimus dorsi tendon; Teres major insertion tendon; Long-head proximal tendon; distal biceps tendon; bicipital aponeurosis; Conjoined proximal tendon; common distal biceps tendon; additional listed attachments | Ligament context only: Interspinous/supraspinous ligaments and ligamenta flava limit end-range motion; NOT intentionally stretched</x:v>
      </x:c>
      <x:c r="N273" s="24" t="str">
        <x:v>Latissimus dorsi; Teres major; Biceps brachii long head; Biceps brachii short head; Rhomboid major; Rhomboid minor; Trapezius</x:v>
      </x:c>
      <x:c r="O273" s="24" t="str">
        <x:v>Pull bar to upper chest, not behind neck.</x:v>
      </x:c>
      <x:c r="P273" s="24" t="str">
        <x:v>Pulldown machine</x:v>
      </x:c>
      <x:c r="Q273" s="24" t="str">
        <x:v>2–3 × 8–12 controlled reps</x:v>
      </x:c>
      <x:c r="R273" s="24" t="str">
        <x:v>Progress gradually; stop with sharp pain, dizziness, or numbness.</x:v>
      </x:c>
      <x:c r="S273" s="24" t="str">
        <x:v>https://orthoinfo.aaos.org/globalassets/pdfs/spine-conditioning-program.pdf</x:v>
      </x:c>
      <x:c r="T273" s="24" t="str">
        <x:v>Anatomy-based mapping</x:v>
      </x:c>
    </x:row>
    <x:row r="274" ht="54" customHeight="1">
      <x:c r="A274" s="24" t="str">
        <x:v>EX0271</x:v>
      </x:c>
      <x:c r="B274" s="24" t="str">
        <x:v>Cable straight-arm pulldown</x:v>
      </x:c>
      <x:c r="C274" s="24" t="str">
        <x:v>Back &amp; Spine</x:v>
      </x:c>
      <x:c r="D274" s="24" t="str">
        <x:v>Gym</x:v>
      </x:c>
      <x:c r="E274" s="24" t="str">
        <x:v>Isolation strength</x:v>
      </x:c>
      <x:c r="F274" s="24" t="str">
        <x:v>Latissimus dorsi; Teres major</x:v>
      </x:c>
      <x:c r="G274" s="24" t="str">
        <x:v>Triceps brachii lateral head; Triceps brachii long head; Triceps brachii medial head</x:v>
      </x:c>
      <x:c r="H274" s="24" t="str">
        <x:v>Rectus abdominis; External oblique; Internal oblique; Transversus abdominis</x:v>
      </x:c>
      <x:c r="I274" s="24" t="str">
        <x:v>—</x:v>
      </x:c>
      <x:c r="J274" s="24" t="str">
        <x:v>Latissimus dorsi; Teres major; Triceps brachii lateral head; Triceps brachii long head; Triceps brachii medial head; Rectus abdominis; External oblique; Internal oblique; Transversus abdominis</x:v>
      </x:c>
      <x:c r="K274" s="24" t="str">
        <x:v>Atlas-listed tendon/aponeurosis examples: Flattened latissimus dorsi tendon; Teres major insertion tendon; Common triceps tendon; Common triceps tendon to olecranon</x:v>
      </x:c>
      <x:c r="L274" s="24" t="str">
        <x:v>Interspinous/supraspinous ligaments and ligamenta flava limit end-range motion; NOT intentionally stretched</x:v>
      </x:c>
      <x:c r="M274" s="24" t="str">
        <x:v>Muscles: Latissimus dorsi; Teres major; Triceps brachii lateral head; Triceps brachii long head; Triceps brachii medial head; Rectus abdominis; External oblique; Internal oblique; Transversus abdominis | Tendons/fascia: Atlas-listed tendon/aponeurosis examples: Flattened latissimus dorsi tendon; Teres major insertion tendon; Common triceps tendon; Common triceps tendon to olecranon | Ligament context only: Interspinous/supraspinous ligaments and ligamenta flava limit end-range motion; NOT intentionally stretched</x:v>
      </x:c>
      <x:c r="N274" s="24" t="str">
        <x:v>Latissimus dorsi; Teres major; Triceps brachii lateral head; Triceps brachii long head; Triceps brachii medial head</x:v>
      </x:c>
      <x:c r="O274" s="24" t="str">
        <x:v>Pull handles from overhead to thighs without trunk rocking.</x:v>
      </x:c>
      <x:c r="P274" s="24" t="str">
        <x:v>Cable station</x:v>
      </x:c>
      <x:c r="Q274" s="24" t="str">
        <x:v>2–3 × 8–12 controlled reps</x:v>
      </x:c>
      <x:c r="R274" s="24" t="str">
        <x:v>Progress gradually; stop with sharp pain, dizziness, or numbness.</x:v>
      </x:c>
      <x:c r="S274" s="24" t="str">
        <x:v>https://orthoinfo.aaos.org/globalassets/pdfs/spine-conditioning-program.pdf</x:v>
      </x:c>
      <x:c r="T274" s="24" t="str">
        <x:v>Anatomy-based mapping</x:v>
      </x:c>
    </x:row>
    <x:row r="275" ht="54" customHeight="1">
      <x:c r="A275" s="24" t="str">
        <x:v>EX0272</x:v>
      </x:c>
      <x:c r="B275" s="24" t="str">
        <x:v>Dumbbell bent-over reverse row</x:v>
      </x:c>
      <x:c r="C275" s="24" t="str">
        <x:v>Back &amp; Spine</x:v>
      </x:c>
      <x:c r="D275" s="24" t="str">
        <x:v>Gym</x:v>
      </x:c>
      <x:c r="E275" s="24" t="str">
        <x:v>Compound strength</x:v>
      </x:c>
      <x:c r="F275" s="24" t="str">
        <x:v>Rhomboid major; Rhomboid minor; Trapezius</x:v>
      </x:c>
      <x:c r="G275" s="24" t="str">
        <x:v>Deltoid; Biceps brachii long head; Biceps brachii short head</x:v>
      </x:c>
      <x:c r="H275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I275" s="24" t="str">
        <x:v>—</x:v>
      </x:c>
      <x:c r="J275" s="24" t="str">
        <x:v>Rhomboid major; Rhomboid minor; Trapezius; Deltoid; Biceps brachii long head; Biceps brachii short head;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275" s="24" t="str">
        <x:v>Atlas-listed tendon/aponeurosis examples: Fibrous scapular insertion; Fibrous insertion slips; Broad aponeuroses and scapular/clavicular tendinous insertions; Deltoid insertion tendon; additional listed attachments</x:v>
      </x:c>
      <x:c r="L275" s="24" t="str">
        <x:v>Interspinous/supraspinous ligaments and ligamenta flava limit end-range motion; NOT intentionally stretched</x:v>
      </x:c>
      <x:c r="M275" s="24" t="str">
        <x:v>Muscles: Rhomboid major; Rhomboid minor; Trapezius; Deltoid; Biceps brachii long head; Biceps brachii short head;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Atlas-listed tendon/aponeurosis examples: Fibrous scapular insertion; Fibrous insertion slips; Broad aponeuroses and scapular/clavicular tendinous insertions; Deltoid insertion tendon; additional listed attachments | Ligament context only: Interspinous/supraspinous ligaments and ligamenta flava limit end-range motion; NOT intentionally stretched</x:v>
      </x:c>
      <x:c r="N275" s="24" t="str">
        <x:v>Rhomboid major; Rhomboid minor; Trapezius; Deltoid; Biceps brachii long head; Biceps brachii short head</x:v>
      </x:c>
      <x:c r="O275" s="24" t="str">
        <x:v>Hinge hips; draw upper arms outward while retracting scapulae.</x:v>
      </x:c>
      <x:c r="P275" s="24" t="str">
        <x:v>Dumbbells</x:v>
      </x:c>
      <x:c r="Q275" s="24" t="str">
        <x:v>2–3 × 8–12 controlled reps</x:v>
      </x:c>
      <x:c r="R275" s="24" t="str">
        <x:v>Progress gradually; stop with sharp pain, dizziness, or numbness.</x:v>
      </x:c>
      <x:c r="S275" s="24" t="str">
        <x:v>https://orthoinfo.aaos.org/globalassets/pdfs/spine-conditioning-program.pdf</x:v>
      </x:c>
      <x:c r="T275" s="24" t="str">
        <x:v>Anatomy-based mapping</x:v>
      </x:c>
    </x:row>
    <x:row r="276" ht="54" customHeight="1">
      <x:c r="A276" s="24" t="str">
        <x:v>EX0273</x:v>
      </x:c>
      <x:c r="B276" s="24" t="str">
        <x:v>Back extension on Roman chair</x:v>
      </x:c>
      <x:c r="C276" s="24" t="str">
        <x:v>Back &amp; Spine</x:v>
      </x:c>
      <x:c r="D276" s="24" t="str">
        <x:v>Gym</x:v>
      </x:c>
      <x:c r="E276" s="24" t="str">
        <x:v>Compound strength</x:v>
      </x:c>
      <x:c r="F276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</x:v>
      </x:c>
      <x:c r="G276" s="24" t="str">
        <x:v>Biceps femoris long head; Biceps femoris short head; Semimembranosus; Semitendinosus</x:v>
      </x:c>
      <x:c r="H276" s="24" t="str">
        <x:v>Rectus abdominis; External oblique; Internal oblique; Transversus abdominis</x:v>
      </x:c>
      <x:c r="I276" s="24" t="str">
        <x:v>—</x:v>
      </x:c>
      <x:c r="J276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maximus; Biceps femoris long head; Biceps femoris short head; Semimembranosus; Semitendinosus; Rectus abdominis; External oblique; Internal oblique; Transversus abdominis</x:v>
      </x:c>
      <x:c r="K276" s="24" t="str">
        <x:v>Atlas-listed tendon/aponeurosis examples: Costal-to-cervical tendons; Common erector spinae aponeurosis; rib slips; Long costal fascicular tendons; Mastoid insertion tendon; additional listed attachments</x:v>
      </x:c>
      <x:c r="L276" s="24" t="str">
        <x:v>Interspinous/supraspinous ligaments and ligamenta flava limit end-range motion; NOT intentionally stretched</x:v>
      </x:c>
      <x:c r="M276" s="24" t="str">
        <x:v>Muscles: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maximus; Biceps femoris long head; Biceps femoris short head; Semimembranosus; Semitendinosus; Rectus abdominis; External oblique; Internal oblique; Transversus abdominis | Tendons/fascia: Atlas-listed tendon/aponeurosis examples: Costal-to-cervical tendons; Common erector spinae aponeurosis; rib slips; Long costal fascicular tendons; Mastoid insertion tendon; additional listed attachments | Ligament context only: Interspinous/supraspinous ligaments and ligamenta flava limit end-range motion; NOT intentionally stretched</x:v>
      </x:c>
      <x:c r="N276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maximus; Biceps femoris long head; Biceps femoris short head; Semimembranosus; Semitendinosus</x:v>
      </x:c>
      <x:c r="O276" s="24" t="str">
        <x:v>Hinge around hips under control; return to neutral, not hyperextension.</x:v>
      </x:c>
      <x:c r="P276" s="24" t="str">
        <x:v>Back extension bench</x:v>
      </x:c>
      <x:c r="Q276" s="24" t="str">
        <x:v>2–3 × 8–12 controlled reps</x:v>
      </x:c>
      <x:c r="R276" s="24" t="str">
        <x:v>Progress gradually; stop with sharp pain, dizziness, or numbness.</x:v>
      </x:c>
      <x:c r="S276" s="24" t="str">
        <x:v>https://orthoinfo.aaos.org/globalassets/pdfs/spine-conditioning-program.pdf</x:v>
      </x:c>
      <x:c r="T276" s="24" t="str">
        <x:v>Anatomy-based mapping</x:v>
      </x:c>
    </x:row>
    <x:row r="277" ht="54" customHeight="1">
      <x:c r="A277" s="24" t="str">
        <x:v>EX0274</x:v>
      </x:c>
      <x:c r="B277" s="24" t="str">
        <x:v>Cable upright standing row (low-to-ribs)</x:v>
      </x:c>
      <x:c r="C277" s="24" t="str">
        <x:v>Back &amp; Spine</x:v>
      </x:c>
      <x:c r="D277" s="24" t="str">
        <x:v>Gym</x:v>
      </x:c>
      <x:c r="E277" s="24" t="str">
        <x:v>Compound strength</x:v>
      </x:c>
      <x:c r="F277" s="24" t="str">
        <x:v>Rhomboid major; Rhomboid minor; Trapezius</x:v>
      </x:c>
      <x:c r="G277" s="24" t="str">
        <x:v>Biceps brachii long head; Biceps brachii short head</x:v>
      </x:c>
      <x:c r="H277" s="24" t="str">
        <x:v>Rectus abdominis; External oblique; Internal oblique; Transversus abdominis</x:v>
      </x:c>
      <x:c r="I277" s="24" t="str">
        <x:v>—</x:v>
      </x:c>
      <x:c r="J277" s="24" t="str">
        <x:v>Rhomboid major; Rhomboid minor; Trapezius; Biceps brachii long head; Biceps brachii short head; Rectus abdominis; External oblique; Internal oblique; Transversus abdominis</x:v>
      </x:c>
      <x:c r="K277" s="24" t="str">
        <x:v>Atlas-listed tendon/aponeurosis examples: Fibrous scapular insertion; Fibrous insertion slips; Broad aponeuroses and scapular/clavicular tendinous insertions; Long-head proximal tendon; distal biceps tendon; bicipital aponeurosis; additional listed attachments</x:v>
      </x:c>
      <x:c r="L277" s="24" t="str">
        <x:v>Interspinous/supraspinous ligaments and ligamenta flava limit end-range motion; NOT intentionally stretched</x:v>
      </x:c>
      <x:c r="M277" s="24" t="str">
        <x:v>Muscles: Rhomboid major; Rhomboid minor; Trapezius; Biceps brachii long head; Biceps brachii short head; Rectus abdominis; External oblique; Internal oblique; Transversus abdominis | Tendons/fascia: Atlas-listed tendon/aponeurosis examples: Fibrous scapular insertion; Fibrous insertion slips; Broad aponeuroses and scapular/clavicular tendinous insertions; Long-head proximal tendon; distal biceps tendon; bicipital aponeurosis; additional listed attachments | Ligament context only: Interspinous/supraspinous ligaments and ligamenta flava limit end-range motion; NOT intentionally stretched</x:v>
      </x:c>
      <x:c r="N277" s="24" t="str">
        <x:v>Rhomboid major; Rhomboid minor; Trapezius; Biceps brachii long head; Biceps brachii short head</x:v>
      </x:c>
      <x:c r="O277" s="24" t="str">
        <x:v>Draw cable to mid-torso with elbows below shoulders.</x:v>
      </x:c>
      <x:c r="P277" s="24" t="str">
        <x:v>Cable station</x:v>
      </x:c>
      <x:c r="Q277" s="24" t="str">
        <x:v>2–3 × 8–12 controlled reps</x:v>
      </x:c>
      <x:c r="R277" s="24" t="str">
        <x:v>Progress gradually; stop with sharp pain, dizziness, or numbness.</x:v>
      </x:c>
      <x:c r="S277" s="24" t="str">
        <x:v>https://orthoinfo.aaos.org/globalassets/pdfs/spine-conditioning-program.pdf</x:v>
      </x:c>
      <x:c r="T277" s="24" t="str">
        <x:v>Anatomy-based mapping</x:v>
      </x:c>
    </x:row>
    <x:row r="278" ht="54" customHeight="1">
      <x:c r="A278" s="24" t="str">
        <x:v>EX0275</x:v>
      </x:c>
      <x:c r="B278" s="24" t="str">
        <x:v>Cat-cow spinal mobility</x:v>
      </x:c>
      <x:c r="C278" s="24" t="str">
        <x:v>Back &amp; Spine</x:v>
      </x:c>
      <x:c r="D278" s="24" t="str">
        <x:v>Home</x:v>
      </x:c>
      <x:c r="E278" s="24" t="str">
        <x:v>Mobility</x:v>
      </x:c>
      <x:c r="F278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G278" s="24" t="str">
        <x:v>—</x:v>
      </x:c>
      <x:c r="H278" s="24" t="str">
        <x:v>—</x:v>
      </x:c>
      <x:c r="I278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J278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278" s="24" t="str">
        <x:v>Atlas-listed tendon/aponeurosis examples: Costal-to-cervical tendons; Common erector spinae aponeurosis; rib slips; Long costal fascicular tendons; Mastoid insertion tendon; additional listed attachments</x:v>
      </x:c>
      <x:c r="L278" s="24" t="str">
        <x:v>Interspinous/supraspinous ligaments and ligamenta flava limit end-range motion; NOT intentionally stretched</x:v>
      </x:c>
      <x:c r="M278" s="24" t="str">
        <x:v>Muscles: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Atlas-listed tendon/aponeurosis examples: Costal-to-cervical tendons; Common erector spinae aponeurosis; rib slips; Long costal fascicular tendons; Mastoid insertion tendon; additional listed attachments | Ligament context only: Interspinous/supraspinous ligaments and ligamenta flava limit end-range motion; NOT intentionally stretched</x:v>
      </x:c>
      <x:c r="N278" s="24" t="str">
        <x:v>Usually none expected (stretch, mobility or relaxation; any active movers are low-load)</x:v>
      </x:c>
      <x:c r="O278" s="24" t="str">
        <x:v>Move gently between spinal flexion and extension segment by segment.</x:v>
      </x:c>
      <x:c r="P278" s="24" t="str">
        <x:v>Mat</x:v>
      </x:c>
      <x:c r="Q278" s="24" t="str">
        <x:v>1–2 × 5–10 controlled reps</x:v>
      </x:c>
      <x:c r="R278" s="24" t="str">
        <x:v>Progress gradually; stop with sharp pain, dizziness, or numbness.</x:v>
      </x:c>
      <x:c r="S278" s="24" t="str">
        <x:v>https://orthoinfo.aaos.org/globalassets/pdfs/spine-conditioning-program.pdf</x:v>
      </x:c>
      <x:c r="T278" s="24" t="str">
        <x:v>Anatomy-based mapping</x:v>
      </x:c>
    </x:row>
    <x:row r="279" ht="54" customHeight="1">
      <x:c r="A279" s="24" t="str">
        <x:v>EX0276</x:v>
      </x:c>
      <x:c r="B279" s="24" t="str">
        <x:v>Quadruped thoracic rotation</x:v>
      </x:c>
      <x:c r="C279" s="24" t="str">
        <x:v>Back &amp; Spine</x:v>
      </x:c>
      <x:c r="D279" s="24" t="str">
        <x:v>Home</x:v>
      </x:c>
      <x:c r="E279" s="24" t="str">
        <x:v>Mobility</x:v>
      </x:c>
      <x:c r="F279" s="24" t="str">
        <x:v>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G279" s="24" t="str">
        <x:v>—</x:v>
      </x:c>
      <x:c r="H279" s="24" t="str">
        <x:v>—</x:v>
      </x:c>
      <x:c r="I279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J279" s="24" t="str">
        <x:v>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279" s="24" t="str">
        <x:v>Atlas-listed tendon/aponeurosis examples: Broad external oblique aponeurosis; Internal oblique aponeurosis; conjoint tendon; Transversus aponeurosis; conjoint tendon; Costal-to-cervical tendons; additional listed attachments</x:v>
      </x:c>
      <x:c r="L279" s="24" t="str">
        <x:v>Interspinous/supraspinous ligaments and ligamenta flava limit end-range motion; NOT intentionally stretched</x:v>
      </x:c>
      <x:c r="M279" s="24" t="str">
        <x:v>Muscles: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Broad external oblique aponeurosis; Internal oblique aponeurosis; conjoint tendon; Transversus aponeurosis; conjoint tendon; Costal-to-cervical tendons; additional listed attachments | Ligament context only: Interspinous/supraspinous ligaments and ligamenta flava limit end-range motion; NOT intentionally stretched</x:v>
      </x:c>
      <x:c r="N279" s="24" t="str">
        <x:v>Usually none expected (stretch, mobility or relaxation; any active movers are low-load)</x:v>
      </x:c>
      <x:c r="O279" s="24" t="str">
        <x:v>On all fours, put one hand behind head and rotate thorax toward ceiling.</x:v>
      </x:c>
      <x:c r="P279" s="24" t="str">
        <x:v>Mat</x:v>
      </x:c>
      <x:c r="Q279" s="24" t="str">
        <x:v>1–2 × 5–10 controlled reps</x:v>
      </x:c>
      <x:c r="R279" s="24" t="str">
        <x:v>Progress gradually; stop with sharp pain, dizziness, or numbness.</x:v>
      </x:c>
      <x:c r="S279" s="24" t="str">
        <x:v>https://orthoinfo.aaos.org/globalassets/pdfs/spine-conditioning-program.pdf</x:v>
      </x:c>
      <x:c r="T279" s="24" t="str">
        <x:v>Anatomy-based mapping</x:v>
      </x:c>
    </x:row>
    <x:row r="280" ht="54" customHeight="1">
      <x:c r="A280" s="24" t="str">
        <x:v>EX0277</x:v>
      </x:c>
      <x:c r="B280" s="24" t="str">
        <x:v>Open-book thoracic rotation</x:v>
      </x:c>
      <x:c r="C280" s="24" t="str">
        <x:v>Back &amp; Spine</x:v>
      </x:c>
      <x:c r="D280" s="24" t="str">
        <x:v>Home</x:v>
      </x:c>
      <x:c r="E280" s="24" t="str">
        <x:v>Active stretch</x:v>
      </x:c>
      <x:c r="F280" s="24" t="str">
        <x:v>External oblique; Internal oblique; Transversus abdominis</x:v>
      </x:c>
      <x:c r="G280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H280" s="24" t="str">
        <x:v>—</x:v>
      </x:c>
      <x:c r="I280" s="24" t="str">
        <x:v>Pectoralis major; External oblique; Internal oblique; Transversus abdominis</x:v>
      </x:c>
      <x:c r="J280" s="24" t="str">
        <x:v>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Pectoralis major</x:v>
      </x:c>
      <x:c r="K280" s="24" t="str">
        <x:v>Atlas-listed tendon/aponeurosis examples: Broad external oblique aponeurosis; Internal oblique aponeurosis; conjoint tendon; Transversus aponeurosis; conjoint tendon; Costal-to-cervical tendons; additional listed attachments</x:v>
      </x:c>
      <x:c r="L280" s="24" t="str">
        <x:v>Interspinous/supraspinous ligaments and ligamenta flava limit end-range motion; NOT intentionally stretched</x:v>
      </x:c>
      <x:c r="M280" s="24" t="str">
        <x:v>Muscles: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Pectoralis major | Tendons/fascia: Atlas-listed tendon/aponeurosis examples: Broad external oblique aponeurosis; Internal oblique aponeurosis; conjoint tendon; Transversus aponeurosis; conjoint tendon; Costal-to-cervical tendons; additional listed attachments | Ligament context only: Interspinous/supraspinous ligaments and ligamenta flava limit end-range motion; NOT intentionally stretched</x:v>
      </x:c>
      <x:c r="N280" s="24" t="str">
        <x:v>Usually none expected (stretch, mobility or relaxation; any active movers are low-load)</x:v>
      </x:c>
      <x:c r="O280" s="24" t="str">
        <x:v>Side-lying with knees stacked, open upper arm toward opposite side.</x:v>
      </x:c>
      <x:c r="P280" s="24" t="str">
        <x:v>Mat</x:v>
      </x:c>
      <x:c r="Q280" s="24" t="str">
        <x:v>2–3 × 8–12 controlled reps</x:v>
      </x:c>
      <x:c r="R280" s="24" t="str">
        <x:v>Progress gradually; stop with sharp pain, dizziness, or numbness.</x:v>
      </x:c>
      <x:c r="S280" s="24" t="str">
        <x:v>https://orthoinfo.aaos.org/globalassets/pdfs/spine-conditioning-program.pdf</x:v>
      </x:c>
      <x:c r="T280" s="24" t="str">
        <x:v>Anatomy-based mapping</x:v>
      </x:c>
    </x:row>
    <x:row r="281" ht="54" customHeight="1">
      <x:c r="A281" s="24" t="str">
        <x:v>EX0278</x:v>
      </x:c>
      <x:c r="B281" s="24" t="str">
        <x:v>Child's pose lat + erector stretch</x:v>
      </x:c>
      <x:c r="C281" s="24" t="str">
        <x:v>Back &amp; Spine</x:v>
      </x:c>
      <x:c r="D281" s="24" t="str">
        <x:v>Home</x:v>
      </x:c>
      <x:c r="E281" s="24" t="str">
        <x:v>Passive stretch</x:v>
      </x:c>
      <x:c r="F281" s="24" t="str">
        <x:v>—</x:v>
      </x:c>
      <x:c r="G281" s="24" t="str">
        <x:v>—</x:v>
      </x:c>
      <x:c r="H281" s="24" t="str">
        <x:v>—</x:v>
      </x:c>
      <x:c r="I281" s="24" t="str">
        <x:v>Latissimus dorsi;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J281" s="24" t="str">
        <x:v>Latissimus dorsi;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281" s="24" t="str">
        <x:v>Thoracolumbar fascia</x:v>
      </x:c>
      <x:c r="L281" s="24" t="str">
        <x:v>Interspinous/supraspinous ligaments and ligamenta flava limit end-range motion; NOT intentionally stretched</x:v>
      </x:c>
      <x:c r="M281" s="24" t="str">
        <x:v>Muscles: Latissimus dorsi;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Thoracolumbar fascia | Ligament context only: Interspinous/supraspinous ligaments and ligamenta flava limit end-range motion; NOT intentionally stretched</x:v>
      </x:c>
      <x:c r="N281" s="24" t="str">
        <x:v>Usually none expected (stretch, mobility or relaxation; any active movers are low-load)</x:v>
      </x:c>
      <x:c r="O281" s="24" t="str">
        <x:v>Sit hips toward heels and reach arms forward while breathing.</x:v>
      </x:c>
      <x:c r="P281" s="24" t="str">
        <x:v>Mat</x:v>
      </x:c>
      <x:c r="Q281" s="24" t="str">
        <x:v>2–3 × 8–12 controlled reps</x:v>
      </x:c>
      <x:c r="R281" s="24" t="str">
        <x:v>Progress gradually; stop with sharp pain, dizziness, or numbness.</x:v>
      </x:c>
      <x:c r="S281" s="24" t="str">
        <x:v>https://orthoinfo.aaos.org/globalassets/pdfs/spine-conditioning-program.pdf</x:v>
      </x:c>
      <x:c r="T281" s="24" t="str">
        <x:v>Anatomy-based mapping</x:v>
      </x:c>
    </x:row>
    <x:row r="282" ht="54" customHeight="1">
      <x:c r="A282" s="24" t="str">
        <x:v>EX0279</x:v>
      </x:c>
      <x:c r="B282" s="24" t="str">
        <x:v>Standing thoracic extension over chair back</x:v>
      </x:c>
      <x:c r="C282" s="24" t="str">
        <x:v>Back &amp; Spine</x:v>
      </x:c>
      <x:c r="D282" s="24" t="str">
        <x:v>Home</x:v>
      </x:c>
      <x:c r="E282" s="24" t="str">
        <x:v>Active stretch</x:v>
      </x:c>
      <x:c r="F282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G282" s="24" t="str">
        <x:v>—</x:v>
      </x:c>
      <x:c r="H282" s="24" t="str">
        <x:v>—</x:v>
      </x:c>
      <x:c r="I282" s="24" t="str">
        <x:v>Rectus abdominis; Pectoralis major</x:v>
      </x:c>
      <x:c r="J282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Pectoralis major</x:v>
      </x:c>
      <x:c r="K282" s="24" t="str">
        <x:v>Atlas-listed tendon/aponeurosis examples: Costal-to-cervical tendons; Common erector spinae aponeurosis; rib slips; Long costal fascicular tendons; Mastoid insertion tendon; additional listed attachments</x:v>
      </x:c>
      <x:c r="L282" s="24" t="str">
        <x:v>Interspinous/supraspinous ligaments and ligamenta flava limit end-range motion; NOT intentionally stretched</x:v>
      </x:c>
      <x:c r="M282" s="24" t="str">
        <x:v>Muscles: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Pectoralis major | Tendons/fascia: Atlas-listed tendon/aponeurosis examples: Costal-to-cervical tendons; Common erector spinae aponeurosis; rib slips; Long costal fascicular tendons; Mastoid insertion tendon; additional listed attachments | Ligament context only: Interspinous/supraspinous ligaments and ligamenta flava limit end-range motion; NOT intentionally stretched</x:v>
      </x:c>
      <x:c r="N282" s="24" t="str">
        <x:v>Usually none expected (stretch, mobility or relaxation; any active movers are low-load)</x:v>
      </x:c>
      <x:c r="O282" s="24" t="str">
        <x:v>Hands behind head, extend upper back over padded chair top only.</x:v>
      </x:c>
      <x:c r="P282" s="24" t="str">
        <x:v>Sturdy chair</x:v>
      </x:c>
      <x:c r="Q282" s="24" t="str">
        <x:v>2–3 × 8–12 controlled reps</x:v>
      </x:c>
      <x:c r="R282" s="24" t="str">
        <x:v>Progress gradually; stop with sharp pain, dizziness, or numbness.</x:v>
      </x:c>
      <x:c r="S282" s="24" t="str">
        <x:v>https://orthoinfo.aaos.org/globalassets/pdfs/spine-conditioning-program.pdf</x:v>
      </x:c>
      <x:c r="T282" s="24" t="str">
        <x:v>Anatomy-based mapping</x:v>
      </x:c>
    </x:row>
    <x:row r="283" ht="54" customHeight="1">
      <x:c r="A283" s="24" t="str">
        <x:v>EX0280</x:v>
      </x:c>
      <x:c r="B283" s="24" t="str">
        <x:v>Gentle knee-to-chest lumbar flexion</x:v>
      </x:c>
      <x:c r="C283" s="24" t="str">
        <x:v>Back &amp; Spine</x:v>
      </x:c>
      <x:c r="D283" s="24" t="str">
        <x:v>Home</x:v>
      </x:c>
      <x:c r="E283" s="24" t="str">
        <x:v>Passive stretch</x:v>
      </x:c>
      <x:c r="F283" s="24" t="str">
        <x:v>—</x:v>
      </x:c>
      <x:c r="G283" s="24" t="str">
        <x:v>—</x:v>
      </x:c>
      <x:c r="H283" s="24" t="str">
        <x:v>—</x:v>
      </x:c>
      <x:c r="I283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</x:v>
      </x:c>
      <x:c r="J283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</x:v>
      </x:c>
      <x:c r="K283" s="24" t="str">
        <x:v>Atlas-listed tendon/aponeurosis examples: Costal-to-cervical tendons; Common erector spinae aponeurosis; rib slips; Long costal fascicular tendons; Mastoid insertion tendon; additional listed attachments</x:v>
      </x:c>
      <x:c r="L283" s="24" t="str">
        <x:v>Interspinous/supraspinous ligaments and ligamenta flava limit end-range motion; NOT intentionally stretched</x:v>
      </x:c>
      <x:c r="M283" s="24" t="str">
        <x:v>Muscles: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 | Tendons/fascia: Atlas-listed tendon/aponeurosis examples: Costal-to-cervical tendons; Common erector spinae aponeurosis; rib slips; Long costal fascicular tendons; Mastoid insertion tendon; additional listed attachments | Ligament context only: Interspinous/supraspinous ligaments and ligamenta flava limit end-range motion; NOT intentionally stretched</x:v>
      </x:c>
      <x:c r="N283" s="24" t="str">
        <x:v>Usually none expected (stretch, mobility or relaxation; any active movers are low-load)</x:v>
      </x:c>
      <x:c r="O283" s="24" t="str">
        <x:v>Supine, draw one knee toward chest while lower back relaxes.</x:v>
      </x:c>
      <x:c r="P283" s="24" t="str">
        <x:v>Mat</x:v>
      </x:c>
      <x:c r="Q283" s="24" t="str">
        <x:v>2–3 × 8–12 controlled reps</x:v>
      </x:c>
      <x:c r="R283" s="24" t="str">
        <x:v>Progress gradually; stop with sharp pain, dizziness, or numbness.</x:v>
      </x:c>
      <x:c r="S283" s="24" t="str">
        <x:v>https://orthoinfo.aaos.org/globalassets/pdfs/spine-conditioning-program.pdf</x:v>
      </x:c>
      <x:c r="T283" s="24" t="str">
        <x:v>Anatomy-based mapping</x:v>
      </x:c>
    </x:row>
    <x:row r="284" ht="54" customHeight="1">
      <x:c r="A284" s="24" t="str">
        <x:v>EX0281</x:v>
      </x:c>
      <x:c r="B284" s="24" t="str">
        <x:v>Single-leg deadlift isometric trunk hold</x:v>
      </x:c>
      <x:c r="C284" s="24" t="str">
        <x:v>Back &amp; Spine</x:v>
      </x:c>
      <x:c r="D284" s="24" t="str">
        <x:v>Home</x:v>
      </x:c>
      <x:c r="E284" s="24" t="str">
        <x:v>Isometric strength</x:v>
      </x:c>
      <x:c r="F284" s="24" t="str">
        <x:v>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Quadratus lumborum</x:v>
      </x:c>
      <x:c r="G284" s="24" t="str">
        <x:v>Gluteus maximus; Biceps femoris long head; Biceps femoris short head; Semimembranosus; Semitendinosus</x:v>
      </x:c>
      <x:c r="H284" s="24" t="str">
        <x:v>Rectus abdominis; External oblique; Internal oblique; Transversus abdominis; Gluteus medius; Gluteus minimus; Tensor fasciae latae</x:v>
      </x:c>
      <x:c r="I284" s="24" t="str">
        <x:v>—</x:v>
      </x:c>
      <x:c r="J284" s="24" t="str">
        <x:v>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Quadratus lumborum; Gluteus maximus; Biceps femoris long head; Biceps femoris short head; Semimembranosus; Semitendinosus; Rectus abdominis; External oblique; Internal oblique; Transversus abdominis; Gluteus medius; Gluteus minimus; Tensor fasciae latae</x:v>
      </x:c>
      <x:c r="K284" s="24" t="str">
        <x:v>Atlas-listed tendon/aponeurosis examples: Short segmental tendons; Lumbar multifidus segmental tendons; Minute interlaminar tendons; Minute fascicular tendons; additional listed attachments</x:v>
      </x:c>
      <x:c r="L284" s="24" t="str">
        <x:v>Interspinous/supraspinous ligaments and ligamenta flava limit end-range motion; NOT intentionally stretched</x:v>
      </x:c>
      <x:c r="M284" s="24" t="str">
        <x:v>Muscles: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Quadratus lumborum; Gluteus maximus; Biceps femoris long head; Biceps femoris short head; Semimembranosus; Semitendinosus; Rectus abdominis; External oblique; Internal oblique; Transversus abdominis; Gluteus medius; Gluteus minimus; Tensor fasciae latae | Tendons/fascia: Atlas-listed tendon/aponeurosis examples: Short segmental tendons; Lumbar multifidus segmental tendons; Minute interlaminar tendons; Minute fascicular tendons; additional listed attachments | Ligament context only: Interspinous/supraspinous ligaments and ligamenta flava limit end-range motion; NOT intentionally stretched</x:v>
      </x:c>
      <x:c r="N284" s="24" t="str">
        <x:v>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Quadratus lumborum; Gluteus maximus; Biceps femoris long head; Biceps femoris short head; Semimembranosus; Semitendinosus</x:v>
      </x:c>
      <x:c r="O284" s="24" t="str">
        <x:v>Hold short single-leg hinge maintaining neutral spine.</x:v>
      </x:c>
      <x:c r="P284" s="24" t="str">
        <x:v>Floor</x:v>
      </x:c>
      <x:c r="Q284" s="24" t="str">
        <x:v>2–3 × 8–12 controlled reps</x:v>
      </x:c>
      <x:c r="R284" s="24" t="str">
        <x:v>Progress gradually; stop with sharp pain, dizziness, or numbness.</x:v>
      </x:c>
      <x:c r="S284" s="24" t="str">
        <x:v>https://orthoinfo.aaos.org/globalassets/pdfs/spine-conditioning-program.pdf</x:v>
      </x:c>
      <x:c r="T284" s="24" t="str">
        <x:v>Anatomy-based mapping</x:v>
      </x:c>
    </x:row>
    <x:row r="285" ht="54" customHeight="1">
      <x:c r="A285" s="24" t="str">
        <x:v>EX0282</x:v>
      </x:c>
      <x:c r="B285" s="24" t="str">
        <x:v>Breathing with thoracic rib expansion</x:v>
      </x:c>
      <x:c r="C285" s="24" t="str">
        <x:v>Back &amp; Spine</x:v>
      </x:c>
      <x:c r="D285" s="24" t="str">
        <x:v>Home</x:v>
      </x:c>
      <x:c r="E285" s="24" t="str">
        <x:v>Breathing</x:v>
      </x:c>
      <x:c r="F285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</x:v>
      </x:c>
      <x:c r="G285" s="24" t="str">
        <x:v>Rectus abdominis; External oblique; Internal oblique; Transversus abdominis</x:v>
      </x:c>
      <x:c r="H285" s="24" t="str">
        <x:v>—</x:v>
      </x:c>
      <x:c r="I285" s="24" t="str">
        <x:v>—</x:v>
      </x:c>
      <x:c r="J285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</x:v>
      </x:c>
      <x:c r="K285" s="24" t="str">
        <x:v>Intercostal muscle aponeuroses and costal attachments</x:v>
      </x:c>
      <x:c r="L285" s="24" t="str">
        <x:v>Costovertebral/costotransverse ligaments stabilize ribs; avoid forced mobilization</x:v>
      </x:c>
      <x:c r="M285" s="24" t="str">
        <x:v>Muscles: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 | Tendons/fascia: Intercostal muscle aponeuroses and costal attachments | Ligament context only: Costovertebral/costotransverse ligaments stabilize ribs; avoid forced mobilization</x:v>
      </x:c>
      <x:c r="N285" s="24" t="str">
        <x:v>Low-load activation, not ordinarily to fatigue: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</x:v>
      </x:c>
      <x:c r="O285" s="24" t="str">
        <x:v>Slow comfortable breaths allowing lower ribs to expand outward.</x:v>
      </x:c>
      <x:c r="P285" s="24" t="str">
        <x:v>None</x:v>
      </x:c>
      <x:c r="Q285" s="24" t="str">
        <x:v>1–2 × 5–10 controlled reps</x:v>
      </x:c>
      <x:c r="R285" s="24" t="str">
        <x:v>Progress gradually; stop with sharp pain, dizziness, or numbness.</x:v>
      </x:c>
      <x:c r="S285" s="24" t="str">
        <x:v>https://orthoinfo.aaos.org/globalassets/pdfs/spine-conditioning-program.pdf</x:v>
      </x:c>
      <x:c r="T285" s="24" t="str">
        <x:v>Anatomy-based mapping</x:v>
      </x:c>
    </x:row>
    <x:row r="286" ht="54" customHeight="1">
      <x:c r="A286" s="24" t="str">
        <x:v>EX0283</x:v>
      </x:c>
      <x:c r="B286" s="24" t="str">
        <x:v>Thoracic extension prone sphinx breathing</x:v>
      </x:c>
      <x:c r="C286" s="24" t="str">
        <x:v>Back &amp; Spine</x:v>
      </x:c>
      <x:c r="D286" s="24" t="str">
        <x:v>Home</x:v>
      </x:c>
      <x:c r="E286" s="24" t="str">
        <x:v>Breathing</x:v>
      </x:c>
      <x:c r="F286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G286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H286" s="24" t="str">
        <x:v>Rectus abdominis; External oblique; Internal oblique; Transversus abdominis</x:v>
      </x:c>
      <x:c r="I286" s="24" t="str">
        <x:v>—</x:v>
      </x:c>
      <x:c r="J286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286" s="24" t="str">
        <x:v>Atlas-listed tendon/aponeurosis examples: Central tendon; Central tendon; crural tendons; Segmental rib-to-rib muscle attachment; Costal-to-cervical tendons; additional listed attachments</x:v>
      </x:c>
      <x:c r="L286" s="24" t="str">
        <x:v>Interspinous/supraspinous ligaments and ligamenta flava limit end-range motion; NOT intentionally stretched</x:v>
      </x:c>
      <x:c r="M286" s="24" t="str">
        <x:v>Muscles: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Atlas-listed tendon/aponeurosis examples: Central tendon; Central tendon; crural tendons; Segmental rib-to-rib muscle attachment; Costal-to-cervical tendons; additional listed attachments | Ligament context only: Interspinous/supraspinous ligaments and ligamenta flava limit end-range motion; NOT intentionally stretched</x:v>
      </x:c>
      <x:c r="N286" s="24" t="str">
        <x:v>Low-load activation, not ordinarily to fatigue: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O286" s="24" t="str">
        <x:v>Prone on forearms breathe gently into expanding lower ribs.</x:v>
      </x:c>
      <x:c r="P286" s="24" t="str">
        <x:v>Mat</x:v>
      </x:c>
      <x:c r="Q286" s="24" t="str">
        <x:v>1–2 × 5–10 controlled reps</x:v>
      </x:c>
      <x:c r="R286" s="24" t="str">
        <x:v>Progress gradually; stop with sharp pain, dizziness, or numbness.</x:v>
      </x:c>
      <x:c r="S286" s="24" t="str">
        <x:v>https://orthoinfo.aaos.org/globalassets/pdfs/spine-conditioning-program.pdf</x:v>
      </x:c>
      <x:c r="T286" s="24" t="str">
        <x:v>Anatomy-based mapping</x:v>
      </x:c>
    </x:row>
    <x:row r="287" ht="54" customHeight="1">
      <x:c r="A287" s="24" t="str">
        <x:v>EX0284</x:v>
      </x:c>
      <x:c r="B287" s="24" t="str">
        <x:v>Gentle chin tuck lying supine</x:v>
      </x:c>
      <x:c r="C287" s="24" t="str">
        <x:v>Neck</x:v>
      </x:c>
      <x:c r="D287" s="24" t="str">
        <x:v>Home</x:v>
      </x:c>
      <x:c r="E287" s="24" t="str">
        <x:v>Motor control</x:v>
      </x:c>
      <x:c r="F287" s="24" t="str">
        <x:v>Longus colli inferior oblique part; Longus colli superior oblique part; Longus colli vertical part; Longus capitis; Rectus capitis anterior</x:v>
      </x:c>
      <x:c r="G287" s="24" t="str">
        <x:v>—</x:v>
      </x:c>
      <x:c r="H287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I287" s="24" t="str">
        <x:v>—</x:v>
      </x:c>
      <x:c r="J287" s="24" t="str">
        <x:v>Longus colli inferior oblique part; Longus colli superior oblique part; Longus colli vertical part; Longus capitis; Rectus capitis anterior;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K287" s="24" t="str">
        <x:v>Deep cervical flexor fascia</x:v>
      </x:c>
      <x:c r="L287" s="24" t="str">
        <x:v>Nuchal and cervical capsular ligaments stabilize spine; NOT intentionally stretched</x:v>
      </x:c>
      <x:c r="M287" s="24" t="str">
        <x:v>Muscles: Longus colli inferior oblique part; Longus colli superior oblique part; Longus colli vertical part; Longus capitis; Rectus capitis anterior; Splenius capitis; Splenius cervicis; Semispinalis capitis; Semispinalis cervicis; Longissimus capitis; Longissimus cervicis; Levator scapulae; Obliquus capitis inferior; Obliquus capitis superior; Rectus capitis posterior major; Rectus capitis posterior minor | Tendons/fascia: Deep cervical flexor fascia | Ligament context only: Nuchal and cervical capsular ligaments stabilize spine; NOT intentionally stretched</x:v>
      </x:c>
      <x:c r="N287" s="24" t="str">
        <x:v>Low-load activation, not ordinarily to fatigue: Longus colli inferior oblique part; Longus colli superior oblique part; Longus colli vertical part; Longus capitis; Rectus capitis anterior</x:v>
      </x:c>
      <x:c r="O287" s="24" t="str">
        <x:v>Make tiny nod as if saying yes; do not press chin to chest.</x:v>
      </x:c>
      <x:c r="P287" s="24" t="str">
        <x:v>Mat</x:v>
      </x:c>
      <x:c r="Q287" s="24" t="str">
        <x:v>1–2 × 5–10 controlled reps</x:v>
      </x:c>
      <x:c r="R287" s="24" t="str">
        <x:v>Progress gradually; stop with sharp pain, dizziness, or numbness.</x:v>
      </x:c>
      <x:c r="S287" s="24" t="str">
        <x:v>https://orthoinfo.aaos.org/globalassets/pdfs/spine-conditioning-program.pdf</x:v>
      </x:c>
      <x:c r="T287" s="24" t="str">
        <x:v>Anatomy-based mapping</x:v>
      </x:c>
    </x:row>
    <x:row r="288" ht="54" customHeight="1">
      <x:c r="A288" s="24" t="str">
        <x:v>EX0285</x:v>
      </x:c>
      <x:c r="B288" s="24" t="str">
        <x:v>Seated chin tuck (axial elongation)</x:v>
      </x:c>
      <x:c r="C288" s="24" t="str">
        <x:v>Neck</x:v>
      </x:c>
      <x:c r="D288" s="24" t="str">
        <x:v>Home</x:v>
      </x:c>
      <x:c r="E288" s="24" t="str">
        <x:v>Motor control</x:v>
      </x:c>
      <x:c r="F288" s="24" t="str">
        <x:v>Longus colli inferior oblique part; Longus colli superior oblique part; Longus colli vertical part; Longus capitis</x:v>
      </x:c>
      <x:c r="G288" s="24" t="str">
        <x:v>Rectus capitis anterior</x:v>
      </x:c>
      <x:c r="H288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I288" s="24" t="str">
        <x:v>—</x:v>
      </x:c>
      <x:c r="J288" s="24" t="str">
        <x:v>Longus colli inferior oblique part; Longus colli superior oblique part; Longus colli vertical part; Longus capitis; Rectus capitis anterior;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K288" s="24" t="str">
        <x:v>Atlas-listed tendon/aponeurosis examples: Segmental tendon slips; Small segmental tendons; Fleshy and tendinous vertebral insertions; Basilar occipital insertion tendon; additional listed attachments</x:v>
      </x:c>
      <x:c r="L288" s="24" t="str">
        <x:v>Nuchal and cervical capsular ligaments stabilize spine; NOT intentionally stretched</x:v>
      </x:c>
      <x:c r="M288" s="24" t="str">
        <x:v>Muscles: Longus colli inferior oblique part; Longus colli superior oblique part; Longus colli vertical part; Longus capitis; Rectus capitis anterior; Splenius capitis; Splenius cervicis; Semispinalis capitis; Semispinalis cervicis; Longissimus capitis; Longissimus cervicis; Levator scapulae; Obliquus capitis inferior; Obliquus capitis superior; Rectus capitis posterior major; Rectus capitis posterior minor | Tendons/fascia: Atlas-listed tendon/aponeurosis examples: Segmental tendon slips; Small segmental tendons; Fleshy and tendinous vertebral insertions; Basilar occipital insertion tendon; additional listed attachments | Ligament context only: Nuchal and cervical capsular ligaments stabilize spine; NOT intentionally stretched</x:v>
      </x:c>
      <x:c r="N288" s="24" t="str">
        <x:v>Low-load activation, not ordinarily to fatigue: Longus colli inferior oblique part; Longus colli superior oblique part; Longus colli vertical part; Longus capitis</x:v>
      </x:c>
      <x:c r="O288" s="24" t="str">
        <x:v>Slide head horizontally backward over shoulders without looking down.</x:v>
      </x:c>
      <x:c r="P288" s="24" t="str">
        <x:v>Chair</x:v>
      </x:c>
      <x:c r="Q288" s="24" t="str">
        <x:v>1–2 × 5–10 controlled reps</x:v>
      </x:c>
      <x:c r="R288" s="24" t="str">
        <x:v>Progress gradually; stop with sharp pain, dizziness, or numbness.</x:v>
      </x:c>
      <x:c r="S288" s="24" t="str">
        <x:v>https://orthoinfo.aaos.org/globalassets/pdfs/spine-conditioning-program.pdf</x:v>
      </x:c>
      <x:c r="T288" s="24" t="str">
        <x:v>Anatomy-based mapping</x:v>
      </x:c>
    </x:row>
    <x:row r="289" ht="54" customHeight="1">
      <x:c r="A289" s="24" t="str">
        <x:v>EX0286</x:v>
      </x:c>
      <x:c r="B289" s="24" t="str">
        <x:v>Deep neck flexor nod with towel</x:v>
      </x:c>
      <x:c r="C289" s="24" t="str">
        <x:v>Neck</x:v>
      </x:c>
      <x:c r="D289" s="24" t="str">
        <x:v>Home</x:v>
      </x:c>
      <x:c r="E289" s="24" t="str">
        <x:v>Isometric strength</x:v>
      </x:c>
      <x:c r="F289" s="24" t="str">
        <x:v>Longus colli inferior oblique part; Longus colli superior oblique part; Longus colli vertical part; Longus capitis</x:v>
      </x:c>
      <x:c r="G289" s="24" t="str">
        <x:v>Sternocleidomastoid clavicular head; Sternocleidomastoid sternal head</x:v>
      </x:c>
      <x:c r="H289" s="24" t="str">
        <x:v>Obliquus capitis inferior; Obliquus capitis superior; Rectus capitis posterior major; Rectus capitis posterior minor</x:v>
      </x:c>
      <x:c r="I289" s="24" t="str">
        <x:v>—</x:v>
      </x:c>
      <x:c r="J289" s="24" t="str">
        <x:v>Longus colli inferior oblique part; Longus colli superior oblique part; Longus colli vertical part; Longus capitis; Sternocleidomastoid clavicular head; Sternocleidomastoid sternal head; Obliquus capitis inferior; Obliquus capitis superior; Rectus capitis posterior major; Rectus capitis posterior minor</x:v>
      </x:c>
      <x:c r="K289" s="24" t="str">
        <x:v>Atlas-listed tendon/aponeurosis examples: Segmental tendon slips; Small segmental tendons; Fleshy and tendinous vertebral insertions; Basilar occipital insertion tendon; additional listed attachments</x:v>
      </x:c>
      <x:c r="L289" s="24" t="str">
        <x:v>Nuchal and cervical capsular ligaments stabilize spine; NOT intentionally stretched</x:v>
      </x:c>
      <x:c r="M289" s="24" t="str">
        <x:v>Muscles: Longus colli inferior oblique part; Longus colli superior oblique part; Longus colli vertical part; Longus capitis; Sternocleidomastoid clavicular head; Sternocleidomastoid sternal head; Obliquus capitis inferior; Obliquus capitis superior; Rectus capitis posterior major; Rectus capitis posterior minor | Tendons/fascia: Atlas-listed tendon/aponeurosis examples: Segmental tendon slips; Small segmental tendons; Fleshy and tendinous vertebral insertions; Basilar occipital insertion tendon; additional listed attachments | Ligament context only: Nuchal and cervical capsular ligaments stabilize spine; NOT intentionally stretched</x:v>
      </x:c>
      <x:c r="N289" s="24" t="str">
        <x:v>Longus colli inferior oblique part; Longus colli superior oblique part; Longus colli vertical part; Longus capitis; Sternocleidomastoid clavicular head; Sternocleidomastoid sternal head</x:v>
      </x:c>
      <x:c r="O289" s="24" t="str">
        <x:v>Lie on back with towel under head, make barely visible nod, breathe.</x:v>
      </x:c>
      <x:c r="P289" s="24" t="str">
        <x:v>Small towel</x:v>
      </x:c>
      <x:c r="Q289" s="24" t="str">
        <x:v>2–3 × 8–12 controlled reps</x:v>
      </x:c>
      <x:c r="R289" s="24" t="str">
        <x:v>Progress gradually; stop with sharp pain, dizziness, or numbness.</x:v>
      </x:c>
      <x:c r="S289" s="24" t="str">
        <x:v>https://orthoinfo.aaos.org/globalassets/pdfs/spine-conditioning-program.pdf</x:v>
      </x:c>
      <x:c r="T289" s="24" t="str">
        <x:v>Anatomy-based mapping</x:v>
      </x:c>
    </x:row>
    <x:row r="290" ht="54" customHeight="1">
      <x:c r="A290" s="24" t="str">
        <x:v>EX0287</x:v>
      </x:c>
      <x:c r="B290" s="24" t="str">
        <x:v>Neck isometric flexion hand resistance</x:v>
      </x:c>
      <x:c r="C290" s="24" t="str">
        <x:v>Neck</x:v>
      </x:c>
      <x:c r="D290" s="24" t="str">
        <x:v>Home</x:v>
      </x:c>
      <x:c r="E290" s="24" t="str">
        <x:v>Isometric strength</x:v>
      </x:c>
      <x:c r="F290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</x:v>
      </x:c>
      <x:c r="G290" s="24" t="str">
        <x:v>Omohyoid inferior belly; Omohyoid superior belly; Sternohyoid; Sternothyroid; Thyrohyoid; Geniohyoid; Mylohyoid; Digastric anterior belly; Digastric posterior belly; Stylohyoid</x:v>
      </x:c>
      <x:c r="H290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I290" s="24" t="str">
        <x:v>—</x:v>
      </x:c>
      <x:c r="J290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Omohyoid inferior belly; Omohyoid superior belly; Sternohyoid; Sternothyroid; Thyrohyoid; Geniohyoid; Mylohyoid; Digastric anterior belly; Digastric posterior belly; Stylohyoid;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K290" s="24" t="str">
        <x:v>Atlas-listed tendon/aponeurosis examples: Segmental tendon slips; Small segmental tendons; Fleshy and tendinous vertebral insertions; Basilar occipital insertion tendon; additional listed attachments</x:v>
      </x:c>
      <x:c r="L290" s="24" t="str">
        <x:v>Nuchal and cervical capsular ligaments stabilize spine; NOT intentionally stretched</x:v>
      </x:c>
      <x:c r="M290" s="24" t="str">
        <x:v>Muscles: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Omohyoid inferior belly; Omohyoid superior belly; Sternohyoid; Sternothyroid; Thyrohyoid; Geniohyoid; Mylohyoid; Digastric anterior belly; Digastric posterior belly; Stylohyoid; Splenius capitis; Splenius cervicis; Semispinalis capitis; Semispinalis cervicis; Longissimus capitis; Longissimus cervicis; Levator scapulae; Obliquus capitis inferior; Obliquus capitis superior; Rectus capitis posterior major; Rectus capitis posterior minor | Tendons/fascia: Atlas-listed tendon/aponeurosis examples: Segmental tendon slips; Small segmental tendons; Fleshy and tendinous vertebral insertions; Basilar occipital insertion tendon; additional listed attachments | Ligament context only: Nuchal and cervical capsular ligaments stabilize spine; NOT intentionally stretched</x:v>
      </x:c>
      <x:c r="N290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Omohyoid inferior belly; Omohyoid superior belly; Sternohyoid; Sternothyroid; Thyrohyoid; Geniohyoid; Mylohyoid; Digastric anterior belly; Digastric posterior belly; Stylohyoid</x:v>
      </x:c>
      <x:c r="O290" s="24" t="str">
        <x:v>Palm on forehead; press gently forward against stationary hand.</x:v>
      </x:c>
      <x:c r="P290" s="24" t="str">
        <x:v>Hand</x:v>
      </x:c>
      <x:c r="Q290" s="24" t="str">
        <x:v>2–3 × 8–12 controlled reps</x:v>
      </x:c>
      <x:c r="R290" s="24" t="str">
        <x:v>Progress gradually; stop with sharp pain, dizziness, or numbness.</x:v>
      </x:c>
      <x:c r="S290" s="24" t="str">
        <x:v>https://orthoinfo.aaos.org/globalassets/pdfs/spine-conditioning-program.pdf</x:v>
      </x:c>
      <x:c r="T290" s="24" t="str">
        <x:v>Anatomy-based mapping</x:v>
      </x:c>
    </x:row>
    <x:row r="291" ht="54" customHeight="1">
      <x:c r="A291" s="24" t="str">
        <x:v>EX0288</x:v>
      </x:c>
      <x:c r="B291" s="24" t="str">
        <x:v>Neck isometric extension hand resistance</x:v>
      </x:c>
      <x:c r="C291" s="24" t="str">
        <x:v>Neck</x:v>
      </x:c>
      <x:c r="D291" s="24" t="str">
        <x:v>Home</x:v>
      </x:c>
      <x:c r="E291" s="24" t="str">
        <x:v>Isometric strength</x:v>
      </x:c>
      <x:c r="F291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G291" s="24" t="str">
        <x:v>Trapezius</x:v>
      </x:c>
      <x:c r="H291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</x:v>
      </x:c>
      <x:c r="I291" s="24" t="str">
        <x:v>—</x:v>
      </x:c>
      <x:c r="J291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minor; Trapezius;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</x:v>
      </x:c>
      <x:c r="K291" s="24" t="str">
        <x:v>Atlas-listed tendon/aponeurosis examples: Flat occipital/mastoid insertion tendon; Small fascicular tendons; Broad occipital insertion and tendinous intersections; Cervical insertion tendons; additional listed attachments</x:v>
      </x:c>
      <x:c r="L291" s="24" t="str">
        <x:v>Nuchal and cervical capsular ligaments stabilize spine; NOT intentionally stretched</x:v>
      </x:c>
      <x:c r="M291" s="24" t="str">
        <x:v>Muscles: Splenius capitis; Splenius cervicis; Semispinalis capitis; Semispinalis cervicis; Longissimus capitis; Longissimus cervicis; Levator scapulae; Obliquus capitis inferior; Obliquus capitis superior; Rectus capitis posterior major; Rectus capitis posterior minor; Trapezius;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 | Tendons/fascia: Atlas-listed tendon/aponeurosis examples: Flat occipital/mastoid insertion tendon; Small fascicular tendons; Broad occipital insertion and tendinous intersections; Cervical insertion tendons; additional listed attachments | Ligament context only: Nuchal and cervical capsular ligaments stabilize spine; NOT intentionally stretched</x:v>
      </x:c>
      <x:c r="N291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minor; Trapezius</x:v>
      </x:c>
      <x:c r="O291" s="24" t="str">
        <x:v>Palm behind head; press gently backward without moving neck.</x:v>
      </x:c>
      <x:c r="P291" s="24" t="str">
        <x:v>Hand</x:v>
      </x:c>
      <x:c r="Q291" s="24" t="str">
        <x:v>2–3 × 8–12 controlled reps</x:v>
      </x:c>
      <x:c r="R291" s="24" t="str">
        <x:v>Progress gradually; stop with sharp pain, dizziness, or numbness.</x:v>
      </x:c>
      <x:c r="S291" s="24" t="str">
        <x:v>https://orthoinfo.aaos.org/globalassets/pdfs/spine-conditioning-program.pdf</x:v>
      </x:c>
      <x:c r="T291" s="24" t="str">
        <x:v>Anatomy-based mapping</x:v>
      </x:c>
    </x:row>
    <x:row r="292" ht="54" customHeight="1">
      <x:c r="A292" s="24" t="str">
        <x:v>EX0289</x:v>
      </x:c>
      <x:c r="B292" s="24" t="str">
        <x:v>Neck isometric lateral flexion</x:v>
      </x:c>
      <x:c r="C292" s="24" t="str">
        <x:v>Neck</x:v>
      </x:c>
      <x:c r="D292" s="24" t="str">
        <x:v>Home</x:v>
      </x:c>
      <x:c r="E292" s="24" t="str">
        <x:v>Isometric strength</x:v>
      </x:c>
      <x:c r="F292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minor; Intertransversarii cervicis anteriores; Intertransversarii cervicis posteriores</x:v>
      </x:c>
      <x:c r="G292" s="24" t="str">
        <x:v>—</x:v>
      </x:c>
      <x:c r="H292" s="24" t="str">
        <x:v>Rectus abdominis; External oblique; Internal oblique; Transversus abdominis</x:v>
      </x:c>
      <x:c r="I292" s="24" t="str">
        <x:v>—</x:v>
      </x:c>
      <x:c r="J292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minor; Intertransversarii cervicis anteriores; Intertransversarii cervicis posteriores; Rectus abdominis; External oblique; Internal oblique; Transversus abdominis</x:v>
      </x:c>
      <x:c r="K292" s="24" t="str">
        <x:v>Atlas-listed tendon/aponeurosis examples: Segmental tendon slips; Small segmental tendons; Fleshy and tendinous vertebral insertions; Basilar occipital insertion tendon; additional listed attachments</x:v>
      </x:c>
      <x:c r="L292" s="24" t="str">
        <x:v>Nuchal and cervical capsular ligaments stabilize spine; NOT intentionally stretched</x:v>
      </x:c>
      <x:c r="M292" s="24" t="str">
        <x:v>Muscles: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minor; Intertransversarii cervicis anteriores; Intertransversarii cervicis posteriores; Rectus abdominis; External oblique; Internal oblique; Transversus abdominis | Tendons/fascia: Atlas-listed tendon/aponeurosis examples: Segmental tendon slips; Small segmental tendons; Fleshy and tendinous vertebral insertions; Basilar occipital insertion tendon; additional listed attachments | Ligament context only: Nuchal and cervical capsular ligaments stabilize spine; NOT intentionally stretched</x:v>
      </x:c>
      <x:c r="N292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minor; Intertransversarii cervicis anteriores; Intertransversarii cervicis posteriores</x:v>
      </x:c>
      <x:c r="O292" s="24" t="str">
        <x:v>Palm against temple, press sideways at low force without turning head.</x:v>
      </x:c>
      <x:c r="P292" s="24" t="str">
        <x:v>Hand</x:v>
      </x:c>
      <x:c r="Q292" s="24" t="str">
        <x:v>2–3 × 8–12 controlled reps</x:v>
      </x:c>
      <x:c r="R292" s="24" t="str">
        <x:v>Progress gradually; stop with sharp pain, dizziness, or numbness.</x:v>
      </x:c>
      <x:c r="S292" s="24" t="str">
        <x:v>https://orthoinfo.aaos.org/globalassets/pdfs/spine-conditioning-program.pdf</x:v>
      </x:c>
      <x:c r="T292" s="24" t="str">
        <x:v>Anatomy-based mapping</x:v>
      </x:c>
    </x:row>
    <x:row r="293" ht="54" customHeight="1">
      <x:c r="A293" s="24" t="str">
        <x:v>EX0290</x:v>
      </x:c>
      <x:c r="B293" s="24" t="str">
        <x:v>Neck isometric rotation</x:v>
      </x:c>
      <x:c r="C293" s="24" t="str">
        <x:v>Neck</x:v>
      </x:c>
      <x:c r="D293" s="24" t="str">
        <x:v>Home</x:v>
      </x:c>
      <x:c r="E293" s="24" t="str">
        <x:v>Isometric strength</x:v>
      </x:c>
      <x:c r="F293" s="24" t="str">
        <x:v>Sternocleidomastoid clavicular head; Sternocleidomastoid sternal head; Splenius capitis; Obliquus capitis inferior; Obliquus capitis superior; Multifidus cervical fascicles</x:v>
      </x:c>
      <x:c r="G293" s="24" t="str">
        <x:v>Splenius cervicis; Semispinalis capitis; Semispinalis cervicis; Longissimus capitis; Longissimus cervicis; Levator scapulae; Rectus capitis posterior major; Rectus capitis posterior minor</x:v>
      </x:c>
      <x:c r="H293" s="24" t="str">
        <x:v>—</x:v>
      </x:c>
      <x:c r="I293" s="24" t="str">
        <x:v>—</x:v>
      </x:c>
      <x:c r="J293" s="24" t="str">
        <x:v>Sternocleidomastoid clavicular head; Sternocleidomastoid sternal head; Splenius capitis; Obliquus capitis inferior; Obliquus capitis superior; Multifidus cervical fascicles; Splenius cervicis; Semispinalis capitis; Semispinalis cervicis; Longissimus capitis; Longissimus cervicis; Levator scapulae; Rectus capitis posterior major; Rectus capitis posterior minor</x:v>
      </x:c>
      <x:c r="K293" s="24" t="str">
        <x:v>Atlas-listed tendon/aponeurosis examples: Clavicular aponeurosis/mastoid tendon; Sternal tendon and mastoid aponeurosis; Flat occipital/mastoid insertion tendon; Short C1 transverse process insertion tendon; additional listed attachments</x:v>
      </x:c>
      <x:c r="L293" s="24" t="str">
        <x:v>Nuchal and cervical capsular ligaments stabilize spine; NOT intentionally stretched</x:v>
      </x:c>
      <x:c r="M293" s="24" t="str">
        <x:v>Muscles: Sternocleidomastoid clavicular head; Sternocleidomastoid sternal head; Splenius capitis; Obliquus capitis inferior; Obliquus capitis superior; Multifidus cervical fascicles; Splenius cervicis; Semispinalis capitis; Semispinalis cervicis; Longissimus capitis; Longissimus cervicis; Levator scapulae; Rectus capitis posterior major; Rectus capitis posterior minor | Tendons/fascia: Atlas-listed tendon/aponeurosis examples: Clavicular aponeurosis/mastoid tendon; Sternal tendon and mastoid aponeurosis; Flat occipital/mastoid insertion tendon; Short C1 transverse process insertion tendon; additional listed attachments | Ligament context only: Nuchal and cervical capsular ligaments stabilize spine; NOT intentionally stretched</x:v>
      </x:c>
      <x:c r="N293" s="24" t="str">
        <x:v>Sternocleidomastoid clavicular head; Sternocleidomastoid sternal head; Splenius capitis; Obliquus capitis inferior; Obliquus capitis superior; Multifidus cervical fascicles; Splenius cervicis; Semispinalis capitis; Semispinalis cervicis; Longissimus capitis; Longissimus cervicis; Levator scapulae; Rectus capitis posterior major; Rectus capitis posterior minor</x:v>
      </x:c>
      <x:c r="O293" s="24" t="str">
        <x:v>Hand at temple; gently turn against stationary hand.</x:v>
      </x:c>
      <x:c r="P293" s="24" t="str">
        <x:v>Hand</x:v>
      </x:c>
      <x:c r="Q293" s="24" t="str">
        <x:v>2–3 × 8–12 controlled reps</x:v>
      </x:c>
      <x:c r="R293" s="24" t="str">
        <x:v>Progress gradually; stop with sharp pain, dizziness, or numbness.</x:v>
      </x:c>
      <x:c r="S293" s="24" t="str">
        <x:v>https://orthoinfo.aaos.org/globalassets/pdfs/spine-conditioning-program.pdf</x:v>
      </x:c>
      <x:c r="T293" s="24" t="str">
        <x:v>Anatomy-based mapping</x:v>
      </x:c>
    </x:row>
    <x:row r="294" ht="54" customHeight="1">
      <x:c r="A294" s="24" t="str">
        <x:v>EX0291</x:v>
      </x:c>
      <x:c r="B294" s="24" t="str">
        <x:v>Cervical rotation active range</x:v>
      </x:c>
      <x:c r="C294" s="24" t="str">
        <x:v>Neck</x:v>
      </x:c>
      <x:c r="D294" s="24" t="str">
        <x:v>Home</x:v>
      </x:c>
      <x:c r="E294" s="24" t="str">
        <x:v>Mobility</x:v>
      </x:c>
      <x:c r="F294" s="24" t="str">
        <x:v>Sternocleidomastoid clavicular head; Sternocleidomastoid sternal head; Splenius capitis; Splenius cervicis; Obliquus capitis inferior; Obliquus capitis superior; Rectus capitis posterior major; Rectus capitis posterior minor</x:v>
      </x:c>
      <x:c r="G294" s="24" t="str">
        <x:v>—</x:v>
      </x:c>
      <x:c r="H294" s="24" t="str">
        <x:v>Longus colli inferior oblique part; Longus colli superior oblique part; Longus colli vertical part; Longus capitis; Rectus capitis anterior; Rectus capitis lateralis; Anterior scalene; Middle scalene; Posterior scalene</x:v>
      </x:c>
      <x:c r="I294" s="24" t="str">
        <x:v>Sternocleidomastoid clavicular head; Sternocleidomastoid sternal head</x:v>
      </x:c>
      <x:c r="J294" s="24" t="str">
        <x:v>Sternocleidomastoid clavicular head; Sternocleidomastoid sternal head; Splenius capitis; Splenius cervicis; Obliquus capitis inferior; Obliquus capitis superior; Rectus capitis posterior major; Rectus capitis posterior minor; Longus colli inferior oblique part; Longus colli superior oblique part; Longus colli vertical part; Longus capitis; Rectus capitis anterior; Rectus capitis lateralis; Anterior scalene; Middle scalene; Posterior scalene</x:v>
      </x:c>
      <x:c r="K294" s="24" t="str">
        <x:v>Atlas-listed tendon/aponeurosis examples: Clavicular aponeurosis/mastoid tendon; Sternal tendon and mastoid aponeurosis; Flat occipital/mastoid insertion tendon; Small fascicular tendons; additional listed attachments</x:v>
      </x:c>
      <x:c r="L294" s="24" t="str">
        <x:v>Nuchal and cervical capsular ligaments stabilize spine; NOT intentionally stretched</x:v>
      </x:c>
      <x:c r="M294" s="24" t="str">
        <x:v>Muscles: Sternocleidomastoid clavicular head; Sternocleidomastoid sternal head; Splenius capitis; Splenius cervicis; Obliquus capitis inferior; Obliquus capitis superior; Rectus capitis posterior major; Rectus capitis posterior minor; Longus colli inferior oblique part; Longus colli superior oblique part; Longus colli vertical part; Longus capitis; Rectus capitis anterior; Rectus capitis lateralis; Anterior scalene; Middle scalene; Posterior scalene | Tendons/fascia: Atlas-listed tendon/aponeurosis examples: Clavicular aponeurosis/mastoid tendon; Sternal tendon and mastoid aponeurosis; Flat occipital/mastoid insertion tendon; Small fascicular tendons; additional listed attachments | Ligament context only: Nuchal and cervical capsular ligaments stabilize spine; NOT intentionally stretched</x:v>
      </x:c>
      <x:c r="N294" s="24" t="str">
        <x:v>Usually none expected (stretch, mobility or relaxation; any active movers are low-load)</x:v>
      </x:c>
      <x:c r="O294" s="24" t="str">
        <x:v>Turn head each way slowly with chin level.</x:v>
      </x:c>
      <x:c r="P294" s="24" t="str">
        <x:v>None</x:v>
      </x:c>
      <x:c r="Q294" s="24" t="str">
        <x:v>1–2 × 5–10 controlled reps</x:v>
      </x:c>
      <x:c r="R294" s="24" t="str">
        <x:v>Progress gradually; stop with sharp pain, dizziness, or numbness.</x:v>
      </x:c>
      <x:c r="S294" s="24" t="str">
        <x:v>https://orthoinfo.aaos.org/globalassets/pdfs/spine-conditioning-program.pdf</x:v>
      </x:c>
      <x:c r="T294" s="24" t="str">
        <x:v>Anatomy-based mapping</x:v>
      </x:c>
    </x:row>
    <x:row r="295" ht="54" customHeight="1">
      <x:c r="A295" s="24" t="str">
        <x:v>EX0292</x:v>
      </x:c>
      <x:c r="B295" s="24" t="str">
        <x:v>Cervical lateral bending active range</x:v>
      </x:c>
      <x:c r="C295" s="24" t="str">
        <x:v>Neck</x:v>
      </x:c>
      <x:c r="D295" s="24" t="str">
        <x:v>Home</x:v>
      </x:c>
      <x:c r="E295" s="24" t="str">
        <x:v>Mobility</x:v>
      </x:c>
      <x:c r="F295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G295" s="24" t="str">
        <x:v>—</x:v>
      </x:c>
      <x:c r="H295" s="24" t="str">
        <x:v>—</x:v>
      </x:c>
      <x:c r="I295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</x:v>
      </x:c>
      <x:c r="J295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K295" s="24" t="str">
        <x:v>Atlas-listed tendon/aponeurosis examples: Segmental tendon slips; Small segmental tendons; Fleshy and tendinous vertebral insertions; Basilar occipital insertion tendon; additional listed attachments</x:v>
      </x:c>
      <x:c r="L295" s="24" t="str">
        <x:v>Nuchal and cervical capsular ligaments stabilize spine; NOT intentionally stretched</x:v>
      </x:c>
      <x:c r="M295" s="24" t="str">
        <x:v>Muscles: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 | Tendons/fascia: Atlas-listed tendon/aponeurosis examples: Segmental tendon slips; Small segmental tendons; Fleshy and tendinous vertebral insertions; Basilar occipital insertion tendon; additional listed attachments | Ligament context only: Nuchal and cervical capsular ligaments stabilize spine; NOT intentionally stretched</x:v>
      </x:c>
      <x:c r="N295" s="24" t="str">
        <x:v>Usually none expected (stretch, mobility or relaxation; any active movers are low-load)</x:v>
      </x:c>
      <x:c r="O295" s="24" t="str">
        <x:v>Tilt ear toward shoulder gently without hiking shoulder.</x:v>
      </x:c>
      <x:c r="P295" s="24" t="str">
        <x:v>None</x:v>
      </x:c>
      <x:c r="Q295" s="24" t="str">
        <x:v>1–2 × 5–10 controlled reps</x:v>
      </x:c>
      <x:c r="R295" s="24" t="str">
        <x:v>Progress gradually; stop with sharp pain, dizziness, or numbness.</x:v>
      </x:c>
      <x:c r="S295" s="24" t="str">
        <x:v>https://orthoinfo.aaos.org/globalassets/pdfs/spine-conditioning-program.pdf</x:v>
      </x:c>
      <x:c r="T295" s="24" t="str">
        <x:v>Anatomy-based mapping</x:v>
      </x:c>
    </x:row>
    <x:row r="296" ht="54" customHeight="1">
      <x:c r="A296" s="24" t="str">
        <x:v>EX0293</x:v>
      </x:c>
      <x:c r="B296" s="24" t="str">
        <x:v>Suboccipital gentle nod / yes-no</x:v>
      </x:c>
      <x:c r="C296" s="24" t="str">
        <x:v>Neck</x:v>
      </x:c>
      <x:c r="D296" s="24" t="str">
        <x:v>Home</x:v>
      </x:c>
      <x:c r="E296" s="24" t="str">
        <x:v>Motor control</x:v>
      </x:c>
      <x:c r="F296" s="24" t="str">
        <x:v>Obliquus capitis inferior; Obliquus capitis superior; Rectus capitis posterior major; Rectus capitis posterior minor; Rectus capitis anterior; Rectus capitis lateralis</x:v>
      </x:c>
      <x:c r="G296" s="24" t="str">
        <x:v>Longus colli inferior oblique part; Longus colli superior oblique part; Longus colli vertical part</x:v>
      </x:c>
      <x:c r="H296" s="24" t="str">
        <x:v>—</x:v>
      </x:c>
      <x:c r="I296" s="24" t="str">
        <x:v>—</x:v>
      </x:c>
      <x:c r="J296" s="24" t="str">
        <x:v>Obliquus capitis inferior; Obliquus capitis superior; Rectus capitis posterior major; Rectus capitis posterior minor; Rectus capitis anterior; Rectus capitis lateralis; Longus colli inferior oblique part; Longus colli superior oblique part; Longus colli vertical part</x:v>
      </x:c>
      <x:c r="K296" s="24" t="str">
        <x:v>Atlas-listed tendon/aponeurosis examples: Short C1 transverse process insertion tendon; Short occipital insertion tendon; Occipital insertion tendon; Short occipital tendon; additional listed attachments</x:v>
      </x:c>
      <x:c r="L296" s="24" t="str">
        <x:v>Nuchal and cervical capsular ligaments stabilize spine; NOT intentionally stretched</x:v>
      </x:c>
      <x:c r="M296" s="24" t="str">
        <x:v>Muscles: Obliquus capitis inferior; Obliquus capitis superior; Rectus capitis posterior major; Rectus capitis posterior minor; Rectus capitis anterior; Rectus capitis lateralis; Longus colli inferior oblique part; Longus colli superior oblique part; Longus colli vertical part | Tendons/fascia: Atlas-listed tendon/aponeurosis examples: Short C1 transverse process insertion tendon; Short occipital insertion tendon; Occipital insertion tendon; Short occipital tendon; additional listed attachments | Ligament context only: Nuchal and cervical capsular ligaments stabilize spine; NOT intentionally stretched</x:v>
      </x:c>
      <x:c r="N296" s="24" t="str">
        <x:v>Low-load activation, not ordinarily to fatigue: Obliquus capitis inferior; Obliquus capitis superior; Rectus capitis posterior major; Rectus capitis posterior minor; Rectus capitis anterior; Rectus capitis lateralis</x:v>
      </x:c>
      <x:c r="O296" s="24" t="str">
        <x:v>With neck supported, do small pain-free nod and rotation.</x:v>
      </x:c>
      <x:c r="P296" s="24" t="str">
        <x:v>Rolled towel</x:v>
      </x:c>
      <x:c r="Q296" s="24" t="str">
        <x:v>1–2 × 5–10 controlled reps</x:v>
      </x:c>
      <x:c r="R296" s="24" t="str">
        <x:v>Progress gradually; stop with sharp pain, dizziness, or numbness.</x:v>
      </x:c>
      <x:c r="S296" s="24" t="str">
        <x:v>https://orthoinfo.aaos.org/globalassets/pdfs/spine-conditioning-program.pdf</x:v>
      </x:c>
      <x:c r="T296" s="24" t="str">
        <x:v>Anatomy-based mapping</x:v>
      </x:c>
    </x:row>
    <x:row r="297" ht="54" customHeight="1">
      <x:c r="A297" s="24" t="str">
        <x:v>EX0294</x:v>
      </x:c>
      <x:c r="B297" s="24" t="str">
        <x:v>Scapular retraction posture drill</x:v>
      </x:c>
      <x:c r="C297" s="24" t="str">
        <x:v>Neck</x:v>
      </x:c>
      <x:c r="D297" s="24" t="str">
        <x:v>Home</x:v>
      </x:c>
      <x:c r="E297" s="24" t="str">
        <x:v>Motor control</x:v>
      </x:c>
      <x:c r="F297" s="24" t="str">
        <x:v>Rhomboid major; Rhomboid minor; Trapezius</x:v>
      </x:c>
      <x:c r="G297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H297" s="24" t="str">
        <x:v>Longus colli inferior oblique part; Longus colli superior oblique part; Longus colli vertical part</x:v>
      </x:c>
      <x:c r="I297" s="24" t="str">
        <x:v>—</x:v>
      </x:c>
      <x:c r="J297" s="24" t="str">
        <x:v>Rhomboid major; Rhomboid minor; Trapezius; Splenius capitis; Splenius cervicis; Semispinalis capitis; Semispinalis cervicis; Longissimus capitis; Longissimus cervicis; Levator scapulae; Obliquus capitis inferior; Obliquus capitis superior; Rectus capitis posterior major; Rectus capitis posterior minor; Longus colli inferior oblique part; Longus colli superior oblique part; Longus colli vertical part</x:v>
      </x:c>
      <x:c r="K297" s="24" t="str">
        <x:v>Atlas-listed tendon/aponeurosis examples: Fibrous scapular insertion; Fibrous insertion slips; Broad aponeuroses and scapular/clavicular tendinous insertions; Flat occipital/mastoid insertion tendon; additional listed attachments</x:v>
      </x:c>
      <x:c r="L297" s="24" t="str">
        <x:v>Nuchal and cervical capsular ligaments stabilize spine; NOT intentionally stretched</x:v>
      </x:c>
      <x:c r="M297" s="24" t="str">
        <x:v>Muscles: Rhomboid major; Rhomboid minor; Trapezius; Splenius capitis; Splenius cervicis; Semispinalis capitis; Semispinalis cervicis; Longissimus capitis; Longissimus cervicis; Levator scapulae; Obliquus capitis inferior; Obliquus capitis superior; Rectus capitis posterior major; Rectus capitis posterior minor; Longus colli inferior oblique part; Longus colli superior oblique part; Longus colli vertical part | Tendons/fascia: Atlas-listed tendon/aponeurosis examples: Fibrous scapular insertion; Fibrous insertion slips; Broad aponeuroses and scapular/clavicular tendinous insertions; Flat occipital/mastoid insertion tendon; additional listed attachments | Ligament context only: Nuchal and cervical capsular ligaments stabilize spine; NOT intentionally stretched</x:v>
      </x:c>
      <x:c r="N297" s="24" t="str">
        <x:v>Low-load activation, not ordinarily to fatigue: Rhomboid major; Rhomboid minor; Trapezius</x:v>
      </x:c>
      <x:c r="O297" s="24" t="str">
        <x:v>Gently bring shoulder blades back and down without neck tension.</x:v>
      </x:c>
      <x:c r="P297" s="24" t="str">
        <x:v>None</x:v>
      </x:c>
      <x:c r="Q297" s="24" t="str">
        <x:v>1–2 × 5–10 controlled reps</x:v>
      </x:c>
      <x:c r="R297" s="24" t="str">
        <x:v>Progress gradually; stop with sharp pain, dizziness, or numbness.</x:v>
      </x:c>
      <x:c r="S297" s="24" t="str">
        <x:v>https://orthoinfo.aaos.org/globalassets/pdfs/spine-conditioning-program.pdf</x:v>
      </x:c>
      <x:c r="T297" s="24" t="str">
        <x:v>Anatomy-based mapping</x:v>
      </x:c>
    </x:row>
    <x:row r="298" ht="54" customHeight="1">
      <x:c r="A298" s="24" t="str">
        <x:v>EX0295</x:v>
      </x:c>
      <x:c r="B298" s="24" t="str">
        <x:v>Seated sternocleidomastoid stretch</x:v>
      </x:c>
      <x:c r="C298" s="24" t="str">
        <x:v>Neck</x:v>
      </x:c>
      <x:c r="D298" s="24" t="str">
        <x:v>Home</x:v>
      </x:c>
      <x:c r="E298" s="24" t="str">
        <x:v>Passive stretch</x:v>
      </x:c>
      <x:c r="F298" s="24" t="str">
        <x:v>—</x:v>
      </x:c>
      <x:c r="G298" s="24" t="str">
        <x:v>—</x:v>
      </x:c>
      <x:c r="H298" s="24" t="str">
        <x:v>—</x:v>
      </x:c>
      <x:c r="I298" s="24" t="str">
        <x:v>Sternocleidomastoid clavicular head; Sternocleidomastoid sternal head</x:v>
      </x:c>
      <x:c r="J298" s="24" t="str">
        <x:v>Sternocleidomastoid clavicular head; Sternocleidomastoid sternal head</x:v>
      </x:c>
      <x:c r="K298" s="24" t="str">
        <x:v>Atlas-listed tendon/aponeurosis examples: Clavicular aponeurosis/mastoid tendon; Sternal tendon and mastoid aponeurosis</x:v>
      </x:c>
      <x:c r="L298" s="24" t="str">
        <x:v>Nuchal and cervical capsular ligaments stabilize spine; NOT intentionally stretched</x:v>
      </x:c>
      <x:c r="M298" s="24" t="str">
        <x:v>Muscles: Sternocleidomastoid clavicular head; Sternocleidomastoid sternal head | Tendons/fascia: Atlas-listed tendon/aponeurosis examples: Clavicular aponeurosis/mastoid tendon; Sternal tendon and mastoid aponeurosis | Ligament context only: Nuchal and cervical capsular ligaments stabilize spine; NOT intentionally stretched</x:v>
      </x:c>
      <x:c r="N298" s="24" t="str">
        <x:v>Usually none expected (stretch, mobility or relaxation; any active movers are low-load)</x:v>
      </x:c>
      <x:c r="O298" s="24" t="str">
        <x:v>Slowly side-bend head away and turn slightly toward stretched side.</x:v>
      </x:c>
      <x:c r="P298" s="24" t="str">
        <x:v>Chair</x:v>
      </x:c>
      <x:c r="Q298" s="24" t="str">
        <x:v>2–3 × 8–12 controlled reps</x:v>
      </x:c>
      <x:c r="R298" s="24" t="str">
        <x:v>Avoid compressing front of neck; do not force dizziness/tingling.</x:v>
      </x:c>
      <x:c r="S298" s="24" t="str">
        <x:v>https://orthoinfo.aaos.org/globalassets/pdfs/spine-conditioning-program.pdf</x:v>
      </x:c>
      <x:c r="T298" s="24" t="str">
        <x:v>Anatomy-based mapping</x:v>
      </x:c>
    </x:row>
    <x:row r="299" ht="54" customHeight="1">
      <x:c r="A299" s="24" t="str">
        <x:v>EX0296</x:v>
      </x:c>
      <x:c r="B299" s="24" t="str">
        <x:v>Gentle upper trapezius stretch</x:v>
      </x:c>
      <x:c r="C299" s="24" t="str">
        <x:v>Neck</x:v>
      </x:c>
      <x:c r="D299" s="24" t="str">
        <x:v>Home</x:v>
      </x:c>
      <x:c r="E299" s="24" t="str">
        <x:v>Passive stretch</x:v>
      </x:c>
      <x:c r="F299" s="24" t="str">
        <x:v>—</x:v>
      </x:c>
      <x:c r="G299" s="24" t="str">
        <x:v>—</x:v>
      </x:c>
      <x:c r="H299" s="24" t="str">
        <x:v>—</x:v>
      </x:c>
      <x:c r="I299" s="24" t="str">
        <x:v>Trapezius; Levator scapulae</x:v>
      </x:c>
      <x:c r="J299" s="24" t="str">
        <x:v>Trapezius; Levator scapulae</x:v>
      </x:c>
      <x:c r="K299" s="24" t="str">
        <x:v>Atlas-listed tendon/aponeurosis examples: Broad aponeuroses and scapular/clavicular tendinous insertions; Short aponeurotic scapular attachment</x:v>
      </x:c>
      <x:c r="L299" s="24" t="str">
        <x:v>Nuchal and cervical capsular ligaments stabilize spine; NOT intentionally stretched</x:v>
      </x:c>
      <x:c r="M299" s="24" t="str">
        <x:v>Muscles: Trapezius; Levator scapulae | Tendons/fascia: Atlas-listed tendon/aponeurosis examples: Broad aponeuroses and scapular/clavicular tendinous insertions; Short aponeurotic scapular attachment | Ligament context only: Nuchal and cervical capsular ligaments stabilize spine; NOT intentionally stretched</x:v>
      </x:c>
      <x:c r="N299" s="24" t="str">
        <x:v>Usually none expected (stretch, mobility or relaxation; any active movers are low-load)</x:v>
      </x:c>
      <x:c r="O299" s="24" t="str">
        <x:v>Let ear tilt away from shoulder while arm remains relaxed.</x:v>
      </x:c>
      <x:c r="P299" s="24" t="str">
        <x:v>Chair</x:v>
      </x:c>
      <x:c r="Q299" s="24" t="str">
        <x:v>2–3 × 8–12 controlled reps</x:v>
      </x:c>
      <x:c r="R299" s="24" t="str">
        <x:v>Progress gradually; stop with sharp pain, dizziness, or numbness.</x:v>
      </x:c>
      <x:c r="S299" s="24" t="str">
        <x:v>https://orthoinfo.aaos.org/globalassets/pdfs/spine-conditioning-program.pdf</x:v>
      </x:c>
      <x:c r="T299" s="24" t="str">
        <x:v>Anatomy-based mapping</x:v>
      </x:c>
    </x:row>
    <x:row r="300" ht="54" customHeight="1">
      <x:c r="A300" s="24" t="str">
        <x:v>EX0297</x:v>
      </x:c>
      <x:c r="B300" s="24" t="str">
        <x:v>Levator scapulae stretch</x:v>
      </x:c>
      <x:c r="C300" s="24" t="str">
        <x:v>Neck</x:v>
      </x:c>
      <x:c r="D300" s="24" t="str">
        <x:v>Home</x:v>
      </x:c>
      <x:c r="E300" s="24" t="str">
        <x:v>Passive stretch</x:v>
      </x:c>
      <x:c r="F300" s="24" t="str">
        <x:v>—</x:v>
      </x:c>
      <x:c r="G300" s="24" t="str">
        <x:v>—</x:v>
      </x:c>
      <x:c r="H300" s="24" t="str">
        <x:v>—</x:v>
      </x:c>
      <x:c r="I300" s="24" t="str">
        <x:v>Levator scapulae</x:v>
      </x:c>
      <x:c r="J300" s="24" t="str">
        <x:v>Levator scapulae</x:v>
      </x:c>
      <x:c r="K300" s="24" t="str">
        <x:v>Atlas-listed tendon/aponeurosis examples: Short aponeurotic scapular attachment</x:v>
      </x:c>
      <x:c r="L300" s="24" t="str">
        <x:v>Nuchal and cervical capsular ligaments stabilize spine; NOT intentionally stretched</x:v>
      </x:c>
      <x:c r="M300" s="24" t="str">
        <x:v>Muscles: Levator scapulae | Tendons/fascia: Atlas-listed tendon/aponeurosis examples: Short aponeurotic scapular attachment | Ligament context only: Nuchal and cervical capsular ligaments stabilize spine; NOT intentionally stretched</x:v>
      </x:c>
      <x:c r="N300" s="24" t="str">
        <x:v>Usually none expected (stretch, mobility or relaxation; any active movers are low-load)</x:v>
      </x:c>
      <x:c r="O300" s="24" t="str">
        <x:v>Look diagonally toward armpit, apply only very gentle neck flexion.</x:v>
      </x:c>
      <x:c r="P300" s="24" t="str">
        <x:v>Chair</x:v>
      </x:c>
      <x:c r="Q300" s="24" t="str">
        <x:v>2–3 × 8–12 controlled reps</x:v>
      </x:c>
      <x:c r="R300" s="24" t="str">
        <x:v>Progress gradually; stop with sharp pain, dizziness, or numbness.</x:v>
      </x:c>
      <x:c r="S300" s="24" t="str">
        <x:v>https://orthoinfo.aaos.org/globalassets/pdfs/spine-conditioning-program.pdf</x:v>
      </x:c>
      <x:c r="T300" s="24" t="str">
        <x:v>Anatomy-based mapping</x:v>
      </x:c>
    </x:row>
    <x:row r="301" ht="54" customHeight="1">
      <x:c r="A301" s="24" t="str">
        <x:v>EX0298</x:v>
      </x:c>
      <x:c r="B301" s="24" t="str">
        <x:v>Scalene gentle lateral neck stretch</x:v>
      </x:c>
      <x:c r="C301" s="24" t="str">
        <x:v>Neck</x:v>
      </x:c>
      <x:c r="D301" s="24" t="str">
        <x:v>Home</x:v>
      </x:c>
      <x:c r="E301" s="24" t="str">
        <x:v>Passive stretch</x:v>
      </x:c>
      <x:c r="F301" s="24" t="str">
        <x:v>—</x:v>
      </x:c>
      <x:c r="G301" s="24" t="str">
        <x:v>—</x:v>
      </x:c>
      <x:c r="H301" s="24" t="str">
        <x:v>—</x:v>
      </x:c>
      <x:c r="I301" s="24" t="str">
        <x:v>Anterior scalene; Middle scalene; Posterior scalene</x:v>
      </x:c>
      <x:c r="J301" s="24" t="str">
        <x:v>Anterior scalene; Middle scalene; Posterior scalene</x:v>
      </x:c>
      <x:c r="K301" s="24" t="str">
        <x:v>Atlas-listed tendon/aponeurosis examples: Scalene insertion tendon; Costal insertion tendon</x:v>
      </x:c>
      <x:c r="L301" s="24" t="str">
        <x:v>Nuchal and cervical capsular ligaments stabilize spine; NOT intentionally stretched</x:v>
      </x:c>
      <x:c r="M301" s="24" t="str">
        <x:v>Muscles: Anterior scalene; Middle scalene; Posterior scalene | Tendons/fascia: Atlas-listed tendon/aponeurosis examples: Scalene insertion tendon; Costal insertion tendon | Ligament context only: Nuchal and cervical capsular ligaments stabilize spine; NOT intentionally stretched</x:v>
      </x:c>
      <x:c r="N301" s="24" t="str">
        <x:v>Usually none expected (stretch, mobility or relaxation; any active movers are low-load)</x:v>
      </x:c>
      <x:c r="O301" s="24" t="str">
        <x:v>With shoulders down, tip head slightly away without strong extension.</x:v>
      </x:c>
      <x:c r="P301" s="24" t="str">
        <x:v>Chair</x:v>
      </x:c>
      <x:c r="Q301" s="24" t="str">
        <x:v>2–3 × 8–12 controlled reps</x:v>
      </x:c>
      <x:c r="R301" s="24" t="str">
        <x:v>No pressure to front/lateral neck; avoid if vascular symptoms.</x:v>
      </x:c>
      <x:c r="S301" s="24" t="str">
        <x:v>https://orthoinfo.aaos.org/globalassets/pdfs/spine-conditioning-program.pdf</x:v>
      </x:c>
      <x:c r="T301" s="24" t="str">
        <x:v>Anatomy-based mapping</x:v>
      </x:c>
    </x:row>
    <x:row r="302" ht="54" customHeight="1">
      <x:c r="A302" s="24" t="str">
        <x:v>EX0299</x:v>
      </x:c>
      <x:c r="B302" s="24" t="str">
        <x:v>Seated cervical extensor stretch</x:v>
      </x:c>
      <x:c r="C302" s="24" t="str">
        <x:v>Neck</x:v>
      </x:c>
      <x:c r="D302" s="24" t="str">
        <x:v>Home</x:v>
      </x:c>
      <x:c r="E302" s="24" t="str">
        <x:v>Passive stretch</x:v>
      </x:c>
      <x:c r="F302" s="24" t="str">
        <x:v>—</x:v>
      </x:c>
      <x:c r="G302" s="24" t="str">
        <x:v>—</x:v>
      </x:c>
      <x:c r="H302" s="24" t="str">
        <x:v>—</x:v>
      </x:c>
      <x:c r="I302" s="24" t="str">
        <x:v>Splenius capitis; Splenius cervicis; Obliquus capitis inferior; Obliquus capitis superior; Rectus capitis posterior major; Rectus capitis posterior minor</x:v>
      </x:c>
      <x:c r="J302" s="24" t="str">
        <x:v>Splenius capitis; Splenius cervicis; Obliquus capitis inferior; Obliquus capitis superior; Rectus capitis posterior major; Rectus capitis posterior minor</x:v>
      </x:c>
      <x:c r="K302" s="24" t="str">
        <x:v>Atlas-listed tendon/aponeurosis examples: Flat occipital/mastoid insertion tendon; Small fascicular tendons; Short C1 transverse process insertion tendon; Short occipital insertion tendon; additional listed attachments</x:v>
      </x:c>
      <x:c r="L302" s="24" t="str">
        <x:v>Nuchal and cervical capsular ligaments stabilize spine; NOT intentionally stretched</x:v>
      </x:c>
      <x:c r="M302" s="24" t="str">
        <x:v>Muscles: Splenius capitis; Splenius cervicis; Obliquus capitis inferior; Obliquus capitis superior; Rectus capitis posterior major; Rectus capitis posterior minor | Tendons/fascia: Atlas-listed tendon/aponeurosis examples: Flat occipital/mastoid insertion tendon; Small fascicular tendons; Short C1 transverse process insertion tendon; Short occipital insertion tendon; additional listed attachments | Ligament context only: Nuchal and cervical capsular ligaments stabilize spine; NOT intentionally stretched</x:v>
      </x:c>
      <x:c r="N302" s="24" t="str">
        <x:v>Usually none expected (stretch, mobility or relaxation; any active movers are low-load)</x:v>
      </x:c>
      <x:c r="O302" s="24" t="str">
        <x:v>Nod chin slightly toward chest without traction.</x:v>
      </x:c>
      <x:c r="P302" s="24" t="str">
        <x:v>Chair</x:v>
      </x:c>
      <x:c r="Q302" s="24" t="str">
        <x:v>2–3 × 8–12 controlled reps</x:v>
      </x:c>
      <x:c r="R302" s="24" t="str">
        <x:v>Progress gradually; stop with sharp pain, dizziness, or numbness.</x:v>
      </x:c>
      <x:c r="S302" s="24" t="str">
        <x:v>https://orthoinfo.aaos.org/globalassets/pdfs/spine-conditioning-program.pdf</x:v>
      </x:c>
      <x:c r="T302" s="24" t="str">
        <x:v>Anatomy-based mapping</x:v>
      </x:c>
    </x:row>
    <x:row r="303" ht="54" customHeight="1">
      <x:c r="A303" s="24" t="str">
        <x:v>EX0300</x:v>
      </x:c>
      <x:c r="B303" s="24" t="str">
        <x:v>Prone low-level cervical extension</x:v>
      </x:c>
      <x:c r="C303" s="24" t="str">
        <x:v>Neck</x:v>
      </x:c>
      <x:c r="D303" s="24" t="str">
        <x:v>Home</x:v>
      </x:c>
      <x:c r="E303" s="24" t="str">
        <x:v>Isolation strength</x:v>
      </x:c>
      <x:c r="F303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G303" s="24" t="str">
        <x:v>—</x:v>
      </x:c>
      <x:c r="H303" s="24" t="str">
        <x:v>Rhomboid major; Rhomboid minor; Trapezius</x:v>
      </x:c>
      <x:c r="I303" s="24" t="str">
        <x:v>—</x:v>
      </x:c>
      <x:c r="J303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minor; Rhomboid major; Rhomboid minor; Trapezius</x:v>
      </x:c>
      <x:c r="K303" s="24" t="str">
        <x:v>Nuchal ligament acts as passive restraint; not a stretch goal</x:v>
      </x:c>
      <x:c r="L303" s="24" t="str">
        <x:v>Nuchal and cervical capsular ligaments stabilize spine; NOT intentionally stretched</x:v>
      </x:c>
      <x:c r="M303" s="24" t="str">
        <x:v>Muscles: Splenius capitis; Splenius cervicis; Semispinalis capitis; Semispinalis cervicis; Longissimus capitis; Longissimus cervicis; Levator scapulae; Obliquus capitis inferior; Obliquus capitis superior; Rectus capitis posterior major; Rectus capitis posterior minor; Rhomboid major; Rhomboid minor; Trapezius | Tendons/fascia: Nuchal ligament acts as passive restraint; not a stretch goal | Ligament context only: Nuchal and cervical capsular ligaments stabilize spine; NOT intentionally stretched</x:v>
      </x:c>
      <x:c r="N303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O303" s="24" t="str">
        <x:v>Lying prone forehead supported, hover nose a centimeter without craning.</x:v>
      </x:c>
      <x:c r="P303" s="24" t="str">
        <x:v>Towel</x:v>
      </x:c>
      <x:c r="Q303" s="24" t="str">
        <x:v>2–3 × 8–12 controlled reps</x:v>
      </x:c>
      <x:c r="R303" s="24" t="str">
        <x:v>Progress gradually; stop with sharp pain, dizziness, or numbness.</x:v>
      </x:c>
      <x:c r="S303" s="24" t="str">
        <x:v>https://orthoinfo.aaos.org/globalassets/pdfs/spine-conditioning-program.pdf</x:v>
      </x:c>
      <x:c r="T303" s="24" t="str">
        <x:v>Anatomy-based mapping</x:v>
      </x:c>
    </x:row>
    <x:row r="304" ht="54" customHeight="1">
      <x:c r="A304" s="24" t="str">
        <x:v>EX0301</x:v>
      </x:c>
      <x:c r="B304" s="24" t="str">
        <x:v>Gentle neck side-lying hold</x:v>
      </x:c>
      <x:c r="C304" s="24" t="str">
        <x:v>Neck</x:v>
      </x:c>
      <x:c r="D304" s="24" t="str">
        <x:v>Home</x:v>
      </x:c>
      <x:c r="E304" s="24" t="str">
        <x:v>Isometric strength</x:v>
      </x:c>
      <x:c r="F304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G304" s="24" t="str">
        <x:v>—</x:v>
      </x:c>
      <x:c r="H304" s="24" t="str">
        <x:v>—</x:v>
      </x:c>
      <x:c r="I304" s="24" t="str">
        <x:v>—</x:v>
      </x:c>
      <x:c r="J304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K304" s="24" t="str">
        <x:v>Atlas-listed tendon/aponeurosis examples: Segmental tendon slips; Small segmental tendons; Fleshy and tendinous vertebral insertions; Basilar occipital insertion tendon; additional listed attachments</x:v>
      </x:c>
      <x:c r="L304" s="24" t="str">
        <x:v>Nuchal and cervical capsular ligaments stabilize spine; NOT intentionally stretched</x:v>
      </x:c>
      <x:c r="M304" s="24" t="str">
        <x:v>Muscles: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 | Tendons/fascia: Atlas-listed tendon/aponeurosis examples: Segmental tendon slips; Small segmental tendons; Fleshy and tendinous vertebral insertions; Basilar occipital insertion tendon; additional listed attachments | Ligament context only: Nuchal and cervical capsular ligaments stabilize spine; NOT intentionally stretched</x:v>
      </x:c>
      <x:c r="N304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O304" s="24" t="str">
        <x:v>Side-lying with pillow support, gently lift head just enough to align neck.</x:v>
      </x:c>
      <x:c r="P304" s="24" t="str">
        <x:v>Pillow</x:v>
      </x:c>
      <x:c r="Q304" s="24" t="str">
        <x:v>2–3 × 8–12 controlled reps</x:v>
      </x:c>
      <x:c r="R304" s="24" t="str">
        <x:v>Progress gradually; stop with sharp pain, dizziness, or numbness.</x:v>
      </x:c>
      <x:c r="S304" s="24" t="str">
        <x:v>https://orthoinfo.aaos.org/globalassets/pdfs/spine-conditioning-program.pdf</x:v>
      </x:c>
      <x:c r="T304" s="24" t="str">
        <x:v>Anatomy-based mapping</x:v>
      </x:c>
    </x:row>
    <x:row r="305" ht="54" customHeight="1">
      <x:c r="A305" s="24" t="str">
        <x:v>EX0302</x:v>
      </x:c>
      <x:c r="B305" s="24" t="str">
        <x:v>Band resisted scapular elevation for neck/scapula</x:v>
      </x:c>
      <x:c r="C305" s="24" t="str">
        <x:v>Neck</x:v>
      </x:c>
      <x:c r="D305" s="24" t="str">
        <x:v>Home</x:v>
      </x:c>
      <x:c r="E305" s="24" t="str">
        <x:v>Band strength</x:v>
      </x:c>
      <x:c r="F305" s="24" t="str">
        <x:v>Trapezius; Levator scapulae</x:v>
      </x:c>
      <x:c r="G305" s="24" t="str">
        <x:v>—</x:v>
      </x:c>
      <x:c r="H305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</x:v>
      </x:c>
      <x:c r="I305" s="24" t="str">
        <x:v>—</x:v>
      </x:c>
      <x:c r="J305" s="24" t="str">
        <x:v>Trapezius; Levator scapulae;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</x:v>
      </x:c>
      <x:c r="K305" s="24" t="str">
        <x:v>Atlas-listed tendon/aponeurosis examples: Broad aponeuroses and scapular/clavicular tendinous insertions; Short aponeurotic scapular attachment</x:v>
      </x:c>
      <x:c r="L305" s="24" t="str">
        <x:v>Nuchal and cervical capsular ligaments stabilize spine; NOT intentionally stretched</x:v>
      </x:c>
      <x:c r="M305" s="24" t="str">
        <x:v>Muscles: Trapezius; Levator scapulae;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 | Tendons/fascia: Atlas-listed tendon/aponeurosis examples: Broad aponeuroses and scapular/clavicular tendinous insertions; Short aponeurotic scapular attachment | Ligament context only: Nuchal and cervical capsular ligaments stabilize spine; NOT intentionally stretched</x:v>
      </x:c>
      <x:c r="N305" s="24" t="str">
        <x:v>Trapezius; Levator scapulae</x:v>
      </x:c>
      <x:c r="O305" s="24" t="str">
        <x:v>Use light band shrug without actively sidebending neck.</x:v>
      </x:c>
      <x:c r="P305" s="24" t="str">
        <x:v>Band</x:v>
      </x:c>
      <x:c r="Q305" s="24" t="str">
        <x:v>2–3 × 8–12 controlled reps</x:v>
      </x:c>
      <x:c r="R305" s="24" t="str">
        <x:v>Progress gradually; stop with sharp pain, dizziness, or numbness.</x:v>
      </x:c>
      <x:c r="S305" s="24" t="str">
        <x:v>https://orthoinfo.aaos.org/globalassets/pdfs/spine-conditioning-program.pdf</x:v>
      </x:c>
      <x:c r="T305" s="24" t="str">
        <x:v>Anatomy-based mapping</x:v>
      </x:c>
    </x:row>
    <x:row r="306" ht="54" customHeight="1">
      <x:c r="A306" s="24" t="str">
        <x:v>EX0303</x:v>
      </x:c>
      <x:c r="B306" s="24" t="str">
        <x:v>Overhead shoulder mobility with neck neutral</x:v>
      </x:c>
      <x:c r="C306" s="24" t="str">
        <x:v>Neck</x:v>
      </x:c>
      <x:c r="D306" s="24" t="str">
        <x:v>Home</x:v>
      </x:c>
      <x:c r="E306" s="24" t="str">
        <x:v>Mobility</x:v>
      </x:c>
      <x:c r="F306" s="24" t="str">
        <x:v>Trapezius; Serratus anterior</x:v>
      </x:c>
      <x:c r="G306" s="24" t="str">
        <x:v>Deltoid; Supraspinatus</x:v>
      </x:c>
      <x:c r="H306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I306" s="24" t="str">
        <x:v>—</x:v>
      </x:c>
      <x:c r="J306" s="24" t="str">
        <x:v>Trapezius; Serratus anterior; Deltoid; Supraspinatus;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K306" s="24" t="str">
        <x:v>Atlas-listed tendon/aponeurosis examples: Broad aponeuroses and scapular/clavicular tendinous insertions; Muscular/slip attachments; no dominant distal tendon; Deltoid insertion tendon; Supraspinatus tendon blends with shoulder capsule</x:v>
      </x:c>
      <x:c r="L306" s="24" t="str">
        <x:v>Nuchal and cervical capsular ligaments stabilize spine; NOT intentionally stretched</x:v>
      </x:c>
      <x:c r="M306" s="24" t="str">
        <x:v>Muscles: Trapezius; Serratus anterior; Deltoid; Supraspinatus;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 | Tendons/fascia: Atlas-listed tendon/aponeurosis examples: Broad aponeuroses and scapular/clavicular tendinous insertions; Muscular/slip attachments; no dominant distal tendon; Deltoid insertion tendon; Supraspinatus tendon blends with shoulder capsule | Ligament context only: Nuchal and cervical capsular ligaments stabilize spine; NOT intentionally stretched</x:v>
      </x:c>
      <x:c r="N306" s="24" t="str">
        <x:v>Usually none expected (stretch, mobility or relaxation; any active movers are low-load)</x:v>
      </x:c>
      <x:c r="O306" s="24" t="str">
        <x:v>Slide arms overhead keeping chin tucked and ribs low.</x:v>
      </x:c>
      <x:c r="P306" s="24" t="str">
        <x:v>Wall</x:v>
      </x:c>
      <x:c r="Q306" s="24" t="str">
        <x:v>1–2 × 5–10 controlled reps</x:v>
      </x:c>
      <x:c r="R306" s="24" t="str">
        <x:v>Progress gradually; stop with sharp pain, dizziness, or numbness.</x:v>
      </x:c>
      <x:c r="S306" s="24" t="str">
        <x:v>https://orthoinfo.aaos.org/globalassets/pdfs/spine-conditioning-program.pdf</x:v>
      </x:c>
      <x:c r="T306" s="24" t="str">
        <x:v>Anatomy-based mapping</x:v>
      </x:c>
    </x:row>
    <x:row r="307" ht="54" customHeight="1">
      <x:c r="A307" s="24" t="str">
        <x:v>EX0304</x:v>
      </x:c>
      <x:c r="B307" s="24" t="str">
        <x:v>Diaphragmatic breathing supine</x:v>
      </x:c>
      <x:c r="C307" s="24" t="str">
        <x:v>Thorax &amp; Breathing</x:v>
      </x:c>
      <x:c r="D307" s="24" t="str">
        <x:v>Home</x:v>
      </x:c>
      <x:c r="E307" s="24" t="str">
        <x:v>Breathing</x:v>
      </x:c>
      <x:c r="F307" s="24" t="str">
        <x:v>Diaphragm costal part; Diaphragm lumbar part / crura; Diaphragm sternal part</x:v>
      </x:c>
      <x:c r="G307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H307" s="24" t="str">
        <x:v>Rectus abdominis; External oblique; Internal oblique; Transversus abdominis;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I307" s="24" t="str">
        <x:v>—</x:v>
      </x:c>
      <x:c r="J307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Rectus abdominis; External oblique; Internal oblique; Transversus abdominis;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K307" s="24" t="str">
        <x:v>Diaphragm costal/central tendon</x:v>
      </x:c>
      <x:c r="L307" s="24" t="str">
        <x:v>Rib ligaments move physiologically, not stretched intentionally</x:v>
      </x:c>
      <x:c r="M307" s="24" t="str">
        <x:v>Muscles: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Rectus abdominis; External oblique; Internal oblique; Transversus abdominis;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 | Tendons/fascia: Diaphragm costal/central tendon | Ligament context only: Rib ligaments move physiologically, not stretched intentionally</x:v>
      </x:c>
      <x:c r="N307" s="24" t="str">
        <x:v>Low-load activation, not ordinarily to fatigue: Diaphragm costal part; Diaphragm lumbar part / crura; Diaphragm sternal part</x:v>
      </x:c>
      <x:c r="O307" s="24" t="str">
        <x:v>Breathe in quietly through nose, lower ribs expand; exhale without straining.</x:v>
      </x:c>
      <x:c r="P307" s="24" t="str">
        <x:v>Mat</x:v>
      </x:c>
      <x:c r="Q307" s="24" t="str">
        <x:v>1–2 × 5–10 controlled reps</x:v>
      </x:c>
      <x:c r="R307" s="24" t="str">
        <x:v>Progress gradually; stop with sharp pain, dizziness, or numbness.</x:v>
      </x:c>
      <x:c r="S307" s="24" t="str">
        <x:v>https://www.acsm.org/education-resources/trending-topics-resources/physical-activity-guidelines</x:v>
      </x:c>
      <x:c r="T307" s="24" t="str">
        <x:v>Anatomy-based mapping</x:v>
      </x:c>
    </x:row>
    <x:row r="308" ht="54" customHeight="1">
      <x:c r="A308" s="24" t="str">
        <x:v>EX0305</x:v>
      </x:c>
      <x:c r="B308" s="24" t="str">
        <x:v>360-degree lower-rib breathing</x:v>
      </x:c>
      <x:c r="C308" s="24" t="str">
        <x:v>Thorax &amp; Breathing</x:v>
      </x:c>
      <x:c r="D308" s="24" t="str">
        <x:v>Home</x:v>
      </x:c>
      <x:c r="E308" s="24" t="str">
        <x:v>Breathing</x:v>
      </x:c>
      <x:c r="F308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G308" s="24" t="str">
        <x:v>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</x:v>
      </x:c>
      <x:c r="H308" s="24" t="str">
        <x:v>Rectus abdominis; External oblique; Internal oblique; Transversus abdominis</x:v>
      </x:c>
      <x:c r="I308" s="24" t="str">
        <x:v>—</x:v>
      </x:c>
      <x:c r="J308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</x:v>
      </x:c>
      <x:c r="K308" s="24" t="str">
        <x:v>Atlas-listed tendon/aponeurosis examples: Central tendon; Central tendon; crural tendons; Segmental rib-to-rib muscle attachment; Minute rib insertion tendon; additional listed attachments</x:v>
      </x:c>
      <x:c r="L308" s="24" t="str">
        <x:v>Costovertebral/costotransverse ligaments guide rib motion; NOT actively stretched</x:v>
      </x:c>
      <x:c r="M308" s="24" t="str">
        <x:v>Muscles: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 | Tendons/fascia: Atlas-listed tendon/aponeurosis examples: Central tendon; Central tendon; crural tendons; Segmental rib-to-rib muscle attachment; Minute rib insertion tendon; additional listed attachments | Ligament context only: Costovertebral/costotransverse ligaments guide rib motion; NOT actively stretched</x:v>
      </x:c>
      <x:c r="N308" s="24" t="str">
        <x:v>Low-load activation, not ordinarily to fatigue: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O308" s="24" t="str">
        <x:v>Wrap hands around lower ribs; expand front/sides/back with relaxed inspiration.</x:v>
      </x:c>
      <x:c r="P308" s="24" t="str">
        <x:v>None</x:v>
      </x:c>
      <x:c r="Q308" s="24" t="str">
        <x:v>1–2 × 5–10 controlled reps</x:v>
      </x:c>
      <x:c r="R308" s="24" t="str">
        <x:v>Progress gradually; stop with sharp pain, dizziness, or numbness.</x:v>
      </x:c>
      <x:c r="S308" s="24" t="str">
        <x:v>https://www.acsm.org/education-resources/trending-topics-resources/physical-activity-guidelines</x:v>
      </x:c>
      <x:c r="T308" s="24" t="str">
        <x:v>Anatomy-based mapping</x:v>
      </x:c>
    </x:row>
    <x:row r="309" ht="54" customHeight="1">
      <x:c r="A309" s="24" t="str">
        <x:v>EX0306</x:v>
      </x:c>
      <x:c r="B309" s="24" t="str">
        <x:v>Seated pursed-lip exhale</x:v>
      </x:c>
      <x:c r="C309" s="24" t="str">
        <x:v>Thorax &amp; Breathing</x:v>
      </x:c>
      <x:c r="D309" s="24" t="str">
        <x:v>Home</x:v>
      </x:c>
      <x:c r="E309" s="24" t="str">
        <x:v>Breathing</x:v>
      </x:c>
      <x:c r="F309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External oblique; Internal oblique; Transversus abdominis</x:v>
      </x:c>
      <x:c r="G309" s="24" t="str">
        <x:v>Diaphragm costal part; Diaphragm lumbar part / crura; Diaphragm sternal part</x:v>
      </x:c>
      <x:c r="H309" s="24" t="str">
        <x:v>—</x:v>
      </x:c>
      <x:c r="I309" s="24" t="str">
        <x:v>—</x:v>
      </x:c>
      <x:c r="J309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External oblique; Internal oblique; Transversus abdominis; Diaphragm costal part; Diaphragm lumbar part / crura; Diaphragm sternal part</x:v>
      </x:c>
      <x:c r="K309" s="24" t="str">
        <x:v>Atlas-listed tendon/aponeurosis examples: Segmental rib-to-rib muscle attachment; Broad external oblique aponeurosis; Internal oblique aponeurosis; conjoint tendon; Transversus aponeurosis; conjoint tendon; additional listed attachments</x:v>
      </x:c>
      <x:c r="L309" s="24" t="str">
        <x:v>Costovertebral/costotransverse ligaments guide rib motion; NOT actively stretched</x:v>
      </x:c>
      <x:c r="M309" s="24" t="str">
        <x:v>Muscles: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External oblique; Internal oblique; Transversus abdominis; Diaphragm costal part; Diaphragm lumbar part / crura; Diaphragm sternal part | Tendons/fascia: Atlas-listed tendon/aponeurosis examples: Segmental rib-to-rib muscle attachment; Broad external oblique aponeurosis; Internal oblique aponeurosis; conjoint tendon; Transversus aponeurosis; conjoint tendon; additional listed attachments | Ligament context only: Costovertebral/costotransverse ligaments guide rib motion; NOT actively stretched</x:v>
      </x:c>
      <x:c r="N309" s="24" t="str">
        <x:v>Low-load activation, not ordinarily to fatigue: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External oblique; Internal oblique; Transversus abdominis</x:v>
      </x:c>
      <x:c r="O309" s="24" t="str">
        <x:v>Inhale calmly through nose, exhale slowly through pursed lips.</x:v>
      </x:c>
      <x:c r="P309" s="24" t="str">
        <x:v>Chair</x:v>
      </x:c>
      <x:c r="Q309" s="24" t="str">
        <x:v>1–2 × 5–10 controlled reps</x:v>
      </x:c>
      <x:c r="R309" s="24" t="str">
        <x:v>Progress gradually; stop with sharp pain, dizziness, or numbness.</x:v>
      </x:c>
      <x:c r="S309" s="24" t="str">
        <x:v>https://www.acsm.org/education-resources/trending-topics-resources/physical-activity-guidelines</x:v>
      </x:c>
      <x:c r="T309" s="24" t="str">
        <x:v>Anatomy-based mapping</x:v>
      </x:c>
    </x:row>
    <x:row r="310" ht="54" customHeight="1">
      <x:c r="A310" s="24" t="str">
        <x:v>EX0307</x:v>
      </x:c>
      <x:c r="B310" s="24" t="str">
        <x:v>Segmental lateral rib expansion breathing</x:v>
      </x:c>
      <x:c r="C310" s="24" t="str">
        <x:v>Thorax &amp; Breathing</x:v>
      </x:c>
      <x:c r="D310" s="24" t="str">
        <x:v>Home</x:v>
      </x:c>
      <x:c r="E310" s="24" t="str">
        <x:v>Breathing</x:v>
      </x:c>
      <x:c r="F310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</x:v>
      </x:c>
      <x:c r="G310" s="24" t="str">
        <x:v>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</x:v>
      </x:c>
      <x:c r="H310" s="24" t="str">
        <x:v>Rectus abdominis; External oblique; Internal oblique; Transversus abdominis</x:v>
      </x:c>
      <x:c r="I310" s="24" t="str">
        <x:v>—</x:v>
      </x:c>
      <x:c r="J310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</x:v>
      </x:c>
      <x:c r="K310" s="24" t="str">
        <x:v>Atlas-listed tendon/aponeurosis examples: Segmental rib-to-rib muscle attachment; Central tendon; Central tendon; crural tendons; Minute rib insertion tendon; additional listed attachments</x:v>
      </x:c>
      <x:c r="L310" s="24" t="str">
        <x:v>Costovertebral/costotransverse ligaments guide rib motion; NOT actively stretched</x:v>
      </x:c>
      <x:c r="M310" s="24" t="str">
        <x:v>Muscles: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 | Tendons/fascia: Atlas-listed tendon/aponeurosis examples: Segmental rib-to-rib muscle attachment; Central tendon; Central tendon; crural tendons; Minute rib insertion tendon; additional listed attachments | Ligament context only: Costovertebral/costotransverse ligaments guide rib motion; NOT actively stretched</x:v>
      </x:c>
      <x:c r="N310" s="24" t="str">
        <x:v>Low-load activation, not ordinarily to fatigue: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</x:v>
      </x:c>
      <x:c r="O310" s="24" t="str">
        <x:v>Hands around side ribs; inhale slowly toward hands without forcing.</x:v>
      </x:c>
      <x:c r="P310" s="24" t="str">
        <x:v>None</x:v>
      </x:c>
      <x:c r="Q310" s="24" t="str">
        <x:v>1–2 × 5–10 controlled reps</x:v>
      </x:c>
      <x:c r="R310" s="24" t="str">
        <x:v>Progress gradually; stop with sharp pain, dizziness, or numbness.</x:v>
      </x:c>
      <x:c r="S310" s="24" t="str">
        <x:v>https://www.acsm.org/education-resources/trending-topics-resources/physical-activity-guidelines</x:v>
      </x:c>
      <x:c r="T310" s="24" t="str">
        <x:v>Anatomy-based mapping</x:v>
      </x:c>
    </x:row>
    <x:row r="311" ht="54" customHeight="1">
      <x:c r="A311" s="24" t="str">
        <x:v>EX0308</x:v>
      </x:c>
      <x:c r="B311" s="24" t="str">
        <x:v>Inspiratory resistance device low-load (supervised)</x:v>
      </x:c>
      <x:c r="C311" s="24" t="str">
        <x:v>Thorax &amp; Breathing</x:v>
      </x:c>
      <x:c r="D311" s="24" t="str">
        <x:v>Gym</x:v>
      </x:c>
      <x:c r="E311" s="24" t="str">
        <x:v>Breathing</x:v>
      </x:c>
      <x:c r="F311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</x:v>
      </x:c>
      <x:c r="G311" s="24" t="str">
        <x:v>—</x:v>
      </x:c>
      <x:c r="H311" s="24" t="str">
        <x:v>Rectus abdominis; External oblique; Internal oblique; Transversus abdominis</x:v>
      </x:c>
      <x:c r="I311" s="24" t="str">
        <x:v>—</x:v>
      </x:c>
      <x:c r="J311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</x:v>
      </x:c>
      <x:c r="K311" s="24" t="str">
        <x:v>Atlas-listed tendon/aponeurosis examples: Central tendon; Central tendon; crural tendons; Segmental rib-to-rib muscle attachment; Minute rib insertion tendon; additional listed attachments</x:v>
      </x:c>
      <x:c r="L311" s="24" t="str">
        <x:v>Costovertebral/costotransverse ligaments guide rib motion; NOT actively stretched</x:v>
      </x:c>
      <x:c r="M311" s="24" t="str">
        <x:v>Muscles: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 | Tendons/fascia: Atlas-listed tendon/aponeurosis examples: Central tendon; Central tendon; crural tendons; Segmental rib-to-rib muscle attachment; Minute rib insertion tendon; additional listed attachments | Ligament context only: Costovertebral/costotransverse ligaments guide rib motion; NOT actively stretched</x:v>
      </x:c>
      <x:c r="N311" s="24" t="str">
        <x:v>Low-load activation, not ordinarily to fatigue: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</x:v>
      </x:c>
      <x:c r="O311" s="24" t="str">
        <x:v>Breathe against individually selected low resistance device with clinician instruction.</x:v>
      </x:c>
      <x:c r="P311" s="24" t="str">
        <x:v>Inspiratory trainer</x:v>
      </x:c>
      <x:c r="Q311" s="24" t="str">
        <x:v>1–2 × 5–10 controlled reps</x:v>
      </x:c>
      <x:c r="R311" s="24" t="str">
        <x:v>Avoid without evaluation with heart/lung disease or unexplained breathlessness.</x:v>
      </x:c>
      <x:c r="S311" s="24" t="str">
        <x:v>https://www.acsm.org/education-resources/trending-topics-resources/physical-activity-guidelines</x:v>
      </x:c>
      <x:c r="T311" s="24" t="str">
        <x:v>Anatomy-based mapping</x:v>
      </x:c>
    </x:row>
    <x:row r="312" ht="54" customHeight="1">
      <x:c r="A312" s="24" t="str">
        <x:v>EX0309</x:v>
      </x:c>
      <x:c r="B312" s="24" t="str">
        <x:v>Physiologic costal expansion in standing reach</x:v>
      </x:c>
      <x:c r="C312" s="24" t="str">
        <x:v>Thorax &amp; Breathing</x:v>
      </x:c>
      <x:c r="D312" s="24" t="str">
        <x:v>Home</x:v>
      </x:c>
      <x:c r="E312" s="24" t="str">
        <x:v>Mobility</x:v>
      </x:c>
      <x:c r="F312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</x:v>
      </x:c>
      <x:c r="G312" s="24" t="str">
        <x:v>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Trapezius; Serratus anterior</x:v>
      </x:c>
      <x:c r="H312" s="24" t="str">
        <x:v>Rectus abdominis; External oblique; Internal oblique; Transversus abdominis</x:v>
      </x:c>
      <x:c r="I312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J312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Trapezius; Serratus anterior; Rectus abdominis; External oblique; Internal oblique; Transversus abdominis</x:v>
      </x:c>
      <x:c r="K312" s="24" t="str">
        <x:v>Atlas-listed tendon/aponeurosis examples: Segmental rib-to-rib muscle attachment; Central tendon; Central tendon; crural tendons; Minute rib insertion tendon; additional listed attachments</x:v>
      </x:c>
      <x:c r="L312" s="24" t="str">
        <x:v>Costovertebral/costotransverse ligaments guide rib motion; NOT actively stretched</x:v>
      </x:c>
      <x:c r="M312" s="24" t="str">
        <x:v>Muscles: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Trapezius; Serratus anterior; Rectus abdominis; External oblique; Internal oblique; Transversus abdominis | Tendons/fascia: Atlas-listed tendon/aponeurosis examples: Segmental rib-to-rib muscle attachment; Central tendon; Central tendon; crural tendons; Minute rib insertion tendon; additional listed attachments | Ligament context only: Costovertebral/costotransverse ligaments guide rib motion; NOT actively stretched</x:v>
      </x:c>
      <x:c r="N312" s="24" t="str">
        <x:v>Usually none expected (stretch, mobility or relaxation; any active movers are low-load)</x:v>
      </x:c>
      <x:c r="O312" s="24" t="str">
        <x:v>Inhale with arms lifting to comfortable height, exhale on lowering.</x:v>
      </x:c>
      <x:c r="P312" s="24" t="str">
        <x:v>None</x:v>
      </x:c>
      <x:c r="Q312" s="24" t="str">
        <x:v>1–2 × 5–10 controlled reps</x:v>
      </x:c>
      <x:c r="R312" s="24" t="str">
        <x:v>Progress gradually; stop with sharp pain, dizziness, or numbness.</x:v>
      </x:c>
      <x:c r="S312" s="24" t="str">
        <x:v>https://www.acsm.org/education-resources/trending-topics-resources/physical-activity-guidelines</x:v>
      </x:c>
      <x:c r="T312" s="24" t="str">
        <x:v>Anatomy-based mapping</x:v>
      </x:c>
    </x:row>
    <x:row r="313" ht="54" customHeight="1">
      <x:c r="A313" s="24" t="str">
        <x:v>EX0310</x:v>
      </x:c>
      <x:c r="B313" s="24" t="str">
        <x:v>Gentle lateral rib stretch with overhead reach</x:v>
      </x:c>
      <x:c r="C313" s="24" t="str">
        <x:v>Thorax &amp; Breathing</x:v>
      </x:c>
      <x:c r="D313" s="24" t="str">
        <x:v>Home</x:v>
      </x:c>
      <x:c r="E313" s="24" t="str">
        <x:v>Active stretch</x:v>
      </x:c>
      <x:c r="F313" s="24" t="str">
        <x:v>External oblique; Internal oblique; Transversus abdominis; Trapezius; Serratus anterior</x:v>
      </x:c>
      <x:c r="G313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H313" s="24" t="str">
        <x:v>—</x:v>
      </x:c>
      <x:c r="I313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Quadratus lumborum</x:v>
      </x:c>
      <x:c r="J313" s="24" t="str">
        <x:v>External oblique; Internal oblique; Transversus abdominis; Trapezius; Serratus anterior;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Quadratus lumborum</x:v>
      </x:c>
      <x:c r="K313" s="24" t="str">
        <x:v>Atlas-listed tendon/aponeurosis examples: Broad external oblique aponeurosis; Internal oblique aponeurosis; conjoint tendon; Transversus aponeurosis; conjoint tendon; Broad aponeuroses and scapular/clavicular tendinous insertions; additional listed attachments</x:v>
      </x:c>
      <x:c r="L313" s="24" t="str">
        <x:v>Costovertebral/costotransverse ligaments guide rib motion; NOT actively stretched</x:v>
      </x:c>
      <x:c r="M313" s="24" t="str">
        <x:v>Muscles: External oblique; Internal oblique; Transversus abdominis; Trapezius; Serratus anterior;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Quadratus lumborum | Tendons/fascia: Atlas-listed tendon/aponeurosis examples: Broad external oblique aponeurosis; Internal oblique aponeurosis; conjoint tendon; Transversus aponeurosis; conjoint tendon; Broad aponeuroses and scapular/clavicular tendinous insertions; additional listed attachments | Ligament context only: Costovertebral/costotransverse ligaments guide rib motion; NOT actively stretched</x:v>
      </x:c>
      <x:c r="N313" s="24" t="str">
        <x:v>Usually none expected (stretch, mobility or relaxation; any active movers are low-load)</x:v>
      </x:c>
      <x:c r="O313" s="24" t="str">
        <x:v>Raise arm and side bend away while breathing into side ribs.</x:v>
      </x:c>
      <x:c r="P313" s="24" t="str">
        <x:v>None</x:v>
      </x:c>
      <x:c r="Q313" s="24" t="str">
        <x:v>2–3 × 8–12 controlled reps</x:v>
      </x:c>
      <x:c r="R313" s="24" t="str">
        <x:v>Progress gradually; stop with sharp pain, dizziness, or numbness.</x:v>
      </x:c>
      <x:c r="S313" s="24" t="str">
        <x:v>https://www.acsm.org/education-resources/trending-topics-resources/physical-activity-guidelines</x:v>
      </x:c>
      <x:c r="T313" s="24" t="str">
        <x:v>Anatomy-based mapping</x:v>
      </x:c>
    </x:row>
    <x:row r="314" ht="54" customHeight="1">
      <x:c r="A314" s="24" t="str">
        <x:v>EX0311</x:v>
      </x:c>
      <x:c r="B314" s="24" t="str">
        <x:v>Resisted exhalation (blow through straw)</x:v>
      </x:c>
      <x:c r="C314" s="24" t="str">
        <x:v>Thorax &amp; Breathing</x:v>
      </x:c>
      <x:c r="D314" s="24" t="str">
        <x:v>Home</x:v>
      </x:c>
      <x:c r="E314" s="24" t="str">
        <x:v>Breathing</x:v>
      </x:c>
      <x:c r="F314" s="24" t="str">
        <x:v>External oblique; Internal oblique; Transversus abdominis;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G314" s="24" t="str">
        <x:v>Diaphragm costal part; Diaphragm lumbar part / crura; Diaphragm sternal part</x:v>
      </x:c>
      <x:c r="H314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I314" s="24" t="str">
        <x:v>—</x:v>
      </x:c>
      <x:c r="J314" s="24" t="str">
        <x:v>External oblique; Internal oblique; Transversus abdominis;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K314" s="24" t="str">
        <x:v>Atlas-listed tendon/aponeurosis examples: Broad external oblique aponeurosis; Internal oblique aponeurosis; conjoint tendon; Transversus aponeurosis; conjoint tendon; Segmental rib-to-rib muscle attachment; additional listed attachments</x:v>
      </x:c>
      <x:c r="L314" s="24" t="str">
        <x:v>Costovertebral/costotransverse ligaments guide rib motion; NOT actively stretched</x:v>
      </x:c>
      <x:c r="M314" s="24" t="str">
        <x:v>Muscles: External oblique; Internal oblique; Transversus abdominis;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 | Tendons/fascia: Atlas-listed tendon/aponeurosis examples: Broad external oblique aponeurosis; Internal oblique aponeurosis; conjoint tendon; Transversus aponeurosis; conjoint tendon; Segmental rib-to-rib muscle attachment; additional listed attachments | Ligament context only: Costovertebral/costotransverse ligaments guide rib motion; NOT actively stretched</x:v>
      </x:c>
      <x:c r="N314" s="24" t="str">
        <x:v>Low-load activation, not ordinarily to fatigue: External oblique; Internal oblique; Transversus abdominis;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O314" s="24" t="str">
        <x:v>Exhale smoothly through wide straw without straining.</x:v>
      </x:c>
      <x:c r="P314" s="24" t="str">
        <x:v>Wide straw</x:v>
      </x:c>
      <x:c r="Q314" s="24" t="str">
        <x:v>1–2 × 5–10 controlled reps</x:v>
      </x:c>
      <x:c r="R314" s="24" t="str">
        <x:v>Stop if lightheaded; do not use prolonged breath holds.</x:v>
      </x:c>
      <x:c r="S314" s="24" t="str">
        <x:v>https://www.acsm.org/education-resources/trending-topics-resources/physical-activity-guidelines</x:v>
      </x:c>
      <x:c r="T314" s="24" t="str">
        <x:v>Anatomy-based mapping</x:v>
      </x:c>
    </x:row>
    <x:row r="315" ht="54" customHeight="1">
      <x:c r="A315" s="24" t="str">
        <x:v>EX0312</x:v>
      </x:c>
      <x:c r="B315" s="24" t="str">
        <x:v>Seated thoracic expansion with band around lower ribs</x:v>
      </x:c>
      <x:c r="C315" s="24" t="str">
        <x:v>Thorax &amp; Breathing</x:v>
      </x:c>
      <x:c r="D315" s="24" t="str">
        <x:v>Home</x:v>
      </x:c>
      <x:c r="E315" s="24" t="str">
        <x:v>Breathing</x:v>
      </x:c>
      <x:c r="F315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G315" s="24" t="str">
        <x:v>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</x:v>
      </x:c>
      <x:c r="H315" s="24" t="str">
        <x:v>Rectus abdominis; External oblique; Internal oblique; Transversus abdominis</x:v>
      </x:c>
      <x:c r="I315" s="24" t="str">
        <x:v>—</x:v>
      </x:c>
      <x:c r="J315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</x:v>
      </x:c>
      <x:c r="K315" s="24" t="str">
        <x:v>Atlas-listed tendon/aponeurosis examples: Central tendon; Central tendon; crural tendons; Segmental rib-to-rib muscle attachment; Minute rib insertion tendon; additional listed attachments</x:v>
      </x:c>
      <x:c r="L315" s="24" t="str">
        <x:v>Costovertebral/costotransverse ligaments guide rib motion; NOT actively stretched</x:v>
      </x:c>
      <x:c r="M315" s="24" t="str">
        <x:v>Muscles: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 | Tendons/fascia: Atlas-listed tendon/aponeurosis examples: Central tendon; Central tendon; crural tendons; Segmental rib-to-rib muscle attachment; Minute rib insertion tendon; additional listed attachments | Ligament context only: Costovertebral/costotransverse ligaments guide rib motion; NOT actively stretched</x:v>
      </x:c>
      <x:c r="N315" s="24" t="str">
        <x:v>Low-load activation, not ordinarily to fatigue: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O315" s="24" t="str">
        <x:v>Place loose elastic around ribs for tactile cue, not restrictive resistance.</x:v>
      </x:c>
      <x:c r="P315" s="24" t="str">
        <x:v>Loose loop band</x:v>
      </x:c>
      <x:c r="Q315" s="24" t="str">
        <x:v>1–2 × 5–10 controlled reps</x:v>
      </x:c>
      <x:c r="R315" s="24" t="str">
        <x:v>Progress gradually; stop with sharp pain, dizziness, or numbness.</x:v>
      </x:c>
      <x:c r="S315" s="24" t="str">
        <x:v>https://www.acsm.org/education-resources/trending-topics-resources/physical-activity-guidelines</x:v>
      </x:c>
      <x:c r="T315" s="24" t="str">
        <x:v>Anatomy-based mapping</x:v>
      </x:c>
    </x:row>
    <x:row r="316" ht="54" customHeight="1">
      <x:c r="A316" s="24" t="str">
        <x:v>EX0313</x:v>
      </x:c>
      <x:c r="B316" s="24" t="str">
        <x:v>Gentle cough coordination drill (not maximal)</x:v>
      </x:c>
      <x:c r="C316" s="24" t="str">
        <x:v>Thorax &amp; Breathing</x:v>
      </x:c>
      <x:c r="D316" s="24" t="str">
        <x:v>Home</x:v>
      </x:c>
      <x:c r="E316" s="24" t="str">
        <x:v>Functional activation</x:v>
      </x:c>
      <x:c r="F316" s="24" t="str">
        <x:v>External oblique; Internal oblique; Transversus abdominis;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</x:v>
      </x:c>
      <x:c r="G316" s="24" t="str">
        <x:v>—</x:v>
      </x:c>
      <x:c r="H316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I316" s="24" t="str">
        <x:v>—</x:v>
      </x:c>
      <x:c r="J316" s="24" t="str">
        <x:v>External oblique; Internal oblique; Transversus abdominis;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K316" s="24" t="str">
        <x:v>Atlas-listed tendon/aponeurosis examples: Broad external oblique aponeurosis; Internal oblique aponeurosis; conjoint tendon; Transversus aponeurosis; conjoint tendon; Segmental rib-to-rib muscle attachment; additional listed attachments</x:v>
      </x:c>
      <x:c r="L316" s="24" t="str">
        <x:v>Costovertebral/costotransverse ligaments guide rib motion; NOT actively stretched</x:v>
      </x:c>
      <x:c r="M316" s="24" t="str">
        <x:v>Muscles: External oblique; Internal oblique; Transversus abdominis;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 | Tendons/fascia: Atlas-listed tendon/aponeurosis examples: Broad external oblique aponeurosis; Internal oblique aponeurosis; conjoint tendon; Transversus aponeurosis; conjoint tendon; Segmental rib-to-rib muscle attachment; additional listed attachments | Ligament context only: Costovertebral/costotransverse ligaments guide rib motion; NOT actively stretched</x:v>
      </x:c>
      <x:c r="N316" s="24" t="str">
        <x:v>Low-load activation, not ordinarily to fatigue: External oblique; Internal oblique; Transversus abdominis;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</x:v>
      </x:c>
      <x:c r="O316" s="24" t="str">
        <x:v>Practice one comfortable throat clear or light cough only if needed.</x:v>
      </x:c>
      <x:c r="P316" s="24" t="str">
        <x:v>None</x:v>
      </x:c>
      <x:c r="Q316" s="24" t="str">
        <x:v>1–2 × 5–10 controlled reps</x:v>
      </x:c>
      <x:c r="R316" s="24" t="str">
        <x:v>Avoid repetitive hard coughing as training.</x:v>
      </x:c>
      <x:c r="S316" s="24" t="str">
        <x:v>https://www.acsm.org/education-resources/trending-topics-resources/physical-activity-guidelines</x:v>
      </x:c>
      <x:c r="T316" s="24" t="str">
        <x:v>Anatomy-based mapping</x:v>
      </x:c>
    </x:row>
    <x:row r="317" ht="54" customHeight="1">
      <x:c r="A317" s="24" t="str">
        <x:v>EX0314</x:v>
      </x:c>
      <x:c r="B317" s="24" t="str">
        <x:v>Scapular posterior rib activation with breathing</x:v>
      </x:c>
      <x:c r="C317" s="24" t="str">
        <x:v>Thorax &amp; Breathing</x:v>
      </x:c>
      <x:c r="D317" s="24" t="str">
        <x:v>Home</x:v>
      </x:c>
      <x:c r="E317" s="24" t="str">
        <x:v>Breathing</x:v>
      </x:c>
      <x:c r="F317" s="24" t="str">
        <x:v>Serratus posterior superior; Serratus posterior inferior;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</x:v>
      </x:c>
      <x:c r="G317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</x:v>
      </x:c>
      <x:c r="H317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317" s="24" t="str">
        <x:v>—</x:v>
      </x:c>
      <x:c r="J317" s="24" t="str">
        <x:v>Serratus posterior superior; Serratus posterior inferior;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317" s="24" t="str">
        <x:v>Atlas-listed tendon/aponeurosis examples: Thin aponeurosis; Broad aponeurotic origins/insertions; Minute rib insertion tendon; Short costal tendon slips; additional listed attachments</x:v>
      </x:c>
      <x:c r="L317" s="24" t="str">
        <x:v>Costovertebral/costotransverse ligaments guide rib motion; NOT actively stretched</x:v>
      </x:c>
      <x:c r="M317" s="24" t="str">
        <x:v>Muscles: Serratus posterior superior; Serratus posterior inferior;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Thin aponeurosis; Broad aponeurotic origins/insertions; Minute rib insertion tendon; Short costal tendon slips; additional listed attachments | Ligament context only: Costovertebral/costotransverse ligaments guide rib motion; NOT actively stretched</x:v>
      </x:c>
      <x:c r="N317" s="24" t="str">
        <x:v>Low-load activation, not ordinarily to fatigue: Serratus posterior superior; Serratus posterior inferior;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</x:v>
      </x:c>
      <x:c r="O317" s="24" t="str">
        <x:v>Inhale expanding posterior ribs while arms rest supported in front.</x:v>
      </x:c>
      <x:c r="P317" s="24" t="str">
        <x:v>Chair</x:v>
      </x:c>
      <x:c r="Q317" s="24" t="str">
        <x:v>1–2 × 5–10 controlled reps</x:v>
      </x:c>
      <x:c r="R317" s="24" t="str">
        <x:v>Progress gradually; stop with sharp pain, dizziness, or numbness.</x:v>
      </x:c>
      <x:c r="S317" s="24" t="str">
        <x:v>https://www.acsm.org/education-resources/trending-topics-resources/physical-activity-guidelines</x:v>
      </x:c>
      <x:c r="T317" s="24" t="str">
        <x:v>Anatomy-based mapping</x:v>
      </x:c>
    </x:row>
    <x:row r="318" ht="54" customHeight="1">
      <x:c r="A318" s="24" t="str">
        <x:v>EX0315</x:v>
      </x:c>
      <x:c r="B318" s="24" t="str">
        <x:v>Gentle controlled nasal inspiration</x:v>
      </x:c>
      <x:c r="C318" s="24" t="str">
        <x:v>Thorax &amp; Breathing</x:v>
      </x:c>
      <x:c r="D318" s="24" t="str">
        <x:v>Home</x:v>
      </x:c>
      <x:c r="E318" s="24" t="str">
        <x:v>Breathing</x:v>
      </x:c>
      <x:c r="F318" s="24" t="str">
        <x:v>Diaphragm costal part; Diaphragm lumbar part / crura; Diaphragm sternal part;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G318" s="24" t="str">
        <x:v>—</x:v>
      </x:c>
      <x:c r="H318" s="24" t="str">
        <x:v>Rectus abdominis; External oblique; Internal oblique; Transversus abdominis</x:v>
      </x:c>
      <x:c r="I318" s="24" t="str">
        <x:v>—</x:v>
      </x:c>
      <x:c r="J318" s="24" t="str">
        <x:v>Diaphragm costal part; Diaphragm lumbar part / crura; Diaphragm sternal part;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Rectus abdominis; External oblique; Internal oblique; Transversus abdominis</x:v>
      </x:c>
      <x:c r="K318" s="24" t="str">
        <x:v>Atlas-listed tendon/aponeurosis examples: Central tendon; Central tendon; crural tendons; Minute rib insertion tendon; Short costal tendon slips; additional listed attachments</x:v>
      </x:c>
      <x:c r="L318" s="24" t="str">
        <x:v>Costovertebral/costotransverse ligaments guide rib motion; NOT actively stretched</x:v>
      </x:c>
      <x:c r="M318" s="24" t="str">
        <x:v>Muscles: Diaphragm costal part; Diaphragm lumbar part / crura; Diaphragm sternal part;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Rectus abdominis; External oblique; Internal oblique; Transversus abdominis | Tendons/fascia: Atlas-listed tendon/aponeurosis examples: Central tendon; Central tendon; crural tendons; Minute rib insertion tendon; Short costal tendon slips; additional listed attachments | Ligament context only: Costovertebral/costotransverse ligaments guide rib motion; NOT actively stretched</x:v>
      </x:c>
      <x:c r="N318" s="24" t="str">
        <x:v>Low-load activation, not ordinarily to fatigue: Diaphragm costal part; Diaphragm lumbar part / crura; Diaphragm sternal part;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O318" s="24" t="str">
        <x:v>Slow inhale through nose, pause only naturally, exhale relaxed.</x:v>
      </x:c>
      <x:c r="P318" s="24" t="str">
        <x:v>None</x:v>
      </x:c>
      <x:c r="Q318" s="24" t="str">
        <x:v>1–2 × 5–10 controlled reps</x:v>
      </x:c>
      <x:c r="R318" s="24" t="str">
        <x:v>Progress gradually; stop with sharp pain, dizziness, or numbness.</x:v>
      </x:c>
      <x:c r="S318" s="24" t="str">
        <x:v>https://www.acsm.org/education-resources/trending-topics-resources/physical-activity-guidelines</x:v>
      </x:c>
      <x:c r="T318" s="24" t="str">
        <x:v>Anatomy-based mapping</x:v>
      </x:c>
    </x:row>
    <x:row r="319" ht="54" customHeight="1">
      <x:c r="A319" s="24" t="str">
        <x:v>EX0316</x:v>
      </x:c>
      <x:c r="B319" s="24" t="str">
        <x:v>Gentle smile then relax</x:v>
      </x:c>
      <x:c r="C319" s="24" t="str">
        <x:v>Head &amp; Face</x:v>
      </x:c>
      <x:c r="D319" s="24" t="str">
        <x:v>Home</x:v>
      </x:c>
      <x:c r="E319" s="24" t="str">
        <x:v>Functional activation</x:v>
      </x:c>
      <x:c r="F319" s="24" t="str">
        <x:v>Zygomaticus major; Zygomaticus minor; Levator anguli oris; Risorius; Levator labii superioris</x:v>
      </x:c>
      <x:c r="G319" s="24" t="str">
        <x:v>Orbicularis oris marginal part</x:v>
      </x:c>
      <x:c r="H319" s="24" t="str">
        <x:v>—</x:v>
      </x:c>
      <x:c r="I319" s="24" t="str">
        <x:v>—</x:v>
      </x:c>
      <x:c r="J319" s="24" t="str">
        <x:v>Zygomaticus major; Zygomaticus minor; Levator anguli oris; Risorius; Levator labii superioris; Orbicularis oris marginal part</x:v>
      </x:c>
      <x:c r="K319" s="24" t="str">
        <x:v>Atlas-listed tendon/aponeurosis examples: Modiolus fibromuscular junction; Dermal musculofascial insertion; Modiolus junction; Thin fascial fibers; additional listed attachments</x:v>
      </x:c>
      <x:c r="L319" s="24" t="str">
        <x:v>TMJ ligament/capsule where relevant; no deliberate ligament stretching</x:v>
      </x:c>
      <x:c r="M319" s="24" t="str">
        <x:v>Muscles: Zygomaticus major; Zygomaticus minor; Levator anguli oris; Risorius; Levator labii superioris; Orbicularis oris marginal part | Tendons/fascia: Atlas-listed tendon/aponeurosis examples: Modiolus fibromuscular junction; Dermal musculofascial insertion; Modiolus junction; Thin fascial fibers; additional listed attachments | Ligament context only: TMJ ligament/capsule where relevant; no deliberate ligament stretching</x:v>
      </x:c>
      <x:c r="N319" s="24" t="str">
        <x:v>Low-load activation, not ordinarily to fatigue: Zygomaticus major; Zygomaticus minor; Levator anguli oris; Risorius; Levator labii superioris</x:v>
      </x:c>
      <x:c r="O319" s="24" t="str">
        <x:v>Smile gently and relax facial muscles; avoid clenching jaw.</x:v>
      </x:c>
      <x:c r="P319" s="24" t="str">
        <x:v>Mirror</x:v>
      </x:c>
      <x:c r="Q319" s="24" t="str">
        <x:v>1–2 × 5–10 controlled reps</x:v>
      </x:c>
      <x:c r="R319" s="24" t="str">
        <x:v>Progress gradually; stop with sharp pain, dizziness, or numbness.</x:v>
      </x:c>
      <x:c r="S319" s="24" t="str">
        <x:v>https://www.acsm.org/education-resources/trending-topics-resources/physical-activity-guidelines</x:v>
      </x:c>
      <x:c r="T319" s="24" t="str">
        <x:v>Anatomy-based mapping</x:v>
      </x:c>
    </x:row>
    <x:row r="320" ht="54" customHeight="1">
      <x:c r="A320" s="24" t="str">
        <x:v>EX0317</x:v>
      </x:c>
      <x:c r="B320" s="24" t="str">
        <x:v>Closed-lip smile without teeth</x:v>
      </x:c>
      <x:c r="C320" s="24" t="str">
        <x:v>Head &amp; Face</x:v>
      </x:c>
      <x:c r="D320" s="24" t="str">
        <x:v>Home</x:v>
      </x:c>
      <x:c r="E320" s="24" t="str">
        <x:v>Functional activation</x:v>
      </x:c>
      <x:c r="F320" s="24" t="str">
        <x:v>Risorius; Zygomaticus major; Levator anguli oris</x:v>
      </x:c>
      <x:c r="G320" s="24" t="str">
        <x:v>—</x:v>
      </x:c>
      <x:c r="H320" s="24" t="str">
        <x:v>—</x:v>
      </x:c>
      <x:c r="I320" s="24" t="str">
        <x:v>—</x:v>
      </x:c>
      <x:c r="J320" s="24" t="str">
        <x:v>Risorius; Zygomaticus major; Levator anguli oris</x:v>
      </x:c>
      <x:c r="K320" s="24" t="str">
        <x:v>Atlas-listed tendon/aponeurosis examples: Thin fascial fibers; Modiolus fibromuscular junction; Modiolus junction</x:v>
      </x:c>
      <x:c r="L320" s="24" t="str">
        <x:v>TMJ ligament/capsule where relevant; no deliberate ligament stretching</x:v>
      </x:c>
      <x:c r="M320" s="24" t="str">
        <x:v>Muscles: Risorius; Zygomaticus major; Levator anguli oris | Tendons/fascia: Atlas-listed tendon/aponeurosis examples: Thin fascial fibers; Modiolus fibromuscular junction; Modiolus junction | Ligament context only: TMJ ligament/capsule where relevant; no deliberate ligament stretching</x:v>
      </x:c>
      <x:c r="N320" s="24" t="str">
        <x:v>Low-load activation, not ordinarily to fatigue: Risorius; Zygomaticus major; Levator anguli oris</x:v>
      </x:c>
      <x:c r="O320" s="24" t="str">
        <x:v>Draw mouth corners sideways gently; release.</x:v>
      </x:c>
      <x:c r="P320" s="24" t="str">
        <x:v>Mirror</x:v>
      </x:c>
      <x:c r="Q320" s="24" t="str">
        <x:v>1–2 × 5–10 controlled reps</x:v>
      </x:c>
      <x:c r="R320" s="24" t="str">
        <x:v>Progress gradually; stop with sharp pain, dizziness, or numbness.</x:v>
      </x:c>
      <x:c r="S320" s="24" t="str">
        <x:v>https://www.acsm.org/education-resources/trending-topics-resources/physical-activity-guidelines</x:v>
      </x:c>
      <x:c r="T320" s="24" t="str">
        <x:v>Anatomy-based mapping</x:v>
      </x:c>
    </x:row>
    <x:row r="321" ht="54" customHeight="1">
      <x:c r="A321" s="24" t="str">
        <x:v>EX0318</x:v>
      </x:c>
      <x:c r="B321" s="24" t="str">
        <x:v>Upper lip lift</x:v>
      </x:c>
      <x:c r="C321" s="24" t="str">
        <x:v>Head &amp; Face</x:v>
      </x:c>
      <x:c r="D321" s="24" t="str">
        <x:v>Home</x:v>
      </x:c>
      <x:c r="E321" s="24" t="str">
        <x:v>Functional activation</x:v>
      </x:c>
      <x:c r="F321" s="24" t="str">
        <x:v>Levator labii superioris; Levator labii superioris alaeque nasi; Zygomaticus minor</x:v>
      </x:c>
      <x:c r="G321" s="24" t="str">
        <x:v>—</x:v>
      </x:c>
      <x:c r="H321" s="24" t="str">
        <x:v>—</x:v>
      </x:c>
      <x:c r="I321" s="24" t="str">
        <x:v>—</x:v>
      </x:c>
      <x:c r="J321" s="24" t="str">
        <x:v>Levator labii superioris; Levator labii superioris alaeque nasi; Zygomaticus minor</x:v>
      </x:c>
      <x:c r="K321" s="24" t="str">
        <x:v>Atlas-listed tendon/aponeurosis examples: Dermal fibers; Dermal insertions; Dermal musculofascial insertion</x:v>
      </x:c>
      <x:c r="L321" s="24" t="str">
        <x:v>TMJ ligament/capsule where relevant; no deliberate ligament stretching</x:v>
      </x:c>
      <x:c r="M321" s="24" t="str">
        <x:v>Muscles: Levator labii superioris; Levator labii superioris alaeque nasi; Zygomaticus minor | Tendons/fascia: Atlas-listed tendon/aponeurosis examples: Dermal fibers; Dermal insertions; Dermal musculofascial insertion | Ligament context only: TMJ ligament/capsule where relevant; no deliberate ligament stretching</x:v>
      </x:c>
      <x:c r="N321" s="24" t="str">
        <x:v>Low-load activation, not ordinarily to fatigue: Levator labii superioris; Levator labii superioris alaeque nasi; Zygomaticus minor</x:v>
      </x:c>
      <x:c r="O321" s="24" t="str">
        <x:v>Raise upper lip slightly while keeping jaw relaxed.</x:v>
      </x:c>
      <x:c r="P321" s="24" t="str">
        <x:v>Mirror</x:v>
      </x:c>
      <x:c r="Q321" s="24" t="str">
        <x:v>1–2 × 5–10 controlled reps</x:v>
      </x:c>
      <x:c r="R321" s="24" t="str">
        <x:v>Progress gradually; stop with sharp pain, dizziness, or numbness.</x:v>
      </x:c>
      <x:c r="S321" s="24" t="str">
        <x:v>https://www.acsm.org/education-resources/trending-topics-resources/physical-activity-guidelines</x:v>
      </x:c>
      <x:c r="T321" s="24" t="str">
        <x:v>Anatomy-based mapping</x:v>
      </x:c>
    </x:row>
    <x:row r="322" ht="54" customHeight="1">
      <x:c r="A322" s="24" t="str">
        <x:v>EX0319</x:v>
      </x:c>
      <x:c r="B322" s="24" t="str">
        <x:v>Lower lip depression / mild pout</x:v>
      </x:c>
      <x:c r="C322" s="24" t="str">
        <x:v>Head &amp; Face</x:v>
      </x:c>
      <x:c r="D322" s="24" t="str">
        <x:v>Home</x:v>
      </x:c>
      <x:c r="E322" s="24" t="str">
        <x:v>Functional activation</x:v>
      </x:c>
      <x:c r="F322" s="24" t="str">
        <x:v>Depressor labii inferioris; Depressor anguli oris; Mentalis</x:v>
      </x:c>
      <x:c r="G322" s="24" t="str">
        <x:v>—</x:v>
      </x:c>
      <x:c r="H322" s="24" t="str">
        <x:v>—</x:v>
      </x:c>
      <x:c r="I322" s="24" t="str">
        <x:v>—</x:v>
      </x:c>
      <x:c r="J322" s="24" t="str">
        <x:v>Depressor labii inferioris; Depressor anguli oris; Mentalis</x:v>
      </x:c>
      <x:c r="K322" s="24" t="str">
        <x:v>Atlas-listed tendon/aponeurosis examples: Dermal fascicles; Modiolus insertion; Dermal insertion</x:v>
      </x:c>
      <x:c r="L322" s="24" t="str">
        <x:v>TMJ ligament/capsule where relevant; no deliberate ligament stretching</x:v>
      </x:c>
      <x:c r="M322" s="24" t="str">
        <x:v>Muscles: Depressor labii inferioris; Depressor anguli oris; Mentalis | Tendons/fascia: Atlas-listed tendon/aponeurosis examples: Dermal fascicles; Modiolus insertion; Dermal insertion | Ligament context only: TMJ ligament/capsule where relevant; no deliberate ligament stretching</x:v>
      </x:c>
      <x:c r="N322" s="24" t="str">
        <x:v>Low-load activation, not ordinarily to fatigue: Depressor labii inferioris; Depressor anguli oris; Mentalis</x:v>
      </x:c>
      <x:c r="O322" s="24" t="str">
        <x:v>Draw lower lip downward then gently purse without jaw clench.</x:v>
      </x:c>
      <x:c r="P322" s="24" t="str">
        <x:v>Mirror</x:v>
      </x:c>
      <x:c r="Q322" s="24" t="str">
        <x:v>1–2 × 5–10 controlled reps</x:v>
      </x:c>
      <x:c r="R322" s="24" t="str">
        <x:v>Progress gradually; stop with sharp pain, dizziness, or numbness.</x:v>
      </x:c>
      <x:c r="S322" s="24" t="str">
        <x:v>https://www.acsm.org/education-resources/trending-topics-resources/physical-activity-guidelines</x:v>
      </x:c>
      <x:c r="T322" s="24" t="str">
        <x:v>Anatomy-based mapping</x:v>
      </x:c>
    </x:row>
    <x:row r="323" ht="54" customHeight="1">
      <x:c r="A323" s="24" t="str">
        <x:v>EX0320</x:v>
      </x:c>
      <x:c r="B323" s="24" t="str">
        <x:v>Eyebrow frown and release</x:v>
      </x:c>
      <x:c r="C323" s="24" t="str">
        <x:v>Head &amp; Face</x:v>
      </x:c>
      <x:c r="D323" s="24" t="str">
        <x:v>Home</x:v>
      </x:c>
      <x:c r="E323" s="24" t="str">
        <x:v>Functional activation</x:v>
      </x:c>
      <x:c r="F323" s="24" t="str">
        <x:v>Corrugator supercilii; Procerus</x:v>
      </x:c>
      <x:c r="G323" s="24" t="str">
        <x:v>—</x:v>
      </x:c>
      <x:c r="H323" s="24" t="str">
        <x:v>—</x:v>
      </x:c>
      <x:c r="I323" s="24" t="str">
        <x:v>—</x:v>
      </x:c>
      <x:c r="J323" s="24" t="str">
        <x:v>Corrugator supercilii; Procerus</x:v>
      </x:c>
      <x:c r="K323" s="24" t="str">
        <x:v>Atlas-listed tendon/aponeurosis examples: Dermal fibrous insertion; Fibrous dermal insertion</x:v>
      </x:c>
      <x:c r="L323" s="24" t="str">
        <x:v>TMJ ligament/capsule where relevant; no deliberate ligament stretching</x:v>
      </x:c>
      <x:c r="M323" s="24" t="str">
        <x:v>Muscles: Corrugator supercilii; Procerus | Tendons/fascia: Atlas-listed tendon/aponeurosis examples: Dermal fibrous insertion; Fibrous dermal insertion | Ligament context only: TMJ ligament/capsule where relevant; no deliberate ligament stretching</x:v>
      </x:c>
      <x:c r="N323" s="24" t="str">
        <x:v>Low-load activation, not ordinarily to fatigue: Corrugator supercilii; Procerus</x:v>
      </x:c>
      <x:c r="O323" s="24" t="str">
        <x:v>Draw brows together briefly and release tension.</x:v>
      </x:c>
      <x:c r="P323" s="24" t="str">
        <x:v>Mirror</x:v>
      </x:c>
      <x:c r="Q323" s="24" t="str">
        <x:v>1–2 × 5–10 controlled reps</x:v>
      </x:c>
      <x:c r="R323" s="24" t="str">
        <x:v>Progress gradually; stop with sharp pain, dizziness, or numbness.</x:v>
      </x:c>
      <x:c r="S323" s="24" t="str">
        <x:v>https://www.acsm.org/education-resources/trending-topics-resources/physical-activity-guidelines</x:v>
      </x:c>
      <x:c r="T323" s="24" t="str">
        <x:v>Anatomy-based mapping</x:v>
      </x:c>
    </x:row>
    <x:row r="324" ht="54" customHeight="1">
      <x:c r="A324" s="24" t="str">
        <x:v>EX0321</x:v>
      </x:c>
      <x:c r="B324" s="24" t="str">
        <x:v>Raise eyebrows / forehead wrinkle</x:v>
      </x:c>
      <x:c r="C324" s="24" t="str">
        <x:v>Head &amp; Face</x:v>
      </x:c>
      <x:c r="D324" s="24" t="str">
        <x:v>Home</x:v>
      </x:c>
      <x:c r="E324" s="24" t="str">
        <x:v>Functional activation</x:v>
      </x:c>
      <x:c r="F324" s="24" t="str">
        <x:v>Frontalis (occipitofrontalis frontal belly)</x:v>
      </x:c>
      <x:c r="G324" s="24" t="str">
        <x:v>Occipitalis (occipitofrontalis occipital belly)</x:v>
      </x:c>
      <x:c r="H324" s="24" t="str">
        <x:v>—</x:v>
      </x:c>
      <x:c r="I324" s="24" t="str">
        <x:v>—</x:v>
      </x:c>
      <x:c r="J324" s="24" t="str">
        <x:v>Frontalis (occipitofrontalis frontal belly); Occipitalis (occipitofrontalis occipital belly)</x:v>
      </x:c>
      <x:c r="K324" s="24" t="str">
        <x:v>Atlas-listed tendon/aponeurosis examples: Epicranial aponeurosis; Galea aponeurotica (epicranial aponeurosis)</x:v>
      </x:c>
      <x:c r="L324" s="24" t="str">
        <x:v>TMJ ligament/capsule where relevant; no deliberate ligament stretching</x:v>
      </x:c>
      <x:c r="M324" s="24" t="str">
        <x:v>Muscles: Frontalis (occipitofrontalis frontal belly); Occipitalis (occipitofrontalis occipital belly) | Tendons/fascia: Atlas-listed tendon/aponeurosis examples: Epicranial aponeurosis; Galea aponeurotica (epicranial aponeurosis) | Ligament context only: TMJ ligament/capsule where relevant; no deliberate ligament stretching</x:v>
      </x:c>
      <x:c r="N324" s="24" t="str">
        <x:v>Low-load activation, not ordinarily to fatigue: Frontalis (occipitofrontalis frontal belly)</x:v>
      </x:c>
      <x:c r="O324" s="24" t="str">
        <x:v>Raise eyebrows briefly; let forehead relax.</x:v>
      </x:c>
      <x:c r="P324" s="24" t="str">
        <x:v>Mirror</x:v>
      </x:c>
      <x:c r="Q324" s="24" t="str">
        <x:v>1–2 × 5–10 controlled reps</x:v>
      </x:c>
      <x:c r="R324" s="24" t="str">
        <x:v>Progress gradually; stop with sharp pain, dizziness, or numbness.</x:v>
      </x:c>
      <x:c r="S324" s="24" t="str">
        <x:v>https://www.acsm.org/education-resources/trending-topics-resources/physical-activity-guidelines</x:v>
      </x:c>
      <x:c r="T324" s="24" t="str">
        <x:v>Anatomy-based mapping</x:v>
      </x:c>
    </x:row>
    <x:row r="325" ht="54" customHeight="1">
      <x:c r="A325" s="24" t="str">
        <x:v>EX0322</x:v>
      </x:c>
      <x:c r="B325" s="24" t="str">
        <x:v>Scalp retraction cue (if voluntarily controlled)</x:v>
      </x:c>
      <x:c r="C325" s="24" t="str">
        <x:v>Head &amp; Face</x:v>
      </x:c>
      <x:c r="D325" s="24" t="str">
        <x:v>Home</x:v>
      </x:c>
      <x:c r="E325" s="24" t="str">
        <x:v>Functional activation</x:v>
      </x:c>
      <x:c r="F325" s="24" t="str">
        <x:v>Occipitalis (occipitofrontalis occipital belly); Temporoparietalis</x:v>
      </x:c>
      <x:c r="G325" s="24" t="str">
        <x:v>Frontalis (occipitofrontalis frontal belly)</x:v>
      </x:c>
      <x:c r="H325" s="24" t="str">
        <x:v>—</x:v>
      </x:c>
      <x:c r="I325" s="24" t="str">
        <x:v>—</x:v>
      </x:c>
      <x:c r="J325" s="24" t="str">
        <x:v>Occipitalis (occipitofrontalis occipital belly); Temporoparietalis; Frontalis (occipitofrontalis frontal belly)</x:v>
      </x:c>
      <x:c r="K325" s="24" t="str">
        <x:v>Atlas-listed tendon/aponeurosis examples: Galea aponeurotica (epicranial aponeurosis); Epicranial aponeurosis</x:v>
      </x:c>
      <x:c r="L325" s="24" t="str">
        <x:v>TMJ ligament/capsule where relevant; no deliberate ligament stretching</x:v>
      </x:c>
      <x:c r="M325" s="24" t="str">
        <x:v>Muscles: Occipitalis (occipitofrontalis occipital belly); Temporoparietalis; Frontalis (occipitofrontalis frontal belly) | Tendons/fascia: Atlas-listed tendon/aponeurosis examples: Galea aponeurotica (epicranial aponeurosis); Epicranial aponeurosis | Ligament context only: TMJ ligament/capsule where relevant; no deliberate ligament stretching</x:v>
      </x:c>
      <x:c r="N325" s="24" t="str">
        <x:v>Low-load activation, not ordinarily to fatigue: Occipitalis (occipitofrontalis occipital belly); Temporoparietalis</x:v>
      </x:c>
      <x:c r="O325" s="24" t="str">
        <x:v>Attempt gentle scalp movement without neck strain; ability varies.</x:v>
      </x:c>
      <x:c r="P325" s="24" t="str">
        <x:v>Mirror</x:v>
      </x:c>
      <x:c r="Q325" s="24" t="str">
        <x:v>1–2 × 5–10 controlled reps</x:v>
      </x:c>
      <x:c r="R325" s="24" t="str">
        <x:v>Progress gradually; stop with sharp pain, dizziness, or numbness.</x:v>
      </x:c>
      <x:c r="S325" s="24" t="str">
        <x:v>https://www.acsm.org/education-resources/trending-topics-resources/physical-activity-guidelines</x:v>
      </x:c>
      <x:c r="T325" s="24" t="str">
        <x:v>Anatomy-based mapping</x:v>
      </x:c>
    </x:row>
    <x:row r="326" ht="54" customHeight="1">
      <x:c r="A326" s="24" t="str">
        <x:v>EX0323</x:v>
      </x:c>
      <x:c r="B326" s="24" t="str">
        <x:v>Gentle eye closure and blink</x:v>
      </x:c>
      <x:c r="C326" s="24" t="str">
        <x:v>Head &amp; Face</x:v>
      </x:c>
      <x:c r="D326" s="24" t="str">
        <x:v>Home</x:v>
      </x:c>
      <x:c r="E326" s="24" t="str">
        <x:v>Functional activation</x:v>
      </x:c>
      <x:c r="F326" s="24" t="str">
        <x:v>Orbicularis oculi palpebral part; Orbicularis oculi lacrimal part (Horner muscle)</x:v>
      </x:c>
      <x:c r="G326" s="24" t="str">
        <x:v>—</x:v>
      </x:c>
      <x:c r="H326" s="24" t="str">
        <x:v>—</x:v>
      </x:c>
      <x:c r="I326" s="24" t="str">
        <x:v>—</x:v>
      </x:c>
      <x:c r="J326" s="24" t="str">
        <x:v>Orbicularis oculi palpebral part; Orbicularis oculi lacrimal part (Horner muscle)</x:v>
      </x:c>
      <x:c r="K326" s="24" t="str">
        <x:v>Atlas-listed tendon/aponeurosis examples: Palpebral raphe fibrous attachment; Tarsal tendon/fibrous slips</x:v>
      </x:c>
      <x:c r="L326" s="24" t="str">
        <x:v>TMJ ligament/capsule where relevant; no deliberate ligament stretching</x:v>
      </x:c>
      <x:c r="M326" s="24" t="str">
        <x:v>Muscles: Orbicularis oculi palpebral part; Orbicularis oculi lacrimal part (Horner muscle) | Tendons/fascia: Atlas-listed tendon/aponeurosis examples: Palpebral raphe fibrous attachment; Tarsal tendon/fibrous slips | Ligament context only: TMJ ligament/capsule where relevant; no deliberate ligament stretching</x:v>
      </x:c>
      <x:c r="N326" s="24" t="str">
        <x:v>Low-load activation, not ordinarily to fatigue: Orbicularis oculi palpebral part; Orbicularis oculi lacrimal part (Horner muscle)</x:v>
      </x:c>
      <x:c r="O326" s="24" t="str">
        <x:v>Close eyes softly then open; avoid hard squeezing.</x:v>
      </x:c>
      <x:c r="P326" s="24" t="str">
        <x:v>None</x:v>
      </x:c>
      <x:c r="Q326" s="24" t="str">
        <x:v>1–2 × 5–10 controlled reps</x:v>
      </x:c>
      <x:c r="R326" s="24" t="str">
        <x:v>Progress gradually; stop with sharp pain, dizziness, or numbness.</x:v>
      </x:c>
      <x:c r="S326" s="24" t="str">
        <x:v>https://www.acsm.org/education-resources/trending-topics-resources/physical-activity-guidelines</x:v>
      </x:c>
      <x:c r="T326" s="24" t="str">
        <x:v>Anatomy-based mapping</x:v>
      </x:c>
    </x:row>
    <x:row r="327" ht="54" customHeight="1">
      <x:c r="A327" s="24" t="str">
        <x:v>EX0324</x:v>
      </x:c>
      <x:c r="B327" s="24" t="str">
        <x:v>Intentional stronger eye closure (brief)</x:v>
      </x:c>
      <x:c r="C327" s="24" t="str">
        <x:v>Head &amp; Face</x:v>
      </x:c>
      <x:c r="D327" s="24" t="str">
        <x:v>Home</x:v>
      </x:c>
      <x:c r="E327" s="24" t="str">
        <x:v>Functional activation</x:v>
      </x:c>
      <x:c r="F327" s="24" t="str">
        <x:v>Orbicularis oculi orbital part</x:v>
      </x:c>
      <x:c r="G327" s="24" t="str">
        <x:v>Orbicularis oculi palpebral part</x:v>
      </x:c>
      <x:c r="H327" s="24" t="str">
        <x:v>—</x:v>
      </x:c>
      <x:c r="I327" s="24" t="str">
        <x:v>—</x:v>
      </x:c>
      <x:c r="J327" s="24" t="str">
        <x:v>Orbicularis oculi orbital part; Orbicularis oculi palpebral part</x:v>
      </x:c>
      <x:c r="K327" s="24" t="str">
        <x:v>Atlas-listed tendon/aponeurosis examples: Medial canthal tendon/medial palpebral ligament; Palpebral raphe fibrous attachment</x:v>
      </x:c>
      <x:c r="L327" s="24" t="str">
        <x:v>TMJ ligament/capsule where relevant; no deliberate ligament stretching</x:v>
      </x:c>
      <x:c r="M327" s="24" t="str">
        <x:v>Muscles: Orbicularis oculi orbital part; Orbicularis oculi palpebral part | Tendons/fascia: Atlas-listed tendon/aponeurosis examples: Medial canthal tendon/medial palpebral ligament; Palpebral raphe fibrous attachment | Ligament context only: TMJ ligament/capsule where relevant; no deliberate ligament stretching</x:v>
      </x:c>
      <x:c r="N327" s="24" t="str">
        <x:v>Low-load activation, not ordinarily to fatigue: Orbicularis oculi orbital part</x:v>
      </x:c>
      <x:c r="O327" s="24" t="str">
        <x:v>Close eyelids a little more firmly for a moment, then relax.</x:v>
      </x:c>
      <x:c r="P327" s="24" t="str">
        <x:v>None</x:v>
      </x:c>
      <x:c r="Q327" s="24" t="str">
        <x:v>1–2 × 5–10 controlled reps</x:v>
      </x:c>
      <x:c r="R327" s="24" t="str">
        <x:v>Progress gradually; stop with sharp pain, dizziness, or numbness.</x:v>
      </x:c>
      <x:c r="S327" s="24" t="str">
        <x:v>https://www.acsm.org/education-resources/trending-topics-resources/physical-activity-guidelines</x:v>
      </x:c>
      <x:c r="T327" s="24" t="str">
        <x:v>Anatomy-based mapping</x:v>
      </x:c>
    </x:row>
    <x:row r="328" ht="54" customHeight="1">
      <x:c r="A328" s="24" t="str">
        <x:v>EX0325</x:v>
      </x:c>
      <x:c r="B328" s="24" t="str">
        <x:v>Nose wrinkle / nasal compression</x:v>
      </x:c>
      <x:c r="C328" s="24" t="str">
        <x:v>Head &amp; Face</x:v>
      </x:c>
      <x:c r="D328" s="24" t="str">
        <x:v>Home</x:v>
      </x:c>
      <x:c r="E328" s="24" t="str">
        <x:v>Functional activation</x:v>
      </x:c>
      <x:c r="F328" s="24" t="str">
        <x:v>Nasalis transverse part (compressor naris); Procerus</x:v>
      </x:c>
      <x:c r="G328" s="24" t="str">
        <x:v>—</x:v>
      </x:c>
      <x:c r="H328" s="24" t="str">
        <x:v>—</x:v>
      </x:c>
      <x:c r="I328" s="24" t="str">
        <x:v>—</x:v>
      </x:c>
      <x:c r="J328" s="24" t="str">
        <x:v>Nasalis transverse part (compressor naris); Procerus</x:v>
      </x:c>
      <x:c r="K328" s="24" t="str">
        <x:v>Atlas-listed tendon/aponeurosis examples: Dorsal nasal aponeurosis; Fibrous dermal insertion</x:v>
      </x:c>
      <x:c r="L328" s="24" t="str">
        <x:v>TMJ ligament/capsule where relevant; no deliberate ligament stretching</x:v>
      </x:c>
      <x:c r="M328" s="24" t="str">
        <x:v>Muscles: Nasalis transverse part (compressor naris); Procerus | Tendons/fascia: Atlas-listed tendon/aponeurosis examples: Dorsal nasal aponeurosis; Fibrous dermal insertion | Ligament context only: TMJ ligament/capsule where relevant; no deliberate ligament stretching</x:v>
      </x:c>
      <x:c r="N328" s="24" t="str">
        <x:v>Low-load activation, not ordinarily to fatigue: Nasalis transverse part (compressor naris); Procerus</x:v>
      </x:c>
      <x:c r="O328" s="24" t="str">
        <x:v>Wrinkle nose gently and relax.</x:v>
      </x:c>
      <x:c r="P328" s="24" t="str">
        <x:v>Mirror</x:v>
      </x:c>
      <x:c r="Q328" s="24" t="str">
        <x:v>1–2 × 5–10 controlled reps</x:v>
      </x:c>
      <x:c r="R328" s="24" t="str">
        <x:v>Progress gradually; stop with sharp pain, dizziness, or numbness.</x:v>
      </x:c>
      <x:c r="S328" s="24" t="str">
        <x:v>https://www.acsm.org/education-resources/trending-topics-resources/physical-activity-guidelines</x:v>
      </x:c>
      <x:c r="T328" s="24" t="str">
        <x:v>Anatomy-based mapping</x:v>
      </x:c>
    </x:row>
    <x:row r="329" ht="54" customHeight="1">
      <x:c r="A329" s="24" t="str">
        <x:v>EX0326</x:v>
      </x:c>
      <x:c r="B329" s="24" t="str">
        <x:v>Nostril flare</x:v>
      </x:c>
      <x:c r="C329" s="24" t="str">
        <x:v>Head &amp; Face</x:v>
      </x:c>
      <x:c r="D329" s="24" t="str">
        <x:v>Home</x:v>
      </x:c>
      <x:c r="E329" s="24" t="str">
        <x:v>Functional activation</x:v>
      </x:c>
      <x:c r="F329" s="24" t="str">
        <x:v>Nasalis alar part (dilator naris); Levator labii superioris alaeque nasi</x:v>
      </x:c>
      <x:c r="G329" s="24" t="str">
        <x:v>—</x:v>
      </x:c>
      <x:c r="H329" s="24" t="str">
        <x:v>—</x:v>
      </x:c>
      <x:c r="I329" s="24" t="str">
        <x:v>—</x:v>
      </x:c>
      <x:c r="J329" s="24" t="str">
        <x:v>Nasalis alar part (dilator naris); Levator labii superioris alaeque nasi</x:v>
      </x:c>
      <x:c r="K329" s="24" t="str">
        <x:v>Atlas-listed tendon/aponeurosis examples: Dermal/cartilage fascicles; Dermal insertions</x:v>
      </x:c>
      <x:c r="L329" s="24" t="str">
        <x:v>TMJ ligament/capsule where relevant; no deliberate ligament stretching</x:v>
      </x:c>
      <x:c r="M329" s="24" t="str">
        <x:v>Muscles: Nasalis alar part (dilator naris); Levator labii superioris alaeque nasi | Tendons/fascia: Atlas-listed tendon/aponeurosis examples: Dermal/cartilage fascicles; Dermal insertions | Ligament context only: TMJ ligament/capsule where relevant; no deliberate ligament stretching</x:v>
      </x:c>
      <x:c r="N329" s="24" t="str">
        <x:v>Low-load activation, not ordinarily to fatigue: Nasalis alar part (dilator naris); Levator labii superioris alaeque nasi</x:v>
      </x:c>
      <x:c r="O329" s="24" t="str">
        <x:v>Try gentle voluntary nostril widening during quiet breathing.</x:v>
      </x:c>
      <x:c r="P329" s="24" t="str">
        <x:v>Mirror</x:v>
      </x:c>
      <x:c r="Q329" s="24" t="str">
        <x:v>1–2 × 5–10 controlled reps</x:v>
      </x:c>
      <x:c r="R329" s="24" t="str">
        <x:v>Progress gradually; stop with sharp pain, dizziness, or numbness.</x:v>
      </x:c>
      <x:c r="S329" s="24" t="str">
        <x:v>https://www.acsm.org/education-resources/trending-topics-resources/physical-activity-guidelines</x:v>
      </x:c>
      <x:c r="T329" s="24" t="str">
        <x:v>Anatomy-based mapping</x:v>
      </x:c>
    </x:row>
    <x:row r="330" ht="54" customHeight="1">
      <x:c r="A330" s="24" t="str">
        <x:v>EX0327</x:v>
      </x:c>
      <x:c r="B330" s="24" t="str">
        <x:v>Lower nasal septum lip movement</x:v>
      </x:c>
      <x:c r="C330" s="24" t="str">
        <x:v>Head &amp; Face</x:v>
      </x:c>
      <x:c r="D330" s="24" t="str">
        <x:v>Home</x:v>
      </x:c>
      <x:c r="E330" s="24" t="str">
        <x:v>Functional activation</x:v>
      </x:c>
      <x:c r="F330" s="24" t="str">
        <x:v>Depressor septi nasi</x:v>
      </x:c>
      <x:c r="G330" s="24" t="str">
        <x:v>Orbicularis oris marginal part</x:v>
      </x:c>
      <x:c r="H330" s="24" t="str">
        <x:v>—</x:v>
      </x:c>
      <x:c r="I330" s="24" t="str">
        <x:v>—</x:v>
      </x:c>
      <x:c r="J330" s="24" t="str">
        <x:v>Depressor septi nasi; Orbicularis oris marginal part</x:v>
      </x:c>
      <x:c r="K330" s="24" t="str">
        <x:v>Atlas-listed tendon/aponeurosis examples: Fibrous septal insertion; Musculofascial modiolus attachments</x:v>
      </x:c>
      <x:c r="L330" s="24" t="str">
        <x:v>TMJ ligament/capsule where relevant; no deliberate ligament stretching</x:v>
      </x:c>
      <x:c r="M330" s="24" t="str">
        <x:v>Muscles: Depressor septi nasi; Orbicularis oris marginal part | Tendons/fascia: Atlas-listed tendon/aponeurosis examples: Fibrous septal insertion; Musculofascial modiolus attachments | Ligament context only: TMJ ligament/capsule where relevant; no deliberate ligament stretching</x:v>
      </x:c>
      <x:c r="N330" s="24" t="str">
        <x:v>Low-load activation, not ordinarily to fatigue: Depressor septi nasi</x:v>
      </x:c>
      <x:c r="O330" s="24" t="str">
        <x:v>Gently narrow nostrils while pursing upper lip; control varies.</x:v>
      </x:c>
      <x:c r="P330" s="24" t="str">
        <x:v>Mirror</x:v>
      </x:c>
      <x:c r="Q330" s="24" t="str">
        <x:v>1–2 × 5–10 controlled reps</x:v>
      </x:c>
      <x:c r="R330" s="24" t="str">
        <x:v>Progress gradually; stop with sharp pain, dizziness, or numbness.</x:v>
      </x:c>
      <x:c r="S330" s="24" t="str">
        <x:v>https://www.acsm.org/education-resources/trending-topics-resources/physical-activity-guidelines</x:v>
      </x:c>
      <x:c r="T330" s="24" t="str">
        <x:v>Anatomy-based mapping</x:v>
      </x:c>
    </x:row>
    <x:row r="331" ht="54" customHeight="1">
      <x:c r="A331" s="24" t="str">
        <x:v>EX0328</x:v>
      </x:c>
      <x:c r="B331" s="24" t="str">
        <x:v>Lip purse / whistle shape (without force)</x:v>
      </x:c>
      <x:c r="C331" s="24" t="str">
        <x:v>Head &amp; Face</x:v>
      </x:c>
      <x:c r="D331" s="24" t="str">
        <x:v>Home</x:v>
      </x:c>
      <x:c r="E331" s="24" t="str">
        <x:v>Functional activation</x:v>
      </x:c>
      <x:c r="F331" s="24" t="str">
        <x:v>Orbicularis oris marginal part; Orbicularis oris peripheral part</x:v>
      </x:c>
      <x:c r="G331" s="24" t="str">
        <x:v>Buccinator</x:v>
      </x:c>
      <x:c r="H331" s="24" t="str">
        <x:v>—</x:v>
      </x:c>
      <x:c r="I331" s="24" t="str">
        <x:v>—</x:v>
      </x:c>
      <x:c r="J331" s="24" t="str">
        <x:v>Orbicularis oris marginal part; Orbicularis oris peripheral part; Buccinator</x:v>
      </x:c>
      <x:c r="K331" s="24" t="str">
        <x:v>Atlas-listed tendon/aponeurosis examples: Musculofascial modiolus attachments; Modiolus/fascial fiber attachments; Pterygomandibular raphe fibrous origin</x:v>
      </x:c>
      <x:c r="L331" s="24" t="str">
        <x:v>TMJ ligament/capsule where relevant; no deliberate ligament stretching</x:v>
      </x:c>
      <x:c r="M331" s="24" t="str">
        <x:v>Muscles: Orbicularis oris marginal part; Orbicularis oris peripheral part; Buccinator | Tendons/fascia: Atlas-listed tendon/aponeurosis examples: Musculofascial modiolus attachments; Modiolus/fascial fiber attachments; Pterygomandibular raphe fibrous origin | Ligament context only: TMJ ligament/capsule where relevant; no deliberate ligament stretching</x:v>
      </x:c>
      <x:c r="N331" s="24" t="str">
        <x:v>Low-load activation, not ordinarily to fatigue: Orbicularis oris marginal part; Orbicularis oris peripheral part</x:v>
      </x:c>
      <x:c r="O331" s="24" t="str">
        <x:v>Round lips gently, then return to relaxed position.</x:v>
      </x:c>
      <x:c r="P331" s="24" t="str">
        <x:v>None</x:v>
      </x:c>
      <x:c r="Q331" s="24" t="str">
        <x:v>1–2 × 5–10 controlled reps</x:v>
      </x:c>
      <x:c r="R331" s="24" t="str">
        <x:v>Progress gradually; stop with sharp pain, dizziness, or numbness.</x:v>
      </x:c>
      <x:c r="S331" s="24" t="str">
        <x:v>https://www.acsm.org/education-resources/trending-topics-resources/physical-activity-guidelines</x:v>
      </x:c>
      <x:c r="T331" s="24" t="str">
        <x:v>Anatomy-based mapping</x:v>
      </x:c>
    </x:row>
    <x:row r="332" ht="54" customHeight="1">
      <x:c r="A332" s="24" t="str">
        <x:v>EX0329</x:v>
      </x:c>
      <x:c r="B332" s="24" t="str">
        <x:v>Puff cheeks and release</x:v>
      </x:c>
      <x:c r="C332" s="24" t="str">
        <x:v>Head &amp; Face</x:v>
      </x:c>
      <x:c r="D332" s="24" t="str">
        <x:v>Home</x:v>
      </x:c>
      <x:c r="E332" s="24" t="str">
        <x:v>Functional activation</x:v>
      </x:c>
      <x:c r="F332" s="24" t="str">
        <x:v>Buccinator; Orbicularis oris peripheral part</x:v>
      </x:c>
      <x:c r="G332" s="24" t="str">
        <x:v>—</x:v>
      </x:c>
      <x:c r="H332" s="24" t="str">
        <x:v>—</x:v>
      </x:c>
      <x:c r="I332" s="24" t="str">
        <x:v>—</x:v>
      </x:c>
      <x:c r="J332" s="24" t="str">
        <x:v>Buccinator; Orbicularis oris peripheral part</x:v>
      </x:c>
      <x:c r="K332" s="24" t="str">
        <x:v>Atlas-listed tendon/aponeurosis examples: Pterygomandibular raphe fibrous origin; Modiolus/fascial fiber attachments</x:v>
      </x:c>
      <x:c r="L332" s="24" t="str">
        <x:v>TMJ ligament/capsule where relevant; no deliberate ligament stretching</x:v>
      </x:c>
      <x:c r="M332" s="24" t="str">
        <x:v>Muscles: Buccinator; Orbicularis oris peripheral part | Tendons/fascia: Atlas-listed tendon/aponeurosis examples: Pterygomandibular raphe fibrous origin; Modiolus/fascial fiber attachments | Ligament context only: TMJ ligament/capsule where relevant; no deliberate ligament stretching</x:v>
      </x:c>
      <x:c r="N332" s="24" t="str">
        <x:v>Low-load activation, not ordinarily to fatigue: Buccinator; Orbicularis oris peripheral part</x:v>
      </x:c>
      <x:c r="O332" s="24" t="str">
        <x:v>Fill cheeks lightly with air then release, no hard pressure.</x:v>
      </x:c>
      <x:c r="P332" s="24" t="str">
        <x:v>None</x:v>
      </x:c>
      <x:c r="Q332" s="24" t="str">
        <x:v>1–2 × 5–10 controlled reps</x:v>
      </x:c>
      <x:c r="R332" s="24" t="str">
        <x:v>Progress gradually; stop with sharp pain, dizziness, or numbness.</x:v>
      </x:c>
      <x:c r="S332" s="24" t="str">
        <x:v>https://www.acsm.org/education-resources/trending-topics-resources/physical-activity-guidelines</x:v>
      </x:c>
      <x:c r="T332" s="24" t="str">
        <x:v>Anatomy-based mapping</x:v>
      </x:c>
    </x:row>
    <x:row r="333" ht="54" customHeight="1">
      <x:c r="A333" s="24" t="str">
        <x:v>EX0330</x:v>
      </x:c>
      <x:c r="B333" s="24" t="str">
        <x:v>Gentle cheek retraction</x:v>
      </x:c>
      <x:c r="C333" s="24" t="str">
        <x:v>Head &amp; Face</x:v>
      </x:c>
      <x:c r="D333" s="24" t="str">
        <x:v>Home</x:v>
      </x:c>
      <x:c r="E333" s="24" t="str">
        <x:v>Functional activation</x:v>
      </x:c>
      <x:c r="F333" s="24" t="str">
        <x:v>Buccinator; Risorius</x:v>
      </x:c>
      <x:c r="G333" s="24" t="str">
        <x:v>Orbicularis oris peripheral part</x:v>
      </x:c>
      <x:c r="H333" s="24" t="str">
        <x:v>—</x:v>
      </x:c>
      <x:c r="I333" s="24" t="str">
        <x:v>—</x:v>
      </x:c>
      <x:c r="J333" s="24" t="str">
        <x:v>Buccinator; Risorius; Orbicularis oris peripheral part</x:v>
      </x:c>
      <x:c r="K333" s="24" t="str">
        <x:v>Atlas-listed tendon/aponeurosis examples: Pterygomandibular raphe fibrous origin; Thin fascial fibers; Modiolus/fascial fiber attachments</x:v>
      </x:c>
      <x:c r="L333" s="24" t="str">
        <x:v>TMJ ligament/capsule where relevant; no deliberate ligament stretching</x:v>
      </x:c>
      <x:c r="M333" s="24" t="str">
        <x:v>Muscles: Buccinator; Risorius; Orbicularis oris peripheral part | Tendons/fascia: Atlas-listed tendon/aponeurosis examples: Pterygomandibular raphe fibrous origin; Thin fascial fibers; Modiolus/fascial fiber attachments | Ligament context only: TMJ ligament/capsule where relevant; no deliberate ligament stretching</x:v>
      </x:c>
      <x:c r="N333" s="24" t="str">
        <x:v>Low-load activation, not ordinarily to fatigue: Buccinator; Risorius</x:v>
      </x:c>
      <x:c r="O333" s="24" t="str">
        <x:v>Draw cheeks inward gently while maintaining relaxed jaw.</x:v>
      </x:c>
      <x:c r="P333" s="24" t="str">
        <x:v>Mirror</x:v>
      </x:c>
      <x:c r="Q333" s="24" t="str">
        <x:v>1–2 × 5–10 controlled reps</x:v>
      </x:c>
      <x:c r="R333" s="24" t="str">
        <x:v>Progress gradually; stop with sharp pain, dizziness, or numbness.</x:v>
      </x:c>
      <x:c r="S333" s="24" t="str">
        <x:v>https://www.acsm.org/education-resources/trending-topics-resources/physical-activity-guidelines</x:v>
      </x:c>
      <x:c r="T333" s="24" t="str">
        <x:v>Anatomy-based mapping</x:v>
      </x:c>
    </x:row>
    <x:row r="334" ht="54" customHeight="1">
      <x:c r="A334" s="24" t="str">
        <x:v>EX0331</x:v>
      </x:c>
      <x:c r="B334" s="24" t="str">
        <x:v>Chin dimple / lower-lip protrusion</x:v>
      </x:c>
      <x:c r="C334" s="24" t="str">
        <x:v>Head &amp; Face</x:v>
      </x:c>
      <x:c r="D334" s="24" t="str">
        <x:v>Home</x:v>
      </x:c>
      <x:c r="E334" s="24" t="str">
        <x:v>Functional activation</x:v>
      </x:c>
      <x:c r="F334" s="24" t="str">
        <x:v>Mentalis</x:v>
      </x:c>
      <x:c r="G334" s="24" t="str">
        <x:v>Orbicularis oris marginal part</x:v>
      </x:c>
      <x:c r="H334" s="24" t="str">
        <x:v>—</x:v>
      </x:c>
      <x:c r="I334" s="24" t="str">
        <x:v>—</x:v>
      </x:c>
      <x:c r="J334" s="24" t="str">
        <x:v>Mentalis; Orbicularis oris marginal part</x:v>
      </x:c>
      <x:c r="K334" s="24" t="str">
        <x:v>Atlas-listed tendon/aponeurosis examples: Dermal insertion; Musculofascial modiolus attachments</x:v>
      </x:c>
      <x:c r="L334" s="24" t="str">
        <x:v>TMJ ligament/capsule where relevant; no deliberate ligament stretching</x:v>
      </x:c>
      <x:c r="M334" s="24" t="str">
        <x:v>Muscles: Mentalis; Orbicularis oris marginal part | Tendons/fascia: Atlas-listed tendon/aponeurosis examples: Dermal insertion; Musculofascial modiolus attachments | Ligament context only: TMJ ligament/capsule where relevant; no deliberate ligament stretching</x:v>
      </x:c>
      <x:c r="N334" s="24" t="str">
        <x:v>Low-load activation, not ordinarily to fatigue: Mentalis</x:v>
      </x:c>
      <x:c r="O334" s="24" t="str">
        <x:v>Lift lower lip and wrinkle chin mildly.</x:v>
      </x:c>
      <x:c r="P334" s="24" t="str">
        <x:v>Mirror</x:v>
      </x:c>
      <x:c r="Q334" s="24" t="str">
        <x:v>1–2 × 5–10 controlled reps</x:v>
      </x:c>
      <x:c r="R334" s="24" t="str">
        <x:v>Progress gradually; stop with sharp pain, dizziness, or numbness.</x:v>
      </x:c>
      <x:c r="S334" s="24" t="str">
        <x:v>https://www.acsm.org/education-resources/trending-topics-resources/physical-activity-guidelines</x:v>
      </x:c>
      <x:c r="T334" s="24" t="str">
        <x:v>Anatomy-based mapping</x:v>
      </x:c>
    </x:row>
    <x:row r="335" ht="54" customHeight="1">
      <x:c r="A335" s="24" t="str">
        <x:v>EX0332</x:v>
      </x:c>
      <x:c r="B335" s="24" t="str">
        <x:v>Gentle platysma neck skin tension</x:v>
      </x:c>
      <x:c r="C335" s="24" t="str">
        <x:v>Head &amp; Face</x:v>
      </x:c>
      <x:c r="D335" s="24" t="str">
        <x:v>Home</x:v>
      </x:c>
      <x:c r="E335" s="24" t="str">
        <x:v>Functional activation</x:v>
      </x:c>
      <x:c r="F335" s="24" t="str">
        <x:v>Platysma</x:v>
      </x:c>
      <x:c r="G335" s="24" t="str">
        <x:v>Depressor anguli oris</x:v>
      </x:c>
      <x:c r="H335" s="24" t="str">
        <x:v>—</x:v>
      </x:c>
      <x:c r="I335" s="24" t="str">
        <x:v>—</x:v>
      </x:c>
      <x:c r="J335" s="24" t="str">
        <x:v>Platysma; Depressor anguli oris</x:v>
      </x:c>
      <x:c r="K335" s="24" t="str">
        <x:v>Atlas-listed tendon/aponeurosis examples: Dermal fascial attachments without long tendon; Modiolus insertion</x:v>
      </x:c>
      <x:c r="L335" s="24" t="str">
        <x:v>TMJ ligament/capsule where relevant; no deliberate ligament stretching</x:v>
      </x:c>
      <x:c r="M335" s="24" t="str">
        <x:v>Muscles: Platysma; Depressor anguli oris | Tendons/fascia: Atlas-listed tendon/aponeurosis examples: Dermal fascial attachments without long tendon; Modiolus insertion | Ligament context only: TMJ ligament/capsule where relevant; no deliberate ligament stretching</x:v>
      </x:c>
      <x:c r="N335" s="24" t="str">
        <x:v>Low-load activation, not ordinarily to fatigue: Platysma</x:v>
      </x:c>
      <x:c r="O335" s="24" t="str">
        <x:v>Lightly draw corners of mouth downward to create superficial neck tension.</x:v>
      </x:c>
      <x:c r="P335" s="24" t="str">
        <x:v>Mirror</x:v>
      </x:c>
      <x:c r="Q335" s="24" t="str">
        <x:v>1–2 × 5–10 controlled reps</x:v>
      </x:c>
      <x:c r="R335" s="24" t="str">
        <x:v>Progress gradually; stop with sharp pain, dizziness, or numbness.</x:v>
      </x:c>
      <x:c r="S335" s="24" t="str">
        <x:v>https://www.acsm.org/education-resources/trending-topics-resources/physical-activity-guidelines</x:v>
      </x:c>
      <x:c r="T335" s="24" t="str">
        <x:v>Anatomy-based mapping</x:v>
      </x:c>
    </x:row>
    <x:row r="336" ht="54" customHeight="1">
      <x:c r="A336" s="24" t="str">
        <x:v>EX0333</x:v>
      </x:c>
      <x:c r="B336" s="24" t="str">
        <x:v>Jaw open-close controlled ROM</x:v>
      </x:c>
      <x:c r="C336" s="24" t="str">
        <x:v>Head &amp; Face</x:v>
      </x:c>
      <x:c r="D336" s="24" t="str">
        <x:v>Home</x:v>
      </x:c>
      <x:c r="E336" s="24" t="str">
        <x:v>Motor control</x:v>
      </x:c>
      <x:c r="F336" s="24" t="str">
        <x:v>Lateral pterygoid inferior head; Lateral pterygoid superior head; Digastric anterior belly; Digastric posterior belly; Mylohyoid; Geniohyoid</x:v>
      </x:c>
      <x:c r="G336" s="24" t="str">
        <x:v>Masseter deep portion; Masseter superficial portion; Temporalis anterior fibers; Temporalis posterior fibers; Medial pterygoid deep head; Medial pterygoid superficial head</x:v>
      </x:c>
      <x:c r="H336" s="24" t="str">
        <x:v>—</x:v>
      </x:c>
      <x:c r="I336" s="24" t="str">
        <x:v>Masseter deep portion; Masseter superficial portion; Temporalis anterior fibers; Temporalis posterior fibers; Medial pterygoid deep head; Medial pterygoid superficial head; Lateral pterygoid inferior head; Lateral pterygoid superior head</x:v>
      </x:c>
      <x:c r="J336" s="24" t="str">
        <x:v>Lateral pterygoid inferior head; Lateral pterygoid superior head; Digastric anterior belly; Digastric posterior belly; Mylohyoid; Geniohyoid; Masseter deep portion; Masseter superficial portion; Temporalis anterior fibers; Temporalis posterior fibers; Medial pterygoid deep head; Medial pterygoid superficial head</x:v>
      </x:c>
      <x:c r="K336" s="24" t="str">
        <x:v>Temporalis/masseter tendon; TMJ disc may move</x:v>
      </x:c>
      <x:c r="L336" s="24" t="str">
        <x:v>TMJ capsule and ligaments are not stretch targets</x:v>
      </x:c>
      <x:c r="M336" s="24" t="str">
        <x:v>Muscles: Lateral pterygoid inferior head; Lateral pterygoid superior head; Digastric anterior belly; Digastric posterior belly; Mylohyoid; Geniohyoid; Masseter deep portion; Masseter superficial portion; Temporalis anterior fibers; Temporalis posterior fibers; Medial pterygoid deep head; Medial pterygoid superficial head | Tendons/fascia: Temporalis/masseter tendon; TMJ disc may move | Ligament context only: TMJ capsule and ligaments are not stretch targets</x:v>
      </x:c>
      <x:c r="N336" s="24" t="str">
        <x:v>Low-load activation, not ordinarily to fatigue: Lateral pterygoid inferior head; Lateral pterygoid superior head; Digastric anterior belly; Digastric posterior belly; Mylohyoid; Geniohyoid</x:v>
      </x:c>
      <x:c r="O336" s="24" t="str">
        <x:v>Open mouth slightly with tongue resting on palate, close without clenching.</x:v>
      </x:c>
      <x:c r="P336" s="24" t="str">
        <x:v>Mirror</x:v>
      </x:c>
      <x:c r="Q336" s="24" t="str">
        <x:v>1–2 × 5–10 controlled reps</x:v>
      </x:c>
      <x:c r="R336" s="24" t="str">
        <x:v>Progress gradually; stop with sharp pain, dizziness, or numbness.</x:v>
      </x:c>
      <x:c r="S336" s="24" t="str">
        <x:v>https://www.acsm.org/education-resources/trending-topics-resources/physical-activity-guidelines</x:v>
      </x:c>
      <x:c r="T336" s="24" t="str">
        <x:v>Anatomy-based mapping</x:v>
      </x:c>
    </x:row>
    <x:row r="337" ht="54" customHeight="1">
      <x:c r="A337" s="24" t="str">
        <x:v>EX0334</x:v>
      </x:c>
      <x:c r="B337" s="24" t="str">
        <x:v>Jaw closing gentle isometric on soft food</x:v>
      </x:c>
      <x:c r="C337" s="24" t="str">
        <x:v>Head &amp; Face</x:v>
      </x:c>
      <x:c r="D337" s="24" t="str">
        <x:v>Home</x:v>
      </x:c>
      <x:c r="E337" s="24" t="str">
        <x:v>Functional activation</x:v>
      </x:c>
      <x:c r="F337" s="24" t="str">
        <x:v>Masseter deep portion; Masseter superficial portion; Temporalis anterior fibers; Temporalis posterior fibers; Medial pterygoid deep head; Medial pterygoid superficial head</x:v>
      </x:c>
      <x:c r="G337" s="24" t="str">
        <x:v>—</x:v>
      </x:c>
      <x:c r="H337" s="24" t="str">
        <x:v>—</x:v>
      </x:c>
      <x:c r="I337" s="24" t="str">
        <x:v>—</x:v>
      </x:c>
      <x:c r="J337" s="24" t="str">
        <x:v>Masseter deep portion; Masseter superficial portion; Temporalis anterior fibers; Temporalis posterior fibers; Medial pterygoid deep head; Medial pterygoid superficial head</x:v>
      </x:c>
      <x:c r="K337" s="24" t="str">
        <x:v>Temporalis and masseter tendons</x:v>
      </x:c>
      <x:c r="L337" s="24" t="str">
        <x:v>TMJ capsular ligaments stabilize joint</x:v>
      </x:c>
      <x:c r="M337" s="24" t="str">
        <x:v>Muscles: Masseter deep portion; Masseter superficial portion; Temporalis anterior fibers; Temporalis posterior fibers; Medial pterygoid deep head; Medial pterygoid superficial head | Tendons/fascia: Temporalis and masseter tendons | Ligament context only: TMJ capsular ligaments stabilize joint</x:v>
      </x:c>
      <x:c r="N337" s="24" t="str">
        <x:v>Low-load activation, not ordinarily to fatigue: Masseter deep portion; Masseter superficial portion; Temporalis anterior fibers; Temporalis posterior fibers; Medial pterygoid deep head; Medial pterygoid superficial head</x:v>
      </x:c>
      <x:c r="O337" s="24" t="str">
        <x:v>Practice chewing an appropriately soft snack with natural light effort.</x:v>
      </x:c>
      <x:c r="P337" s="24" t="str">
        <x:v>Soft food</x:v>
      </x:c>
      <x:c r="Q337" s="24" t="str">
        <x:v>1–2 × 5–10 controlled reps</x:v>
      </x:c>
      <x:c r="R337" s="24" t="str">
        <x:v>Avoid gum chewing/loaded jaw drills for TMJ pain.</x:v>
      </x:c>
      <x:c r="S337" s="24" t="str">
        <x:v>https://www.acsm.org/education-resources/trending-topics-resources/physical-activity-guidelines</x:v>
      </x:c>
      <x:c r="T337" s="24" t="str">
        <x:v>Anatomy-based mapping</x:v>
      </x:c>
    </x:row>
    <x:row r="338" ht="54" customHeight="1">
      <x:c r="A338" s="24" t="str">
        <x:v>EX0335</x:v>
      </x:c>
      <x:c r="B338" s="24" t="str">
        <x:v>Gentle lateral jaw glide</x:v>
      </x:c>
      <x:c r="C338" s="24" t="str">
        <x:v>Head &amp; Face</x:v>
      </x:c>
      <x:c r="D338" s="24" t="str">
        <x:v>Home</x:v>
      </x:c>
      <x:c r="E338" s="24" t="str">
        <x:v>Motor control</x:v>
      </x:c>
      <x:c r="F338" s="24" t="str">
        <x:v>Lateral pterygoid inferior head; Lateral pterygoid superior head; Medial pterygoid deep head; Medial pterygoid superficial head; Temporalis anterior fibers; Temporalis posterior fibers</x:v>
      </x:c>
      <x:c r="G338" s="24" t="str">
        <x:v>Masseter deep portion; Masseter superficial portion</x:v>
      </x:c>
      <x:c r="H338" s="24" t="str">
        <x:v>—</x:v>
      </x:c>
      <x:c r="I338" s="24" t="str">
        <x:v>—</x:v>
      </x:c>
      <x:c r="J338" s="24" t="str">
        <x:v>Lateral pterygoid inferior head; Lateral pterygoid superior head; Medial pterygoid deep head; Medial pterygoid superficial head; Temporalis anterior fibers; Temporalis posterior fibers; Masseter deep portion; Masseter superficial portion</x:v>
      </x:c>
      <x:c r="K338" s="24" t="str">
        <x:v>Atlas-listed tendon/aponeurosis examples: Pterygoid fovea insertion tendon; Capsulodiscal fibrous attachment; Pterygoid insertion tendon; Fibrous insertion tendon; additional listed attachments</x:v>
      </x:c>
      <x:c r="L338" s="24" t="str">
        <x:v>TMJ ligament/capsule where relevant; no deliberate ligament stretching</x:v>
      </x:c>
      <x:c r="M338" s="24" t="str">
        <x:v>Muscles: Lateral pterygoid inferior head; Lateral pterygoid superior head; Medial pterygoid deep head; Medial pterygoid superficial head; Temporalis anterior fibers; Temporalis posterior fibers; Masseter deep portion; Masseter superficial portion | Tendons/fascia: Atlas-listed tendon/aponeurosis examples: Pterygoid fovea insertion tendon; Capsulodiscal fibrous attachment; Pterygoid insertion tendon; Fibrous insertion tendon; additional listed attachments | Ligament context only: TMJ ligament/capsule where relevant; no deliberate ligament stretching</x:v>
      </x:c>
      <x:c r="N338" s="24" t="str">
        <x:v>Low-load activation, not ordinarily to fatigue: Lateral pterygoid inferior head; Lateral pterygoid superior head; Medial pterygoid deep head; Medial pterygoid superficial head; Temporalis anterior fibers; Temporalis posterior fibers</x:v>
      </x:c>
      <x:c r="O338" s="24" t="str">
        <x:v>With teeth separated, move jaw gently left-right in pain-free range.</x:v>
      </x:c>
      <x:c r="P338" s="24" t="str">
        <x:v>Mirror</x:v>
      </x:c>
      <x:c r="Q338" s="24" t="str">
        <x:v>1–2 × 5–10 controlled reps</x:v>
      </x:c>
      <x:c r="R338" s="24" t="str">
        <x:v>Progress gradually; stop with sharp pain, dizziness, or numbness.</x:v>
      </x:c>
      <x:c r="S338" s="24" t="str">
        <x:v>https://www.acsm.org/education-resources/trending-topics-resources/physical-activity-guidelines</x:v>
      </x:c>
      <x:c r="T338" s="24" t="str">
        <x:v>Anatomy-based mapping</x:v>
      </x:c>
    </x:row>
    <x:row r="339" ht="54" customHeight="1">
      <x:c r="A339" s="24" t="str">
        <x:v>EX0336</x:v>
      </x:c>
      <x:c r="B339" s="24" t="str">
        <x:v>Jaw protrusion / retrusion control</x:v>
      </x:c>
      <x:c r="C339" s="24" t="str">
        <x:v>Head &amp; Face</x:v>
      </x:c>
      <x:c r="D339" s="24" t="str">
        <x:v>Home</x:v>
      </x:c>
      <x:c r="E339" s="24" t="str">
        <x:v>Motor control</x:v>
      </x:c>
      <x:c r="F339" s="24" t="str">
        <x:v>Lateral pterygoid inferior head; Lateral pterygoid superior head; Medial pterygoid deep head; Medial pterygoid superficial head</x:v>
      </x:c>
      <x:c r="G339" s="24" t="str">
        <x:v>Temporalis anterior fibers; Temporalis posterior fibers</x:v>
      </x:c>
      <x:c r="H339" s="24" t="str">
        <x:v>—</x:v>
      </x:c>
      <x:c r="I339" s="24" t="str">
        <x:v>—</x:v>
      </x:c>
      <x:c r="J339" s="24" t="str">
        <x:v>Lateral pterygoid inferior head; Lateral pterygoid superior head; Medial pterygoid deep head; Medial pterygoid superficial head; Temporalis anterior fibers; Temporalis posterior fibers</x:v>
      </x:c>
      <x:c r="K339" s="24" t="str">
        <x:v>Atlas-listed tendon/aponeurosis examples: Pterygoid fovea insertion tendon; Capsulodiscal fibrous attachment; Pterygoid insertion tendon; Fibrous insertion tendon; additional listed attachments</x:v>
      </x:c>
      <x:c r="L339" s="24" t="str">
        <x:v>TMJ ligament/capsule where relevant; no deliberate ligament stretching</x:v>
      </x:c>
      <x:c r="M339" s="24" t="str">
        <x:v>Muscles: Lateral pterygoid inferior head; Lateral pterygoid superior head; Medial pterygoid deep head; Medial pterygoid superficial head; Temporalis anterior fibers; Temporalis posterior fibers | Tendons/fascia: Atlas-listed tendon/aponeurosis examples: Pterygoid fovea insertion tendon; Capsulodiscal fibrous attachment; Pterygoid insertion tendon; Fibrous insertion tendon; additional listed attachments | Ligament context only: TMJ ligament/capsule where relevant; no deliberate ligament stretching</x:v>
      </x:c>
      <x:c r="N339" s="24" t="str">
        <x:v>Low-load activation, not ordinarily to fatigue: Lateral pterygoid inferior head; Lateral pterygoid superior head; Medial pterygoid deep head; Medial pterygoid superficial head</x:v>
      </x:c>
      <x:c r="O339" s="24" t="str">
        <x:v>Move lower jaw forward a few millimeters then back while relaxed.</x:v>
      </x:c>
      <x:c r="P339" s="24" t="str">
        <x:v>Mirror</x:v>
      </x:c>
      <x:c r="Q339" s="24" t="str">
        <x:v>1–2 × 5–10 controlled reps</x:v>
      </x:c>
      <x:c r="R339" s="24" t="str">
        <x:v>Progress gradually; stop with sharp pain, dizziness, or numbness.</x:v>
      </x:c>
      <x:c r="S339" s="24" t="str">
        <x:v>https://www.acsm.org/education-resources/trending-topics-resources/physical-activity-guidelines</x:v>
      </x:c>
      <x:c r="T339" s="24" t="str">
        <x:v>Anatomy-based mapping</x:v>
      </x:c>
    </x:row>
    <x:row r="340" ht="54" customHeight="1">
      <x:c r="A340" s="24" t="str">
        <x:v>EX0337</x:v>
      </x:c>
      <x:c r="B340" s="24" t="str">
        <x:v>Tongue protrusion and retraction</x:v>
      </x:c>
      <x:c r="C340" s="24" t="str">
        <x:v>Head &amp; Face</x:v>
      </x:c>
      <x:c r="D340" s="24" t="str">
        <x:v>Home</x:v>
      </x:c>
      <x:c r="E340" s="24" t="str">
        <x:v>Functional activation</x:v>
      </x:c>
      <x:c r="F340" s="24" t="str">
        <x:v>Genioglossus; Styloglossus; Hyoglossus</x:v>
      </x:c>
      <x:c r="G340" s="24" t="str">
        <x:v>Inferior longitudinal tongue muscle; Superior longitudinal tongue muscle; Transverse tongue muscle; Vertical tongue muscle</x:v>
      </x:c>
      <x:c r="H340" s="24" t="str">
        <x:v>—</x:v>
      </x:c>
      <x:c r="I340" s="24" t="str">
        <x:v>—</x:v>
      </x:c>
      <x:c r="J340" s="24" t="str">
        <x:v>Genioglossus; Styloglossus; Hyoglossus; Inferior longitudinal tongue muscle; Superior longitudinal tongue muscle; Transverse tongue muscle; Vertical tongue muscle</x:v>
      </x:c>
      <x:c r="K340" s="24" t="str">
        <x:v>Atlas-listed tendon/aponeurosis examples: Muscular insertion fibers to tongue/hyoid; Styloid origin tendon; Hyoid origin tendon; Intralingual fascicles; additional listed attachments</x:v>
      </x:c>
      <x:c r="L340" s="24" t="str">
        <x:v>TMJ ligament/capsule where relevant; no deliberate ligament stretching</x:v>
      </x:c>
      <x:c r="M340" s="24" t="str">
        <x:v>Muscles: Genioglossus; Styloglossus; Hyoglossus; Inferior longitudinal tongue muscle; Superior longitudinal tongue muscle; Transverse tongue muscle; Vertical tongue muscle | Tendons/fascia: Atlas-listed tendon/aponeurosis examples: Muscular insertion fibers to tongue/hyoid; Styloid origin tendon; Hyoid origin tendon; Intralingual fascicles; additional listed attachments | Ligament context only: TMJ ligament/capsule where relevant; no deliberate ligament stretching</x:v>
      </x:c>
      <x:c r="N340" s="24" t="str">
        <x:v>Low-load activation, not ordinarily to fatigue: Genioglossus; Styloglossus; Hyoglossus</x:v>
      </x:c>
      <x:c r="O340" s="24" t="str">
        <x:v>Extend tongue slightly then retract comfortably without pushing against teeth.</x:v>
      </x:c>
      <x:c r="P340" s="24" t="str">
        <x:v>Mirror</x:v>
      </x:c>
      <x:c r="Q340" s="24" t="str">
        <x:v>1–2 × 5–10 controlled reps</x:v>
      </x:c>
      <x:c r="R340" s="24" t="str">
        <x:v>Progress gradually; stop with sharp pain, dizziness, or numbness.</x:v>
      </x:c>
      <x:c r="S340" s="24" t="str">
        <x:v>https://www.acsm.org/education-resources/trending-topics-resources/physical-activity-guidelines</x:v>
      </x:c>
      <x:c r="T340" s="24" t="str">
        <x:v>Anatomy-based mapping</x:v>
      </x:c>
    </x:row>
    <x:row r="341" ht="54" customHeight="1">
      <x:c r="A341" s="24" t="str">
        <x:v>EX0338</x:v>
      </x:c>
      <x:c r="B341" s="24" t="str">
        <x:v>Tongue tip up/down within mouth</x:v>
      </x:c>
      <x:c r="C341" s="24" t="str">
        <x:v>Head &amp; Face</x:v>
      </x:c>
      <x:c r="D341" s="24" t="str">
        <x:v>Home</x:v>
      </x:c>
      <x:c r="E341" s="24" t="str">
        <x:v>Functional activation</x:v>
      </x:c>
      <x:c r="F341" s="24" t="str">
        <x:v>Inferior longitudinal tongue muscle; Superior longitudinal tongue muscle; Transverse tongue muscle; Vertical tongue muscle; Genioglossus; Styloglossus</x:v>
      </x:c>
      <x:c r="G341" s="24" t="str">
        <x:v>—</x:v>
      </x:c>
      <x:c r="H341" s="24" t="str">
        <x:v>—</x:v>
      </x:c>
      <x:c r="I341" s="24" t="str">
        <x:v>—</x:v>
      </x:c>
      <x:c r="J341" s="24" t="str">
        <x:v>Inferior longitudinal tongue muscle; Superior longitudinal tongue muscle; Transverse tongue muscle; Vertical tongue muscle; Genioglossus; Styloglossus</x:v>
      </x:c>
      <x:c r="K341" s="24" t="str">
        <x:v>Atlas-listed tendon/aponeurosis examples: Intralingual fascicles; Intralingual fibrous septa, no long tendon; Fibrous lingual septum direct origin; Lingual aponeurosis; additional listed attachments</x:v>
      </x:c>
      <x:c r="L341" s="24" t="str">
        <x:v>TMJ ligament/capsule where relevant; no deliberate ligament stretching</x:v>
      </x:c>
      <x:c r="M341" s="24" t="str">
        <x:v>Muscles: Inferior longitudinal tongue muscle; Superior longitudinal tongue muscle; Transverse tongue muscle; Vertical tongue muscle; Genioglossus; Styloglossus | Tendons/fascia: Atlas-listed tendon/aponeurosis examples: Intralingual fascicles; Intralingual fibrous septa, no long tendon; Fibrous lingual septum direct origin; Lingual aponeurosis; additional listed attachments | Ligament context only: TMJ ligament/capsule where relevant; no deliberate ligament stretching</x:v>
      </x:c>
      <x:c r="N341" s="24" t="str">
        <x:v>Low-load activation, not ordinarily to fatigue: Inferior longitudinal tongue muscle; Superior longitudinal tongue muscle; Transverse tongue muscle; Vertical tongue muscle; Genioglossus; Styloglossus</x:v>
      </x:c>
      <x:c r="O341" s="24" t="str">
        <x:v>Touch tip to upper gum ridge then lower gum gently.</x:v>
      </x:c>
      <x:c r="P341" s="24" t="str">
        <x:v>Mirror</x:v>
      </x:c>
      <x:c r="Q341" s="24" t="str">
        <x:v>1–2 × 5–10 controlled reps</x:v>
      </x:c>
      <x:c r="R341" s="24" t="str">
        <x:v>Progress gradually; stop with sharp pain, dizziness, or numbness.</x:v>
      </x:c>
      <x:c r="S341" s="24" t="str">
        <x:v>https://www.acsm.org/education-resources/trending-topics-resources/physical-activity-guidelines</x:v>
      </x:c>
      <x:c r="T341" s="24" t="str">
        <x:v>Anatomy-based mapping</x:v>
      </x:c>
    </x:row>
    <x:row r="342" ht="54" customHeight="1">
      <x:c r="A342" s="24" t="str">
        <x:v>EX0339</x:v>
      </x:c>
      <x:c r="B342" s="24" t="str">
        <x:v>Tongue lateral movement</x:v>
      </x:c>
      <x:c r="C342" s="24" t="str">
        <x:v>Head &amp; Face</x:v>
      </x:c>
      <x:c r="D342" s="24" t="str">
        <x:v>Home</x:v>
      </x:c>
      <x:c r="E342" s="24" t="str">
        <x:v>Functional activation</x:v>
      </x:c>
      <x:c r="F342" s="24" t="str">
        <x:v>Inferior longitudinal tongue muscle; Superior longitudinal tongue muscle; Transverse tongue muscle; Vertical tongue muscle; Styloglossus; Hyoglossus</x:v>
      </x:c>
      <x:c r="G342" s="24" t="str">
        <x:v>—</x:v>
      </x:c>
      <x:c r="H342" s="24" t="str">
        <x:v>—</x:v>
      </x:c>
      <x:c r="I342" s="24" t="str">
        <x:v>—</x:v>
      </x:c>
      <x:c r="J342" s="24" t="str">
        <x:v>Inferior longitudinal tongue muscle; Superior longitudinal tongue muscle; Transverse tongue muscle; Vertical tongue muscle; Styloglossus; Hyoglossus</x:v>
      </x:c>
      <x:c r="K342" s="24" t="str">
        <x:v>Atlas-listed tendon/aponeurosis examples: Intralingual fascicles; Intralingual fibrous septa, no long tendon; Fibrous lingual septum direct origin; Lingual aponeurosis; additional listed attachments</x:v>
      </x:c>
      <x:c r="L342" s="24" t="str">
        <x:v>TMJ ligament/capsule where relevant; no deliberate ligament stretching</x:v>
      </x:c>
      <x:c r="M342" s="24" t="str">
        <x:v>Muscles: Inferior longitudinal tongue muscle; Superior longitudinal tongue muscle; Transverse tongue muscle; Vertical tongue muscle; Styloglossus; Hyoglossus | Tendons/fascia: Atlas-listed tendon/aponeurosis examples: Intralingual fascicles; Intralingual fibrous septa, no long tendon; Fibrous lingual septum direct origin; Lingual aponeurosis; additional listed attachments | Ligament context only: TMJ ligament/capsule where relevant; no deliberate ligament stretching</x:v>
      </x:c>
      <x:c r="N342" s="24" t="str">
        <x:v>Low-load activation, not ordinarily to fatigue: Inferior longitudinal tongue muscle; Superior longitudinal tongue muscle; Transverse tongue muscle; Vertical tongue muscle; Styloglossus; Hyoglossus</x:v>
      </x:c>
      <x:c r="O342" s="24" t="str">
        <x:v>Move tongue side to side inside mouth with jaw still.</x:v>
      </x:c>
      <x:c r="P342" s="24" t="str">
        <x:v>Mirror</x:v>
      </x:c>
      <x:c r="Q342" s="24" t="str">
        <x:v>1–2 × 5–10 controlled reps</x:v>
      </x:c>
      <x:c r="R342" s="24" t="str">
        <x:v>Progress gradually; stop with sharp pain, dizziness, or numbness.</x:v>
      </x:c>
      <x:c r="S342" s="24" t="str">
        <x:v>https://www.acsm.org/education-resources/trending-topics-resources/physical-activity-guidelines</x:v>
      </x:c>
      <x:c r="T342" s="24" t="str">
        <x:v>Anatomy-based mapping</x:v>
      </x:c>
    </x:row>
    <x:row r="343" ht="54" customHeight="1">
      <x:c r="A343" s="24" t="str">
        <x:v>EX0340</x:v>
      </x:c>
      <x:c r="B343" s="24" t="str">
        <x:v>Tongue narrow/widen control</x:v>
      </x:c>
      <x:c r="C343" s="24" t="str">
        <x:v>Head &amp; Face</x:v>
      </x:c>
      <x:c r="D343" s="24" t="str">
        <x:v>Home</x:v>
      </x:c>
      <x:c r="E343" s="24" t="str">
        <x:v>Functional activation</x:v>
      </x:c>
      <x:c r="F343" s="24" t="str">
        <x:v>Transverse tongue muscle; Vertical tongue muscle</x:v>
      </x:c>
      <x:c r="G343" s="24" t="str">
        <x:v>Inferior longitudinal tongue muscle; Superior longitudinal tongue muscle</x:v>
      </x:c>
      <x:c r="H343" s="24" t="str">
        <x:v>—</x:v>
      </x:c>
      <x:c r="I343" s="24" t="str">
        <x:v>—</x:v>
      </x:c>
      <x:c r="J343" s="24" t="str">
        <x:v>Transverse tongue muscle; Vertical tongue muscle; Inferior longitudinal tongue muscle; Superior longitudinal tongue muscle</x:v>
      </x:c>
      <x:c r="K343" s="24" t="str">
        <x:v>Atlas-listed tendon/aponeurosis examples: Fibrous lingual septum direct origin; Lingual aponeurosis; Intralingual fascicles; Intralingual fibrous septa, no long tendon</x:v>
      </x:c>
      <x:c r="L343" s="24" t="str">
        <x:v>TMJ ligament/capsule where relevant; no deliberate ligament stretching</x:v>
      </x:c>
      <x:c r="M343" s="24" t="str">
        <x:v>Muscles: Transverse tongue muscle; Vertical tongue muscle; Inferior longitudinal tongue muscle; Superior longitudinal tongue muscle | Tendons/fascia: Atlas-listed tendon/aponeurosis examples: Fibrous lingual septum direct origin; Lingual aponeurosis; Intralingual fascicles; Intralingual fibrous septa, no long tendon | Ligament context only: TMJ ligament/capsule where relevant; no deliberate ligament stretching</x:v>
      </x:c>
      <x:c r="N343" s="24" t="str">
        <x:v>Low-load activation, not ordinarily to fatigue: Transverse tongue muscle; Vertical tongue muscle</x:v>
      </x:c>
      <x:c r="O343" s="24" t="str">
        <x:v>Gently narrow then flatten tongue on mouth floor.</x:v>
      </x:c>
      <x:c r="P343" s="24" t="str">
        <x:v>Mirror</x:v>
      </x:c>
      <x:c r="Q343" s="24" t="str">
        <x:v>1–2 × 5–10 controlled reps</x:v>
      </x:c>
      <x:c r="R343" s="24" t="str">
        <x:v>Progress gradually; stop with sharp pain, dizziness, or numbness.</x:v>
      </x:c>
      <x:c r="S343" s="24" t="str">
        <x:v>https://www.acsm.org/education-resources/trending-topics-resources/physical-activity-guidelines</x:v>
      </x:c>
      <x:c r="T343" s="24" t="str">
        <x:v>Anatomy-based mapping</x:v>
      </x:c>
    </x:row>
    <x:row r="344" ht="54" customHeight="1">
      <x:c r="A344" s="24" t="str">
        <x:v>EX0341</x:v>
      </x:c>
      <x:c r="B344" s="24" t="str">
        <x:v>Tongue tip curl upward</x:v>
      </x:c>
      <x:c r="C344" s="24" t="str">
        <x:v>Head &amp; Face</x:v>
      </x:c>
      <x:c r="D344" s="24" t="str">
        <x:v>Home</x:v>
      </x:c>
      <x:c r="E344" s="24" t="str">
        <x:v>Functional activation</x:v>
      </x:c>
      <x:c r="F344" s="24" t="str">
        <x:v>Superior longitudinal tongue muscle</x:v>
      </x:c>
      <x:c r="G344" s="24" t="str">
        <x:v>Inferior longitudinal tongue muscle; Transverse tongue muscle; Vertical tongue muscle</x:v>
      </x:c>
      <x:c r="H344" s="24" t="str">
        <x:v>—</x:v>
      </x:c>
      <x:c r="I344" s="24" t="str">
        <x:v>—</x:v>
      </x:c>
      <x:c r="J344" s="24" t="str">
        <x:v>Superior longitudinal tongue muscle; Inferior longitudinal tongue muscle; Transverse tongue muscle; Vertical tongue muscle</x:v>
      </x:c>
      <x:c r="K344" s="24" t="str">
        <x:v>Atlas-listed tendon/aponeurosis examples: Intralingual fibrous septa, no long tendon; Intralingual fascicles; Fibrous lingual septum direct origin; Lingual aponeurosis</x:v>
      </x:c>
      <x:c r="L344" s="24" t="str">
        <x:v>TMJ ligament/capsule where relevant; no deliberate ligament stretching</x:v>
      </x:c>
      <x:c r="M344" s="24" t="str">
        <x:v>Muscles: Superior longitudinal tongue muscle; Inferior longitudinal tongue muscle; Transverse tongue muscle; Vertical tongue muscle | Tendons/fascia: Atlas-listed tendon/aponeurosis examples: Intralingual fibrous septa, no long tendon; Intralingual fascicles; Fibrous lingual septum direct origin; Lingual aponeurosis | Ligament context only: TMJ ligament/capsule where relevant; no deliberate ligament stretching</x:v>
      </x:c>
      <x:c r="N344" s="24" t="str">
        <x:v>Low-load activation, not ordinarily to fatigue: Superior longitudinal tongue muscle</x:v>
      </x:c>
      <x:c r="O344" s="24" t="str">
        <x:v>Curl tongue tip upward inside mouth without force.</x:v>
      </x:c>
      <x:c r="P344" s="24" t="str">
        <x:v>Mirror</x:v>
      </x:c>
      <x:c r="Q344" s="24" t="str">
        <x:v>1–2 × 5–10 controlled reps</x:v>
      </x:c>
      <x:c r="R344" s="24" t="str">
        <x:v>Progress gradually; stop with sharp pain, dizziness, or numbness.</x:v>
      </x:c>
      <x:c r="S344" s="24" t="str">
        <x:v>https://www.acsm.org/education-resources/trending-topics-resources/physical-activity-guidelines</x:v>
      </x:c>
      <x:c r="T344" s="24" t="str">
        <x:v>Anatomy-based mapping</x:v>
      </x:c>
    </x:row>
    <x:row r="345" ht="54" customHeight="1">
      <x:c r="A345" s="24" t="str">
        <x:v>EX0342</x:v>
      </x:c>
      <x:c r="B345" s="24" t="str">
        <x:v>Tongue tip curl downward</x:v>
      </x:c>
      <x:c r="C345" s="24" t="str">
        <x:v>Head &amp; Face</x:v>
      </x:c>
      <x:c r="D345" s="24" t="str">
        <x:v>Home</x:v>
      </x:c>
      <x:c r="E345" s="24" t="str">
        <x:v>Functional activation</x:v>
      </x:c>
      <x:c r="F345" s="24" t="str">
        <x:v>Inferior longitudinal tongue muscle</x:v>
      </x:c>
      <x:c r="G345" s="24" t="str">
        <x:v>Superior longitudinal tongue muscle; Transverse tongue muscle; Vertical tongue muscle</x:v>
      </x:c>
      <x:c r="H345" s="24" t="str">
        <x:v>—</x:v>
      </x:c>
      <x:c r="I345" s="24" t="str">
        <x:v>—</x:v>
      </x:c>
      <x:c r="J345" s="24" t="str">
        <x:v>Inferior longitudinal tongue muscle; Superior longitudinal tongue muscle; Transverse tongue muscle; Vertical tongue muscle</x:v>
      </x:c>
      <x:c r="K345" s="24" t="str">
        <x:v>Atlas-listed tendon/aponeurosis examples: Intralingual fascicles; Intralingual fibrous septa, no long tendon; Fibrous lingual septum direct origin; Lingual aponeurosis</x:v>
      </x:c>
      <x:c r="L345" s="24" t="str">
        <x:v>TMJ ligament/capsule where relevant; no deliberate ligament stretching</x:v>
      </x:c>
      <x:c r="M345" s="24" t="str">
        <x:v>Muscles: Inferior longitudinal tongue muscle; Superior longitudinal tongue muscle; Transverse tongue muscle; Vertical tongue muscle | Tendons/fascia: Atlas-listed tendon/aponeurosis examples: Intralingual fascicles; Intralingual fibrous septa, no long tendon; Fibrous lingual septum direct origin; Lingual aponeurosis | Ligament context only: TMJ ligament/capsule where relevant; no deliberate ligament stretching</x:v>
      </x:c>
      <x:c r="N345" s="24" t="str">
        <x:v>Low-load activation, not ordinarily to fatigue: Inferior longitudinal tongue muscle</x:v>
      </x:c>
      <x:c r="O345" s="24" t="str">
        <x:v>Curl tip down toward lower gum and release.</x:v>
      </x:c>
      <x:c r="P345" s="24" t="str">
        <x:v>Mirror</x:v>
      </x:c>
      <x:c r="Q345" s="24" t="str">
        <x:v>1–2 × 5–10 controlled reps</x:v>
      </x:c>
      <x:c r="R345" s="24" t="str">
        <x:v>Progress gradually; stop with sharp pain, dizziness, or numbness.</x:v>
      </x:c>
      <x:c r="S345" s="24" t="str">
        <x:v>https://www.acsm.org/education-resources/trending-topics-resources/physical-activity-guidelines</x:v>
      </x:c>
      <x:c r="T345" s="24" t="str">
        <x:v>Anatomy-based mapping</x:v>
      </x:c>
    </x:row>
    <x:row r="346" ht="54" customHeight="1">
      <x:c r="A346" s="24" t="str">
        <x:v>EX0343</x:v>
      </x:c>
      <x:c r="B346" s="24" t="str">
        <x:v>Tongue pressure to palate (very gentle)</x:v>
      </x:c>
      <x:c r="C346" s="24" t="str">
        <x:v>Head &amp; Face</x:v>
      </x:c>
      <x:c r="D346" s="24" t="str">
        <x:v>Home</x:v>
      </x:c>
      <x:c r="E346" s="24" t="str">
        <x:v>Motor control</x:v>
      </x:c>
      <x:c r="F346" s="24" t="str">
        <x:v>Genioglossus; Inferior longitudinal tongue muscle; Superior longitudinal tongue muscle; Transverse tongue muscle; Vertical tongue muscle</x:v>
      </x:c>
      <x:c r="G346" s="24" t="str">
        <x:v>Mylohyoid</x:v>
      </x:c>
      <x:c r="H346" s="24" t="str">
        <x:v>—</x:v>
      </x:c>
      <x:c r="I346" s="24" t="str">
        <x:v>—</x:v>
      </x:c>
      <x:c r="J346" s="24" t="str">
        <x:v>Genioglossus; Inferior longitudinal tongue muscle; Superior longitudinal tongue muscle; Transverse tongue muscle; Vertical tongue muscle; Mylohyoid</x:v>
      </x:c>
      <x:c r="K346" s="24" t="str">
        <x:v>Atlas-listed tendon/aponeurosis examples: Muscular insertion fibers to tongue/hyoid; Intralingual fascicles; Intralingual fibrous septa, no long tendon; Fibrous lingual septum direct origin; additional listed attachments</x:v>
      </x:c>
      <x:c r="L346" s="24" t="str">
        <x:v>TMJ ligament/capsule where relevant; no deliberate ligament stretching</x:v>
      </x:c>
      <x:c r="M346" s="24" t="str">
        <x:v>Muscles: Genioglossus; Inferior longitudinal tongue muscle; Superior longitudinal tongue muscle; Transverse tongue muscle; Vertical tongue muscle; Mylohyoid | Tendons/fascia: Atlas-listed tendon/aponeurosis examples: Muscular insertion fibers to tongue/hyoid; Intralingual fascicles; Intralingual fibrous septa, no long tendon; Fibrous lingual septum direct origin; additional listed attachments | Ligament context only: TMJ ligament/capsule where relevant; no deliberate ligament stretching</x:v>
      </x:c>
      <x:c r="N346" s="24" t="str">
        <x:v>Low-load activation, not ordinarily to fatigue: Genioglossus; Inferior longitudinal tongue muscle; Superior longitudinal tongue muscle; Transverse tongue muscle; Vertical tongue muscle</x:v>
      </x:c>
      <x:c r="O346" s="24" t="str">
        <x:v>Rest and lightly press tongue to palate, then relax.</x:v>
      </x:c>
      <x:c r="P346" s="24" t="str">
        <x:v>None</x:v>
      </x:c>
      <x:c r="Q346" s="24" t="str">
        <x:v>1–2 × 5–10 controlled reps</x:v>
      </x:c>
      <x:c r="R346" s="24" t="str">
        <x:v>Medical swallowing therapy requires individual SLP assessment.</x:v>
      </x:c>
      <x:c r="S346" s="24" t="str">
        <x:v>https://www.acsm.org/education-resources/trending-topics-resources/physical-activity-guidelines</x:v>
      </x:c>
      <x:c r="T346" s="24" t="str">
        <x:v>Anatomy-based mapping</x:v>
      </x:c>
    </x:row>
    <x:row r="347" ht="54" customHeight="1">
      <x:c r="A347" s="24" t="str">
        <x:v>EX0344</x:v>
      </x:c>
      <x:c r="B347" s="24" t="str">
        <x:v>Gentle ear wiggle attempt</x:v>
      </x:c>
      <x:c r="C347" s="24" t="str">
        <x:v>Head &amp; Face</x:v>
      </x:c>
      <x:c r="D347" s="24" t="str">
        <x:v>Home</x:v>
      </x:c>
      <x:c r="E347" s="24" t="str">
        <x:v>Functional activation</x:v>
      </x:c>
      <x:c r="F347" s="24" t="str">
        <x:v>Auricularis anterior; Auricularis posterior; Auricularis superior; Temporoparietalis</x:v>
      </x:c>
      <x:c r="G347" s="24" t="str">
        <x:v>—</x:v>
      </x:c>
      <x:c r="H347" s="24" t="str">
        <x:v>—</x:v>
      </x:c>
      <x:c r="I347" s="24" t="str">
        <x:v>—</x:v>
      </x:c>
      <x:c r="J347" s="24" t="str">
        <x:v>Auricularis anterior; Auricularis posterior; Auricularis superior; Temporoparietalis</x:v>
      </x:c>
      <x:c r="K347" s="24" t="str">
        <x:v>Atlas-listed tendon/aponeurosis examples: Fibrous auricular insertion; Small auricular tendons; Epicranial aponeurosis</x:v>
      </x:c>
      <x:c r="L347" s="24" t="str">
        <x:v>TMJ ligament/capsule where relevant; no deliberate ligament stretching</x:v>
      </x:c>
      <x:c r="M347" s="24" t="str">
        <x:v>Muscles: Auricularis anterior; Auricularis posterior; Auricularis superior; Temporoparietalis | Tendons/fascia: Atlas-listed tendon/aponeurosis examples: Fibrous auricular insertion; Small auricular tendons; Epicranial aponeurosis | Ligament context only: TMJ ligament/capsule where relevant; no deliberate ligament stretching</x:v>
      </x:c>
      <x:c r="N347" s="24" t="str">
        <x:v>Low-load activation, not ordinarily to fatigue: Auricularis anterior; Auricularis posterior; Auricularis superior; Temporoparietalis</x:v>
      </x:c>
      <x:c r="O347" s="24" t="str">
        <x:v>Try a voluntary ear movement without scrunching neck; many cannot.</x:v>
      </x:c>
      <x:c r="P347" s="24" t="str">
        <x:v>Mirror</x:v>
      </x:c>
      <x:c r="Q347" s="24" t="str">
        <x:v>1–2 × 5–10 controlled reps</x:v>
      </x:c>
      <x:c r="R347" s="24" t="str">
        <x:v>Optional; not a validated strengthening program.</x:v>
      </x:c>
      <x:c r="S347" s="24" t="str">
        <x:v>https://www.acsm.org/education-resources/trending-topics-resources/physical-activity-guidelines</x:v>
      </x:c>
      <x:c r="T347" s="24" t="str">
        <x:v>Anatomy-based mapping</x:v>
      </x:c>
    </x:row>
    <x:row r="348" ht="54" customHeight="1">
      <x:c r="A348" s="24" t="str">
        <x:v>EX0345</x:v>
      </x:c>
      <x:c r="B348" s="24" t="str">
        <x:v>Soft palate lift by sustained 'ah' (ordinary voice)</x:v>
      </x:c>
      <x:c r="C348" s="24" t="str">
        <x:v>Head &amp; Face</x:v>
      </x:c>
      <x:c r="D348" s="24" t="str">
        <x:v>Home</x:v>
      </x:c>
      <x:c r="E348" s="24" t="str">
        <x:v>Functional activation</x:v>
      </x:c>
      <x:c r="F348" s="24" t="str">
        <x:v>Levator veli palatini; Musculus uvulae; Tensor veli palatini</x:v>
      </x:c>
      <x:c r="G348" s="24" t="str">
        <x:v>Palatoglossus</x:v>
      </x:c>
      <x:c r="H348" s="24" t="str">
        <x:v>—</x:v>
      </x:c>
      <x:c r="I348" s="24" t="str">
        <x:v>—</x:v>
      </x:c>
      <x:c r="J348" s="24" t="str">
        <x:v>Levator veli palatini; Musculus uvulae; Tensor veli palatini; Palatoglossus</x:v>
      </x:c>
      <x:c r="K348" s="24" t="str">
        <x:v>Atlas-listed tendon/aponeurosis examples: Fibrous palatal insertion; Palatine aponeurotic origin; Tendon loops around pterygoid hamulus; Palatine aponeurosis</x:v>
      </x:c>
      <x:c r="L348" s="24" t="str">
        <x:v>TMJ ligament/capsule where relevant; no deliberate ligament stretching</x:v>
      </x:c>
      <x:c r="M348" s="24" t="str">
        <x:v>Muscles: Levator veli palatini; Musculus uvulae; Tensor veli palatini; Palatoglossus | Tendons/fascia: Atlas-listed tendon/aponeurosis examples: Fibrous palatal insertion; Palatine aponeurotic origin; Tendon loops around pterygoid hamulus; Palatine aponeurosis | Ligament context only: TMJ ligament/capsule where relevant; no deliberate ligament stretching</x:v>
      </x:c>
      <x:c r="N348" s="24" t="str">
        <x:v>Low-load activation, not ordinarily to fatigue: Levator veli palatini; Musculus uvulae; Tensor veli palatini</x:v>
      </x:c>
      <x:c r="O348" s="24" t="str">
        <x:v>Say comfortable short 'ah' without loudness or strain.</x:v>
      </x:c>
      <x:c r="P348" s="24" t="str">
        <x:v>None</x:v>
      </x:c>
      <x:c r="Q348" s="24" t="str">
        <x:v>1–2 × 5–10 controlled reps</x:v>
      </x:c>
      <x:c r="R348" s="24" t="str">
        <x:v>Not a replacement for treatment of velopharyngeal dysfunction.</x:v>
      </x:c>
      <x:c r="S348" s="24" t="str">
        <x:v>https://www.acsm.org/education-resources/trending-topics-resources/physical-activity-guidelines</x:v>
      </x:c>
      <x:c r="T348" s="24" t="str">
        <x:v>Anatomy-based mapping</x:v>
      </x:c>
    </x:row>
    <x:row r="349" ht="54" customHeight="1">
      <x:c r="A349" s="24" t="str">
        <x:v>EX0346</x:v>
      </x:c>
      <x:c r="B349" s="24" t="str">
        <x:v>Controlled yawning / palate movement</x:v>
      </x:c>
      <x:c r="C349" s="24" t="str">
        <x:v>Head &amp; Face</x:v>
      </x:c>
      <x:c r="D349" s="24" t="str">
        <x:v>Home</x:v>
      </x:c>
      <x:c r="E349" s="24" t="str">
        <x:v>Functional activation</x:v>
      </x:c>
      <x:c r="F349" s="24" t="str">
        <x:v>Levator veli palatini; Tensor veli palatini; Digastric anterior belly; Digastric posterior belly</x:v>
      </x:c>
      <x:c r="G349" s="24" t="str">
        <x:v>Mylohyoid</x:v>
      </x:c>
      <x:c r="H349" s="24" t="str">
        <x:v>—</x:v>
      </x:c>
      <x:c r="I349" s="24" t="str">
        <x:v>—</x:v>
      </x:c>
      <x:c r="J349" s="24" t="str">
        <x:v>Levator veli palatini; Tensor veli palatini; Digastric anterior belly; Digastric posterior belly; Mylohyoid</x:v>
      </x:c>
      <x:c r="K349" s="24" t="str">
        <x:v>Atlas-listed tendon/aponeurosis examples: Fibrous palatal insertion; Tendon loops around pterygoid hamulus; Digastric intermediate tendon; Median raphe / hyoid tendon</x:v>
      </x:c>
      <x:c r="L349" s="24" t="str">
        <x:v>TMJ ligament/capsule where relevant; no deliberate ligament stretching</x:v>
      </x:c>
      <x:c r="M349" s="24" t="str">
        <x:v>Muscles: Levator veli palatini; Tensor veli palatini; Digastric anterior belly; Digastric posterior belly; Mylohyoid | Tendons/fascia: Atlas-listed tendon/aponeurosis examples: Fibrous palatal insertion; Tendon loops around pterygoid hamulus; Digastric intermediate tendon; Median raphe / hyoid tendon | Ligament context only: TMJ ligament/capsule where relevant; no deliberate ligament stretching</x:v>
      </x:c>
      <x:c r="N349" s="24" t="str">
        <x:v>Low-load activation, not ordinarily to fatigue: Levator veli palatini; Tensor veli palatini; Digastric anterior belly; Digastric posterior belly</x:v>
      </x:c>
      <x:c r="O349" s="24" t="str">
        <x:v>Allow natural gentle yawn; avoid forcing jaw wide.</x:v>
      </x:c>
      <x:c r="P349" s="24" t="str">
        <x:v>None</x:v>
      </x:c>
      <x:c r="Q349" s="24" t="str">
        <x:v>1–2 × 5–10 controlled reps</x:v>
      </x:c>
      <x:c r="R349" s="24" t="str">
        <x:v>Progress gradually; stop with sharp pain, dizziness, or numbness.</x:v>
      </x:c>
      <x:c r="S349" s="24" t="str">
        <x:v>https://www.acsm.org/education-resources/trending-topics-resources/physical-activity-guidelines</x:v>
      </x:c>
      <x:c r="T349" s="24" t="str">
        <x:v>Anatomy-based mapping</x:v>
      </x:c>
    </x:row>
    <x:row r="350" ht="54" customHeight="1">
      <x:c r="A350" s="24" t="str">
        <x:v>EX0347</x:v>
      </x:c>
      <x:c r="B350" s="24" t="str">
        <x:v>Speech articulation: pa-ta-ka softly</x:v>
      </x:c>
      <x:c r="C350" s="24" t="str">
        <x:v>Head &amp; Face</x:v>
      </x:c>
      <x:c r="D350" s="24" t="str">
        <x:v>Home</x:v>
      </x:c>
      <x:c r="E350" s="24" t="str">
        <x:v>Coordination</x:v>
      </x:c>
      <x:c r="F350" s="24" t="str">
        <x:v>Orbicularis oris marginal part; Buccinator; Genioglossus; Inferior longitudinal tongue muscle; Superior longitudinal tongue muscle; Transverse tongue muscle; Vertical tongue muscle</x:v>
      </x:c>
      <x:c r="G350" s="24" t="str">
        <x:v>Levator veli palatini; Omohyoid inferior belly; Omohyoid superior belly; Sternohyoid; Sternothyroid; Thyrohyoid; Geniohyoid; Mylohyoid; Digastric anterior belly; Digastric posterior belly; Stylohyoid</x:v>
      </x:c>
      <x:c r="H350" s="24" t="str">
        <x:v>—</x:v>
      </x:c>
      <x:c r="I350" s="24" t="str">
        <x:v>—</x:v>
      </x:c>
      <x:c r="J350" s="24" t="str">
        <x:v>Orbicularis oris marginal part; Buccinator; Genioglossus; Inferior longitudinal tongue muscle; Superior longitudinal tongue muscle; Transverse tongue muscle; Vertical tongue muscle; Levator veli palatini; Omohyoid inferior belly; Omohyoid superior belly; Sternohyoid; Sternothyroid; Thyrohyoid; Geniohyoid; Mylohyoid; Digastric anterior belly; Digastric posterior belly; Stylohyoid</x:v>
      </x:c>
      <x:c r="K350" s="24" t="str">
        <x:v>Lip and tongue muscular insertions</x:v>
      </x:c>
      <x:c r="L350" s="24" t="str">
        <x:v>TMJ ligament/capsule where relevant; no deliberate ligament stretching</x:v>
      </x:c>
      <x:c r="M350" s="24" t="str">
        <x:v>Muscles: Orbicularis oris marginal part; Buccinator; Genioglossus; Inferior longitudinal tongue muscle; Superior longitudinal tongue muscle; Transverse tongue muscle; Vertical tongue muscle; Levator veli palatini; Omohyoid inferior belly; Omohyoid superior belly; Sternohyoid; Sternothyroid; Thyrohyoid; Geniohyoid; Mylohyoid; Digastric anterior belly; Digastric posterior belly; Stylohyoid | Tendons/fascia: Lip and tongue muscular insertions | Ligament context only: TMJ ligament/capsule where relevant; no deliberate ligament stretching</x:v>
      </x:c>
      <x:c r="N350" s="24" t="str">
        <x:v>Low-load activation, not ordinarily to fatigue: Orbicularis oris marginal part; Buccinator; Genioglossus; Inferior longitudinal tongue muscle; Superior longitudinal tongue muscle; Transverse tongue muscle; Vertical tongue muscle</x:v>
      </x:c>
      <x:c r="O350" s="24" t="str">
        <x:v>Speak 'pa-ta-ka' at comfortable pace for coordination.</x:v>
      </x:c>
      <x:c r="P350" s="24" t="str">
        <x:v>None</x:v>
      </x:c>
      <x:c r="Q350" s="24" t="str">
        <x:v>1–2 × 5–10 controlled reps</x:v>
      </x:c>
      <x:c r="R350" s="24" t="str">
        <x:v>Progress gradually; stop with sharp pain, dizziness, or numbness.</x:v>
      </x:c>
      <x:c r="S350" s="24" t="str">
        <x:v>https://www.acsm.org/education-resources/trending-topics-resources/physical-activity-guidelines</x:v>
      </x:c>
      <x:c r="T350" s="24" t="str">
        <x:v>Anatomy-based mapping</x:v>
      </x:c>
    </x:row>
    <x:row r="351" ht="54" customHeight="1">
      <x:c r="A351" s="24" t="str">
        <x:v>EX0348</x:v>
      </x:c>
      <x:c r="B351" s="24" t="str">
        <x:v>Cheek / lip light straw sip</x:v>
      </x:c>
      <x:c r="C351" s="24" t="str">
        <x:v>Head &amp; Face</x:v>
      </x:c>
      <x:c r="D351" s="24" t="str">
        <x:v>Home</x:v>
      </x:c>
      <x:c r="E351" s="24" t="str">
        <x:v>Functional activation</x:v>
      </x:c>
      <x:c r="F351" s="24" t="str">
        <x:v>Orbicularis oris marginal part; Orbicularis oris peripheral part; Buccinator</x:v>
      </x:c>
      <x:c r="G351" s="24" t="str">
        <x:v>Mylohyoid</x:v>
      </x:c>
      <x:c r="H351" s="24" t="str">
        <x:v>—</x:v>
      </x:c>
      <x:c r="I351" s="24" t="str">
        <x:v>—</x:v>
      </x:c>
      <x:c r="J351" s="24" t="str">
        <x:v>Orbicularis oris marginal part; Orbicularis oris peripheral part; Buccinator; Mylohyoid</x:v>
      </x:c>
      <x:c r="K351" s="24" t="str">
        <x:v>Atlas-listed tendon/aponeurosis examples: Musculofascial modiolus attachments; Modiolus/fascial fiber attachments; Pterygomandibular raphe fibrous origin; Median raphe / hyoid tendon</x:v>
      </x:c>
      <x:c r="L351" s="24" t="str">
        <x:v>TMJ ligament/capsule where relevant; no deliberate ligament stretching</x:v>
      </x:c>
      <x:c r="M351" s="24" t="str">
        <x:v>Muscles: Orbicularis oris marginal part; Orbicularis oris peripheral part; Buccinator; Mylohyoid | Tendons/fascia: Atlas-listed tendon/aponeurosis examples: Musculofascial modiolus attachments; Modiolus/fascial fiber attachments; Pterygomandibular raphe fibrous origin; Median raphe / hyoid tendon | Ligament context only: TMJ ligament/capsule where relevant; no deliberate ligament stretching</x:v>
      </x:c>
      <x:c r="N351" s="24" t="str">
        <x:v>Low-load activation, not ordinarily to fatigue: Orbicularis oris marginal part; Orbicularis oris peripheral part; Buccinator</x:v>
      </x:c>
      <x:c r="O351" s="24" t="str">
        <x:v>Sip water normally through straw only if safe swallowing is established.</x:v>
      </x:c>
      <x:c r="P351" s="24" t="str">
        <x:v>Straw / water</x:v>
      </x:c>
      <x:c r="Q351" s="24" t="str">
        <x:v>1–2 × 5–10 controlled reps</x:v>
      </x:c>
      <x:c r="R351" s="24" t="str">
        <x:v>If choking/coughing on liquids, obtain clinical assessment; do not use as dysphagia exercise.</x:v>
      </x:c>
      <x:c r="S351" s="24" t="str">
        <x:v>https://www.acsm.org/education-resources/trending-topics-resources/physical-activity-guidelines</x:v>
      </x:c>
      <x:c r="T351" s="24" t="str">
        <x:v>Anatomy-based mapping</x:v>
      </x:c>
    </x:row>
    <x:row r="352" ht="54" customHeight="1">
      <x:c r="A352" s="24" t="str">
        <x:v>EX0349</x:v>
      </x:c>
      <x:c r="B352" s="24" t="str">
        <x:v>Conversational phonation gentle vowel</x:v>
      </x:c>
      <x:c r="C352" s="24" t="str">
        <x:v>Pharynx &amp; Larynx</x:v>
      </x:c>
      <x:c r="D352" s="24" t="str">
        <x:v>Home</x:v>
      </x:c>
      <x:c r="E352" s="24" t="str">
        <x:v>Functional activation</x:v>
      </x:c>
      <x:c r="F352" s="24" t="str">
        <x:v>Aryepiglottic muscle; Cricothyroid oblique part; Cricothyroid straight part; Lateral cricoarytenoid; Oblique arytenoid; Posterior cricoarytenoid; Thyroarytenoid; Thyroepiglottic muscle; Transverse arytenoid; Vocalis</x:v>
      </x:c>
      <x:c r="G352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H352" s="24" t="str">
        <x:v>—</x:v>
      </x:c>
      <x:c r="I352" s="24" t="str">
        <x:v>—</x:v>
      </x:c>
      <x:c r="J352" s="24" t="str">
        <x:v>Aryepiglottic muscle; Cricothyroid oblique part; Cricothyroid straight part; Lateral cricoarytenoid; Oblique arytenoid; Posterior cricoarytenoid; Thyroarytenoid; Thyroepiglottic muscle; Transverse arytenoid; Vocalis;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K352" s="24" t="str">
        <x:v>Atlas-listed tendon/aponeurosis examples: Aryepiglottic fold fibrous insertion; Short oblique tendon; Short cartilage-to-cartilage tendon; Arytenoid muscular process tendon; additional listed attachments</x:v>
      </x:c>
      <x:c r="L352" s="24" t="str">
        <x:v>No limb ligament stretched; delicate laryngeal connective tissues are not exercise targets</x:v>
      </x:c>
      <x:c r="M352" s="24" t="str">
        <x:v>Muscles: Aryepiglottic muscle; Cricothyroid oblique part; Cricothyroid straight part; Lateral cricoarytenoid; Oblique arytenoid; Posterior cricoarytenoid; Thyroarytenoid; Thyroepiglottic muscle; Transverse arytenoid; Vocalis;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 | Tendons/fascia: Atlas-listed tendon/aponeurosis examples: Aryepiglottic fold fibrous insertion; Short oblique tendon; Short cartilage-to-cartilage tendon; Arytenoid muscular process tendon; additional listed attachments | Ligament context only: No limb ligament stretched; delicate laryngeal connective tissues are not exercise targets</x:v>
      </x:c>
      <x:c r="N352" s="24" t="str">
        <x:v>Low-load activation, not ordinarily to fatigue: Aryepiglottic muscle; Cricothyroid oblique part; Cricothyroid straight part; Lateral cricoarytenoid; Oblique arytenoid; Posterior cricoarytenoid; Thyroarytenoid; Thyroepiglottic muscle; Transverse arytenoid; Vocalis</x:v>
      </x:c>
      <x:c r="O352" s="24" t="str">
        <x:v>Say an easy vowel at comfortable pitch/volume, without pushing voice.</x:v>
      </x:c>
      <x:c r="P352" s="24" t="str">
        <x:v>None</x:v>
      </x:c>
      <x:c r="Q352" s="24" t="str">
        <x:v>1–2 × 5–10 controlled reps</x:v>
      </x:c>
      <x:c r="R352" s="24" t="str">
        <x:v>For dysphonia use an ENT or SLP assessment; do not force loudness.</x:v>
      </x:c>
      <x:c r="S352" s="24" t="str">
        <x:v>https://www.asha.org/practice-portal/clinical-topics/adult-dysphagia/</x:v>
      </x:c>
      <x:c r="T352" s="24" t="str">
        <x:v>Anatomy-based mapping</x:v>
      </x:c>
    </x:row>
    <x:row r="353" ht="54" customHeight="1">
      <x:c r="A353" s="24" t="str">
        <x:v>EX0350</x:v>
      </x:c>
      <x:c r="B353" s="24" t="str">
        <x:v>Gentle pitch glide ('mmm' to higher/lower)</x:v>
      </x:c>
      <x:c r="C353" s="24" t="str">
        <x:v>Pharynx &amp; Larynx</x:v>
      </x:c>
      <x:c r="D353" s="24" t="str">
        <x:v>Home</x:v>
      </x:c>
      <x:c r="E353" s="24" t="str">
        <x:v>Coordination</x:v>
      </x:c>
      <x:c r="F353" s="24" t="str">
        <x:v>Cricothyroid oblique part; Cricothyroid straight part; Vocalis; Thyroarytenoid; Posterior cricoarytenoid</x:v>
      </x:c>
      <x:c r="G353" s="24" t="str">
        <x:v>Diaphragm costal part; Diaphragm lumbar part / crura; Diaphragm sternal part</x:v>
      </x:c>
      <x:c r="H353" s="24" t="str">
        <x:v>—</x:v>
      </x:c>
      <x:c r="I353" s="24" t="str">
        <x:v>—</x:v>
      </x:c>
      <x:c r="J353" s="24" t="str">
        <x:v>Cricothyroid oblique part; Cricothyroid straight part; Vocalis; Thyroarytenoid; Posterior cricoarytenoid; Diaphragm costal part; Diaphragm lumbar part / crura; Diaphragm sternal part</x:v>
      </x:c>
      <x:c r="K353" s="24" t="str">
        <x:v>Atlas-listed tendon/aponeurosis examples: Short oblique tendon; Short cartilage-to-cartilage tendon; Fibers directly adjacent/attach vocal ligament; Vocal ligament-connected muscle fibers; additional listed attachments</x:v>
      </x:c>
      <x:c r="L353" s="24" t="str">
        <x:v>No limb ligament stretched; delicate laryngeal connective tissues are not exercise targets</x:v>
      </x:c>
      <x:c r="M353" s="24" t="str">
        <x:v>Muscles: Cricothyroid oblique part; Cricothyroid straight part; Vocalis; Thyroarytenoid; Posterior cricoarytenoid; Diaphragm costal part; Diaphragm lumbar part / crura; Diaphragm sternal part | Tendons/fascia: Atlas-listed tendon/aponeurosis examples: Short oblique tendon; Short cartilage-to-cartilage tendon; Fibers directly adjacent/attach vocal ligament; Vocal ligament-connected muscle fibers; additional listed attachments | Ligament context only: No limb ligament stretched; delicate laryngeal connective tissues are not exercise targets</x:v>
      </x:c>
      <x:c r="N353" s="24" t="str">
        <x:v>Low-load activation, not ordinarily to fatigue: Cricothyroid oblique part; Cricothyroid straight part; Vocalis; Thyroarytenoid; Posterior cricoarytenoid</x:v>
      </x:c>
      <x:c r="O353" s="24" t="str">
        <x:v>Hum softly from a comfortable low to modestly high pitch and back.</x:v>
      </x:c>
      <x:c r="P353" s="24" t="str">
        <x:v>None</x:v>
      </x:c>
      <x:c r="Q353" s="24" t="str">
        <x:v>1–2 × 5–10 controlled reps</x:v>
      </x:c>
      <x:c r="R353" s="24" t="str">
        <x:v>Discontinue if throat pain, fatigue, or hoarseness.</x:v>
      </x:c>
      <x:c r="S353" s="24" t="str">
        <x:v>https://www.asha.org/practice-portal/clinical-topics/adult-dysphagia/</x:v>
      </x:c>
      <x:c r="T353" s="24" t="str">
        <x:v>Anatomy-based mapping</x:v>
      </x:c>
    </x:row>
    <x:row r="354" ht="54" customHeight="1">
      <x:c r="A354" s="24" t="str">
        <x:v>EX0351</x:v>
      </x:c>
      <x:c r="B354" s="24" t="str">
        <x:v>Soft humming with comfortable breath</x:v>
      </x:c>
      <x:c r="C354" s="24" t="str">
        <x:v>Pharynx &amp; Larynx</x:v>
      </x:c>
      <x:c r="D354" s="24" t="str">
        <x:v>Home</x:v>
      </x:c>
      <x:c r="E354" s="24" t="str">
        <x:v>Functional activation</x:v>
      </x:c>
      <x:c r="F354" s="24" t="str">
        <x:v>Aryepiglottic muscle; Cricothyroid oblique part; Cricothyroid straight part; Lateral cricoarytenoid; Oblique arytenoid; Posterior cricoarytenoid; Thyroarytenoid; Thyroepiglottic muscle; Transverse arytenoid; Vocalis</x:v>
      </x:c>
      <x:c r="G354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H354" s="24" t="str">
        <x:v>—</x:v>
      </x:c>
      <x:c r="I354" s="24" t="str">
        <x:v>—</x:v>
      </x:c>
      <x:c r="J354" s="24" t="str">
        <x:v>Aryepiglottic muscle; Cricothyroid oblique part; Cricothyroid straight part; Lateral cricoarytenoid; Oblique arytenoid; Posterior cricoarytenoid; Thyroarytenoid; Thyroepiglottic muscle; Transverse arytenoid; Vocalis;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K354" s="24" t="str">
        <x:v>Atlas-listed tendon/aponeurosis examples: Aryepiglottic fold fibrous insertion; Short oblique tendon; Short cartilage-to-cartilage tendon; Arytenoid muscular process tendon; additional listed attachments</x:v>
      </x:c>
      <x:c r="L354" s="24" t="str">
        <x:v>No limb ligament stretched; delicate laryngeal connective tissues are not exercise targets</x:v>
      </x:c>
      <x:c r="M354" s="24" t="str">
        <x:v>Muscles: Aryepiglottic muscle; Cricothyroid oblique part; Cricothyroid straight part; Lateral cricoarytenoid; Oblique arytenoid; Posterior cricoarytenoid; Thyroarytenoid; Thyroepiglottic muscle; Transverse arytenoid; Vocalis;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 | Tendons/fascia: Atlas-listed tendon/aponeurosis examples: Aryepiglottic fold fibrous insertion; Short oblique tendon; Short cartilage-to-cartilage tendon; Arytenoid muscular process tendon; additional listed attachments | Ligament context only: No limb ligament stretched; delicate laryngeal connective tissues are not exercise targets</x:v>
      </x:c>
      <x:c r="N354" s="24" t="str">
        <x:v>Low-load activation, not ordinarily to fatigue: Aryepiglottic muscle; Cricothyroid oblique part; Cricothyroid straight part; Lateral cricoarytenoid; Oblique arytenoid; Posterior cricoarytenoid; Thyroarytenoid; Thyroepiglottic muscle; Transverse arytenoid; Vocalis</x:v>
      </x:c>
      <x:c r="O354" s="24" t="str">
        <x:v>Hum quietly on exhalation, relaxed throat and jaw.</x:v>
      </x:c>
      <x:c r="P354" s="24" t="str">
        <x:v>None</x:v>
      </x:c>
      <x:c r="Q354" s="24" t="str">
        <x:v>1–2 × 5–10 controlled reps</x:v>
      </x:c>
      <x:c r="R354" s="24" t="str">
        <x:v>Progress gradually; stop with sharp pain, dizziness, or numbness.</x:v>
      </x:c>
      <x:c r="S354" s="24" t="str">
        <x:v>https://www.asha.org/practice-portal/clinical-topics/adult-dysphagia/</x:v>
      </x:c>
      <x:c r="T354" s="24" t="str">
        <x:v>Anatomy-based mapping</x:v>
      </x:c>
    </x:row>
    <x:row r="355" ht="54" customHeight="1">
      <x:c r="A355" s="24" t="str">
        <x:v>EX0352</x:v>
      </x:c>
      <x:c r="B355" s="24" t="str">
        <x:v>Ordinary voluntary swallow (function only)</x:v>
      </x:c>
      <x:c r="C355" s="24" t="str">
        <x:v>Pharynx &amp; Larynx</x:v>
      </x:c>
      <x:c r="D355" s="24" t="str">
        <x:v>Home</x:v>
      </x:c>
      <x:c r="E355" s="24" t="str">
        <x:v>Functional activation</x:v>
      </x:c>
      <x:c r="F355" s="24" t="str">
        <x:v>Inferior pharyngeal constrictor thyropharyngeus; Inferior pharyngeal constrictor cricopharyngeus; Middle pharyngeal constrictor; Superior pharyngeal constrictor; Salpingopharyngeus; Stylopharyngeus; Palatopharyngeus; Palatoglossus; Levator veli palatini; Musculus uvulae; Tensor veli palatini; Omohyoid inferior belly; Omohyoid superior belly; Sternohyoid; Sternothyroid; Thyrohyoid; Geniohyoid; Mylohyoid; Digastric anterior belly; Digastric posterior belly; Stylohyoid; Genioglossus; Hyoglossus; Styloglossus; Inferior longitudinal tongue muscle; Superior longitudinal tongue muscle; Transverse tongue muscle; Vertical tongue muscle</x:v>
      </x:c>
      <x:c r="G355" s="24" t="str">
        <x:v>Aryepiglottic muscle; Cricothyroid oblique part; Cricothyroid straight part; Lateral cricoarytenoid; Oblique arytenoid; Posterior cricoarytenoid; Thyroarytenoid; Thyroepiglottic muscle; Transverse arytenoid; Vocalis</x:v>
      </x:c>
      <x:c r="H355" s="24" t="str">
        <x:v>—</x:v>
      </x:c>
      <x:c r="I355" s="24" t="str">
        <x:v>—</x:v>
      </x:c>
      <x:c r="J355" s="24" t="str">
        <x:v>Inferior pharyngeal constrictor thyropharyngeus; Inferior pharyngeal constrictor cricopharyngeus; Middle pharyngeal constrictor; Superior pharyngeal constrictor; Salpingopharyngeus; Stylopharyngeus; Palatopharyngeus; Palatoglossus; Levator veli palatini; Musculus uvulae; Tensor veli palatini; Omohyoid inferior belly; Omohyoid superior belly; Sternohyoid; Sternothyroid; Thyrohyoid; Geniohyoid; Mylohyoid; Digastric anterior belly; Digastric posterior belly; Stylohyoid; Genioglossus; Hyoglossus; Styloglossus; Inferior longitudinal tongue muscle; Superior longitudinal tongue muscle; Transverse tongue muscle; Vertical tongue muscle; Aryepiglottic muscle; Cricothyroid oblique part; Cricothyroid straight part; Lateral cricoarytenoid; Oblique arytenoid; Posterior cricoarytenoid; Thyroarytenoid; Thyroepiglottic muscle; Transverse arytenoid; Vocalis</x:v>
      </x:c>
      <x:c r="K355" s="24" t="str">
        <x:v>Atlas-listed tendon/aponeurosis examples: Pharyngeal raphe; Circular fibromuscular attachment; Pharyngeal raphe fibrous insertion; Pharyngeal fascial insertion; additional listed attachments</x:v>
      </x:c>
      <x:c r="L355" s="24" t="str">
        <x:v>No limb ligament stretched; delicate laryngeal connective tissues are not exercise targets</x:v>
      </x:c>
      <x:c r="M355" s="24" t="str">
        <x:v>Muscles: Inferior pharyngeal constrictor thyropharyngeus; Inferior pharyngeal constrictor cricopharyngeus; Middle pharyngeal constrictor; Superior pharyngeal constrictor; Salpingopharyngeus; Stylopharyngeus; Palatopharyngeus; Palatoglossus; Levator veli palatini; Musculus uvulae; Tensor veli palatini; Omohyoid inferior belly; Omohyoid superior belly; Sternohyoid; Sternothyroid; Thyrohyoid; Geniohyoid; Mylohyoid; Digastric anterior belly; Digastric posterior belly; Stylohyoid; Genioglossus; Hyoglossus; Styloglossus; Inferior longitudinal tongue muscle; Superior longitudinal tongue muscle; Transverse tongue muscle; Vertical tongue muscle; Aryepiglottic muscle; Cricothyroid oblique part; Cricothyroid straight part; Lateral cricoarytenoid; Oblique arytenoid; Posterior cricoarytenoid; Thyroarytenoid; Thyroepiglottic muscle; Transverse arytenoid; Vocalis | Tendons/fascia: Atlas-listed tendon/aponeurosis examples: Pharyngeal raphe; Circular fibromuscular attachment; Pharyngeal raphe fibrous insertion; Pharyngeal fascial insertion; additional listed attachments | Ligament context only: No limb ligament stretched; delicate laryngeal connective tissues are not exercise targets</x:v>
      </x:c>
      <x:c r="N355" s="24" t="str">
        <x:v>Low-load activation, not ordinarily to fatigue: Inferior pharyngeal constrictor thyropharyngeus; Inferior pharyngeal constrictor cricopharyngeus; Middle pharyngeal constrictor; Superior pharyngeal constrictor; Salpingopharyngeus; Stylopharyngeus; Palatopharyngeus; Palatoglossus; Levator veli palatini; Musculus uvulae; Tensor veli palatini; Omohyoid inferior belly; Omohyoid superior belly; Sternohyoid; Sternothyroid; Thyrohyoid; Geniohyoid; Mylohyoid; Digastric anterior belly; Digastric posterior belly; Stylohyoid; Genioglossus; Hyoglossus; Styloglossus; Inferior longitudinal tongue muscle; Superior longitudinal tongue muscle; Transverse tongue muscle; Vertical tongue muscle</x:v>
      </x:c>
      <x:c r="O355" s="24" t="str">
        <x:v>Swallow saliva normally as needed; do not repetitively train swallows.</x:v>
      </x:c>
      <x:c r="P355" s="24" t="str">
        <x:v>None</x:v>
      </x:c>
      <x:c r="Q355" s="24" t="str">
        <x:v>1–2 × 5–10 controlled reps</x:v>
      </x:c>
      <x:c r="R355" s="24" t="str">
        <x:v>This is normal function, NOT a dysphagia rehabilitation prescription.</x:v>
      </x:c>
      <x:c r="S355" s="24" t="str">
        <x:v>https://www.asha.org/practice-portal/clinical-topics/adult-dysphagia/</x:v>
      </x:c>
      <x:c r="T355" s="24" t="str">
        <x:v>Anatomy-based mapping</x:v>
      </x:c>
    </x:row>
    <x:row r="356" ht="54" customHeight="1">
      <x:c r="A356" s="24" t="str">
        <x:v>EX0353</x:v>
      </x:c>
      <x:c r="B356" s="24" t="str">
        <x:v>Controlled soft-palate phonation (gentle nasal/oral contrast)</x:v>
      </x:c>
      <x:c r="C356" s="24" t="str">
        <x:v>Pharynx &amp; Larynx</x:v>
      </x:c>
      <x:c r="D356" s="24" t="str">
        <x:v>Home</x:v>
      </x:c>
      <x:c r="E356" s="24" t="str">
        <x:v>Coordination</x:v>
      </x:c>
      <x:c r="F356" s="24" t="str">
        <x:v>Levator veli palatini; Palatopharyngeus; Musculus uvulae; Palatoglossus</x:v>
      </x:c>
      <x:c r="G356" s="24" t="str">
        <x:v>Aryepiglottic muscle; Cricothyroid oblique part; Cricothyroid straight part; Lateral cricoarytenoid; Oblique arytenoid; Posterior cricoarytenoid; Thyroarytenoid; Thyroepiglottic muscle; Transverse arytenoid; Vocalis</x:v>
      </x:c>
      <x:c r="H356" s="24" t="str">
        <x:v>—</x:v>
      </x:c>
      <x:c r="I356" s="24" t="str">
        <x:v>—</x:v>
      </x:c>
      <x:c r="J356" s="24" t="str">
        <x:v>Levator veli palatini; Palatopharyngeus; Musculus uvulae; Palatoglossus; Aryepiglottic muscle; Cricothyroid oblique part; Cricothyroid straight part; Lateral cricoarytenoid; Oblique arytenoid; Posterior cricoarytenoid; Thyroarytenoid; Thyroepiglottic muscle; Transverse arytenoid; Vocalis</x:v>
      </x:c>
      <x:c r="K356" s="24" t="str">
        <x:v>Atlas-listed tendon/aponeurosis examples: Fibrous palatal insertion; Palatine aponeurosis origin; Palatine aponeurotic origin; Palatine aponeurosis; additional listed attachments</x:v>
      </x:c>
      <x:c r="L356" s="24" t="str">
        <x:v>No limb ligament stretched; delicate laryngeal connective tissues are not exercise targets</x:v>
      </x:c>
      <x:c r="M356" s="24" t="str">
        <x:v>Muscles: Levator veli palatini; Palatopharyngeus; Musculus uvulae; Palatoglossus; Aryepiglottic muscle; Cricothyroid oblique part; Cricothyroid straight part; Lateral cricoarytenoid; Oblique arytenoid; Posterior cricoarytenoid; Thyroarytenoid; Thyroepiglottic muscle; Transverse arytenoid; Vocalis | Tendons/fascia: Atlas-listed tendon/aponeurosis examples: Fibrous palatal insertion; Palatine aponeurosis origin; Palatine aponeurotic origin; Palatine aponeurosis; additional listed attachments | Ligament context only: No limb ligament stretched; delicate laryngeal connective tissues are not exercise targets</x:v>
      </x:c>
      <x:c r="N356" s="24" t="str">
        <x:v>Low-load activation, not ordinarily to fatigue: Levator veli palatini; Palatopharyngeus; Musculus uvulae; Palatoglossus</x:v>
      </x:c>
      <x:c r="O356" s="24" t="str">
        <x:v>Compare quiet 'mm' and 'ah' while maintaining normal breathing.</x:v>
      </x:c>
      <x:c r="P356" s="24" t="str">
        <x:v>None</x:v>
      </x:c>
      <x:c r="Q356" s="24" t="str">
        <x:v>1–2 × 5–10 controlled reps</x:v>
      </x:c>
      <x:c r="R356" s="24" t="str">
        <x:v>Not a medical therapy for resonance or swallowing dysfunction.</x:v>
      </x:c>
      <x:c r="S356" s="24" t="str">
        <x:v>https://www.asha.org/practice-portal/clinical-topics/adult-dysphagia/</x:v>
      </x:c>
      <x:c r="T356" s="24" t="str">
        <x:v>Anatomy-based mapping</x:v>
      </x:c>
    </x:row>
    <x:row r="357" ht="54" customHeight="1">
      <x:c r="A357" s="24" t="str">
        <x:v>EX0354</x:v>
      </x:c>
      <x:c r="B357" s="24" t="str">
        <x:v>Horizontal gaze shifting (coordination)</x:v>
      </x:c>
      <x:c r="C357" s="24" t="str">
        <x:v>Eye &amp; Ear</x:v>
      </x:c>
      <x:c r="D357" s="24" t="str">
        <x:v>Home</x:v>
      </x:c>
      <x:c r="E357" s="24" t="str">
        <x:v>Coordination</x:v>
      </x:c>
      <x:c r="F357" s="24" t="str">
        <x:v>Medial rectus (eye); Lateral rectus (eye)</x:v>
      </x:c>
      <x:c r="G357" s="24" t="str">
        <x:v>—</x:v>
      </x:c>
      <x:c r="H357" s="24" t="str">
        <x:v>—</x:v>
      </x:c>
      <x:c r="I357" s="24" t="str">
        <x:v>—</x:v>
      </x:c>
      <x:c r="J357" s="24" t="str">
        <x:v>Medial rectus (eye); Lateral rectus (eye)</x:v>
      </x:c>
      <x:c r="K357" s="24" t="str">
        <x:v>Atlas-listed tendon/aponeurosis examples: Medial rectus insertion tendon; Lateral rectus insertion tendon</x:v>
      </x:c>
      <x:c r="L357" s="24" t="str">
        <x:v>No ocular/auricular ligament intentionally stressed; eye drills are coordination only</x:v>
      </x:c>
      <x:c r="M357" s="24" t="str">
        <x:v>Muscles: Medial rectus (eye); Lateral rectus (eye) | Tendons/fascia: Atlas-listed tendon/aponeurosis examples: Medial rectus insertion tendon; Lateral rectus insertion tendon | Ligament context only: No ocular/auricular ligament intentionally stressed; eye drills are coordination only</x:v>
      </x:c>
      <x:c r="N357" s="24" t="str">
        <x:v>Low-load activation, not ordinarily to fatigue: Medial rectus (eye); Lateral rectus (eye)</x:v>
      </x:c>
      <x:c r="O357" s="24" t="str">
        <x:v>Without moving head, shift gaze between two comfortable targets.</x:v>
      </x:c>
      <x:c r="P357" s="24" t="str">
        <x:v>Two visual targets</x:v>
      </x:c>
      <x:c r="Q357" s="24" t="str">
        <x:v>1–2 × 5–10 controlled reps</x:v>
      </x:c>
      <x:c r="R357" s="24" t="str">
        <x:v>This coordinates gaze; not proven to improve refractive error or eyesight.</x:v>
      </x:c>
      <x:c r="S357" s="24" t="str">
        <x:v>https://www.nei.nih.gov/learn-about-eye-health/healthy-vision/keep-your-eyes-healthy</x:v>
      </x:c>
      <x:c r="T357" s="24" t="str">
        <x:v>Anatomy-based mapping</x:v>
      </x:c>
    </x:row>
    <x:row r="358" ht="54" customHeight="1">
      <x:c r="A358" s="24" t="str">
        <x:v>EX0355</x:v>
      </x:c>
      <x:c r="B358" s="24" t="str">
        <x:v>Vertical gaze shifting (coordination)</x:v>
      </x:c>
      <x:c r="C358" s="24" t="str">
        <x:v>Eye &amp; Ear</x:v>
      </x:c>
      <x:c r="D358" s="24" t="str">
        <x:v>Home</x:v>
      </x:c>
      <x:c r="E358" s="24" t="str">
        <x:v>Coordination</x:v>
      </x:c>
      <x:c r="F358" s="24" t="str">
        <x:v>Superior rectus (eye); Inferior rectus (eye); Superior oblique (eye); Inferior oblique (eye)</x:v>
      </x:c>
      <x:c r="G358" s="24" t="str">
        <x:v>—</x:v>
      </x:c>
      <x:c r="H358" s="24" t="str">
        <x:v>—</x:v>
      </x:c>
      <x:c r="I358" s="24" t="str">
        <x:v>—</x:v>
      </x:c>
      <x:c r="J358" s="24" t="str">
        <x:v>Superior rectus (eye); Inferior rectus (eye); Superior oblique (eye); Inferior oblique (eye)</x:v>
      </x:c>
      <x:c r="K358" s="24" t="str">
        <x:v>Atlas-listed tendon/aponeurosis examples: Superior rectus insertion tendon; Inferior rectus insertion tendon; Superior oblique tendon through trochlea; Inferior oblique distal tendon</x:v>
      </x:c>
      <x:c r="L358" s="24" t="str">
        <x:v>No ocular/auricular ligament intentionally stressed; eye drills are coordination only</x:v>
      </x:c>
      <x:c r="M358" s="24" t="str">
        <x:v>Muscles: Superior rectus (eye); Inferior rectus (eye); Superior oblique (eye); Inferior oblique (eye) | Tendons/fascia: Atlas-listed tendon/aponeurosis examples: Superior rectus insertion tendon; Inferior rectus insertion tendon; Superior oblique tendon through trochlea; Inferior oblique distal tendon | Ligament context only: No ocular/auricular ligament intentionally stressed; eye drills are coordination only</x:v>
      </x:c>
      <x:c r="N358" s="24" t="str">
        <x:v>Low-load activation, not ordinarily to fatigue: Superior rectus (eye); Inferior rectus (eye); Superior oblique (eye); Inferior oblique (eye)</x:v>
      </x:c>
      <x:c r="O358" s="24" t="str">
        <x:v>Shift gaze slowly between eye-level and modest up/down targets.</x:v>
      </x:c>
      <x:c r="P358" s="24" t="str">
        <x:v>Two visual targets</x:v>
      </x:c>
      <x:c r="Q358" s="24" t="str">
        <x:v>1–2 × 5–10 controlled reps</x:v>
      </x:c>
      <x:c r="R358" s="24" t="str">
        <x:v>Not a vision-correction exercise.</x:v>
      </x:c>
      <x:c r="S358" s="24" t="str">
        <x:v>https://www.nei.nih.gov/learn-about-eye-health/healthy-vision/keep-your-eyes-healthy</x:v>
      </x:c>
      <x:c r="T358" s="24" t="str">
        <x:v>Anatomy-based mapping</x:v>
      </x:c>
    </x:row>
    <x:row r="359" ht="54" customHeight="1">
      <x:c r="A359" s="24" t="str">
        <x:v>EX0356</x:v>
      </x:c>
      <x:c r="B359" s="24" t="str">
        <x:v>Near-far focus changing (comfort/coordination)</x:v>
      </x:c>
      <x:c r="C359" s="24" t="str">
        <x:v>Eye &amp; Ear</x:v>
      </x:c>
      <x:c r="D359" s="24" t="str">
        <x:v>Home</x:v>
      </x:c>
      <x:c r="E359" s="24" t="str">
        <x:v>Coordination</x:v>
      </x:c>
      <x:c r="F359" s="24" t="str">
        <x:v>Medial rectus (eye); Lateral rectus (eye)</x:v>
      </x:c>
      <x:c r="G359" s="24" t="str">
        <x:v>—</x:v>
      </x:c>
      <x:c r="H359" s="24" t="str">
        <x:v>—</x:v>
      </x:c>
      <x:c r="I359" s="24" t="str">
        <x:v>—</x:v>
      </x:c>
      <x:c r="J359" s="24" t="str">
        <x:v>Medial rectus (eye); Lateral rectus (eye)</x:v>
      </x:c>
      <x:c r="K359" s="24" t="str">
        <x:v>Atlas-listed tendon/aponeurosis examples: Medial rectus insertion tendon; Lateral rectus insertion tendon</x:v>
      </x:c>
      <x:c r="L359" s="24" t="str">
        <x:v>No ocular/auricular ligament intentionally stressed; eye drills are coordination only</x:v>
      </x:c>
      <x:c r="M359" s="24" t="str">
        <x:v>Muscles: Medial rectus (eye); Lateral rectus (eye) | Tendons/fascia: Atlas-listed tendon/aponeurosis examples: Medial rectus insertion tendon; Lateral rectus insertion tendon | Ligament context only: No ocular/auricular ligament intentionally stressed; eye drills are coordination only</x:v>
      </x:c>
      <x:c r="N359" s="24" t="str">
        <x:v>Low-load activation, not ordinarily to fatigue: Medial rectus (eye); Lateral rectus (eye)</x:v>
      </x:c>
      <x:c r="O359" s="24" t="str">
        <x:v>Look between near and distant targets comfortably, blinking naturally.</x:v>
      </x:c>
      <x:c r="P359" s="24" t="str">
        <x:v>Near/distant targets</x:v>
      </x:c>
      <x:c r="Q359" s="24" t="str">
        <x:v>1–2 × 5–10 controlled reps</x:v>
      </x:c>
      <x:c r="R359" s="24" t="str">
        <x:v>Not a treatment for refractive errors or binocular vision disorders.</x:v>
      </x:c>
      <x:c r="S359" s="24" t="str">
        <x:v>https://www.nei.nih.gov/learn-about-eye-health/healthy-vision/keep-your-eyes-healthy</x:v>
      </x:c>
      <x:c r="T359" s="24" t="str">
        <x:v>Anatomy-based mapping</x:v>
      </x:c>
    </x:row>
    <x:row r="360" ht="54" customHeight="1">
      <x:c r="A360" s="24" t="str">
        <x:v>EX0357</x:v>
      </x:c>
      <x:c r="B360" s="24" t="str">
        <x:v>Smooth pursuit finger tracking (coordination)</x:v>
      </x:c>
      <x:c r="C360" s="24" t="str">
        <x:v>Eye &amp; Ear</x:v>
      </x:c>
      <x:c r="D360" s="24" t="str">
        <x:v>Home</x:v>
      </x:c>
      <x:c r="E360" s="24" t="str">
        <x:v>Coordination</x:v>
      </x:c>
      <x:c r="F360" s="24" t="str">
        <x:v>Inferior oblique (eye); Inferior rectus (eye); Lateral rectus (eye); Medial rectus (eye); Superior oblique (eye); Superior rectus (eye)</x:v>
      </x:c>
      <x:c r="G360" s="24" t="str">
        <x:v>—</x:v>
      </x:c>
      <x:c r="H360" s="24" t="str">
        <x:v>—</x:v>
      </x:c>
      <x:c r="I360" s="24" t="str">
        <x:v>—</x:v>
      </x:c>
      <x:c r="J360" s="24" t="str">
        <x:v>Inferior oblique (eye); Inferior rectus (eye); Lateral rectus (eye); Medial rectus (eye); Superior oblique (eye); Superior rectus (eye)</x:v>
      </x:c>
      <x:c r="K360" s="24" t="str">
        <x:v>Atlas-listed tendon/aponeurosis examples: Inferior oblique distal tendon; Inferior rectus insertion tendon; Lateral rectus insertion tendon; Medial rectus insertion tendon; additional listed attachments</x:v>
      </x:c>
      <x:c r="L360" s="24" t="str">
        <x:v>No ocular/auricular ligament intentionally stressed; eye drills are coordination only</x:v>
      </x:c>
      <x:c r="M360" s="24" t="str">
        <x:v>Muscles: Inferior oblique (eye); Inferior rectus (eye); Lateral rectus (eye); Medial rectus (eye); Superior oblique (eye); Superior rectus (eye) | Tendons/fascia: Atlas-listed tendon/aponeurosis examples: Inferior oblique distal tendon; Inferior rectus insertion tendon; Lateral rectus insertion tendon; Medial rectus insertion tendon; additional listed attachments | Ligament context only: No ocular/auricular ligament intentionally stressed; eye drills are coordination only</x:v>
      </x:c>
      <x:c r="N360" s="24" t="str">
        <x:v>Low-load activation, not ordinarily to fatigue: Inferior oblique (eye); Inferior rectus (eye); Lateral rectus (eye); Medial rectus (eye); Superior oblique (eye); Superior rectus (eye)</x:v>
      </x:c>
      <x:c r="O360" s="24" t="str">
        <x:v>Follow slow moving fingertip without moving head; stop if symptoms arise.</x:v>
      </x:c>
      <x:c r="P360" s="24" t="str">
        <x:v>Finger</x:v>
      </x:c>
      <x:c r="Q360" s="24" t="str">
        <x:v>1–2 × 5–10 controlled reps</x:v>
      </x:c>
      <x:c r="R360" s="24" t="str">
        <x:v>Seek optometry/neuro-ophthalmology for diplopia or dizziness.</x:v>
      </x:c>
      <x:c r="S360" s="24" t="str">
        <x:v>https://www.nei.nih.gov/learn-about-eye-health/healthy-vision/keep-your-eyes-healthy</x:v>
      </x:c>
      <x:c r="T360" s="24" t="str">
        <x:v>Anatomy-based mapping</x:v>
      </x:c>
    </x:row>
    <x:row r="361" ht="54" customHeight="1">
      <x:c r="A361" s="24" t="str">
        <x:v>EX0358</x:v>
      </x:c>
      <x:c r="B361" s="24" t="str">
        <x:v>Voluntary eyelid raise and relax</x:v>
      </x:c>
      <x:c r="C361" s="24" t="str">
        <x:v>Eye &amp; Ear</x:v>
      </x:c>
      <x:c r="D361" s="24" t="str">
        <x:v>Home</x:v>
      </x:c>
      <x:c r="E361" s="24" t="str">
        <x:v>Functional activation</x:v>
      </x:c>
      <x:c r="F361" s="24" t="str">
        <x:v>Levator palpebrae superioris</x:v>
      </x:c>
      <x:c r="G361" s="24" t="str">
        <x:v>Orbicularis oculi palpebral part</x:v>
      </x:c>
      <x:c r="H361" s="24" t="str">
        <x:v>—</x:v>
      </x:c>
      <x:c r="I361" s="24" t="str">
        <x:v>—</x:v>
      </x:c>
      <x:c r="J361" s="24" t="str">
        <x:v>Levator palpebrae superioris; Orbicularis oculi palpebral part</x:v>
      </x:c>
      <x:c r="K361" s="24" t="str">
        <x:v>Atlas-listed tendon/aponeurosis examples: Levator palpebrae aponeurosis; Palpebral raphe fibrous attachment</x:v>
      </x:c>
      <x:c r="L361" s="24" t="str">
        <x:v>No ocular/auricular ligament intentionally stressed; eye drills are coordination only</x:v>
      </x:c>
      <x:c r="M361" s="24" t="str">
        <x:v>Muscles: Levator palpebrae superioris; Orbicularis oculi palpebral part | Tendons/fascia: Atlas-listed tendon/aponeurosis examples: Levator palpebrae aponeurosis; Palpebral raphe fibrous attachment | Ligament context only: No ocular/auricular ligament intentionally stressed; eye drills are coordination only</x:v>
      </x:c>
      <x:c r="N361" s="24" t="str">
        <x:v>Low-load activation, not ordinarily to fatigue: Levator palpebrae superioris</x:v>
      </x:c>
      <x:c r="O361" s="24" t="str">
        <x:v>Open eyes comfortably, then soften eyelids without force.</x:v>
      </x:c>
      <x:c r="P361" s="24" t="str">
        <x:v>Mirror</x:v>
      </x:c>
      <x:c r="Q361" s="24" t="str">
        <x:v>1–2 × 5–10 controlled reps</x:v>
      </x:c>
      <x:c r="R361" s="24" t="str">
        <x:v>Progress gradually; stop with sharp pain, dizziness, or numbness.</x:v>
      </x:c>
      <x:c r="S361" s="24" t="str">
        <x:v>https://www.nei.nih.gov/learn-about-eye-health/healthy-vision/keep-your-eyes-healthy</x:v>
      </x:c>
      <x:c r="T361" s="24" t="str">
        <x:v>Anatomy-based mapping</x:v>
      </x:c>
    </x:row>
    <x:row r="362" ht="54" customHeight="1">
      <x:c r="A362" s="24" t="str">
        <x:v>EX0359</x:v>
      </x:c>
      <x:c r="B362" s="24" t="str">
        <x:v>Blink rest break (eyelid comfort)</x:v>
      </x:c>
      <x:c r="C362" s="24" t="str">
        <x:v>Eye &amp; Ear</x:v>
      </x:c>
      <x:c r="D362" s="24" t="str">
        <x:v>Home</x:v>
      </x:c>
      <x:c r="E362" s="24" t="str">
        <x:v>Functional activation</x:v>
      </x:c>
      <x:c r="F362" s="24" t="str">
        <x:v>Orbicularis oculi palpebral part; Orbicularis oculi orbital part; Orbicularis oculi lacrimal part (Horner muscle); Levator palpebrae superioris</x:v>
      </x:c>
      <x:c r="G362" s="24" t="str">
        <x:v>—</x:v>
      </x:c>
      <x:c r="H362" s="24" t="str">
        <x:v>—</x:v>
      </x:c>
      <x:c r="I362" s="24" t="str">
        <x:v>—</x:v>
      </x:c>
      <x:c r="J362" s="24" t="str">
        <x:v>Orbicularis oculi palpebral part; Orbicularis oculi orbital part; Orbicularis oculi lacrimal part (Horner muscle); Levator palpebrae superioris</x:v>
      </x:c>
      <x:c r="K362" s="24" t="str">
        <x:v>Atlas-listed tendon/aponeurosis examples: Palpebral raphe fibrous attachment; Medial canthal tendon/medial palpebral ligament; Tarsal tendon/fibrous slips; Levator palpebrae aponeurosis</x:v>
      </x:c>
      <x:c r="L362" s="24" t="str">
        <x:v>No ocular/auricular ligament intentionally stressed; eye drills are coordination only</x:v>
      </x:c>
      <x:c r="M362" s="24" t="str">
        <x:v>Muscles: Orbicularis oculi palpebral part; Orbicularis oculi orbital part; Orbicularis oculi lacrimal part (Horner muscle); Levator palpebrae superioris | Tendons/fascia: Atlas-listed tendon/aponeurosis examples: Palpebral raphe fibrous attachment; Medial canthal tendon/medial palpebral ligament; Tarsal tendon/fibrous slips; Levator palpebrae aponeurosis | Ligament context only: No ocular/auricular ligament intentionally stressed; eye drills are coordination only</x:v>
      </x:c>
      <x:c r="N362" s="24" t="str">
        <x:v>Low-load activation, not ordinarily to fatigue: Orbicularis oculi palpebral part; Orbicularis oculi orbital part; Orbicularis oculi lacrimal part (Horner muscle); Levator palpebrae superioris</x:v>
      </x:c>
      <x:c r="O362" s="24" t="str">
        <x:v>Blink gently, relax eyes, and look away from screen.</x:v>
      </x:c>
      <x:c r="P362" s="24" t="str">
        <x:v>None</x:v>
      </x:c>
      <x:c r="Q362" s="24" t="str">
        <x:v>1–2 × 5–10 controlled reps</x:v>
      </x:c>
      <x:c r="R362" s="24" t="str">
        <x:v>Relief/coordination, not strength or vision improvement.</x:v>
      </x:c>
      <x:c r="S362" s="24" t="str">
        <x:v>https://www.nei.nih.gov/learn-about-eye-health/healthy-vision/keep-your-eyes-healthy</x:v>
      </x:c>
      <x:c r="T362" s="24" t="str">
        <x:v>Anatomy-based mapping</x:v>
      </x:c>
    </x:row>
    <x:row r="363" ht="54" customHeight="1">
      <x:c r="A363" s="24" t="str">
        <x:v>EX0360</x:v>
      </x:c>
      <x:c r="B363" s="24" t="str">
        <x:v>Pelvic floor slow squeeze and full release</x:v>
      </x:c>
      <x:c r="C363" s="24" t="str">
        <x:v>Pelvis &amp; Perineum</x:v>
      </x:c>
      <x:c r="D363" s="24" t="str">
        <x:v>Home</x:v>
      </x:c>
      <x:c r="E363" s="24" t="str">
        <x:v>Motor control</x:v>
      </x:c>
      <x:c r="F363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G363" s="24" t="str">
        <x:v>Bulbospongiosus (female); Bulbospongiosus (male); Ischiocavernosus (female); Ischiocavernosus (male); Superficial transverse perineal muscle; Deep transverse perineal muscle</x:v>
      </x:c>
      <x:c r="H363" s="24" t="str">
        <x:v>Diaphragm costal part; Diaphragm lumbar part / crura; Diaphragm sternal part; Transversus abdominis</x:v>
      </x:c>
      <x:c r="I363" s="24" t="str">
        <x:v>—</x:v>
      </x:c>
      <x:c r="J363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muscle; Diaphragm costal part; Diaphragm lumbar part / crura; Diaphragm sternal part; Transversus abdominis</x:v>
      </x:c>
      <x:c r="K363" s="24" t="str">
        <x:v>Levator ani attachment to pelvic fascia/perineal body</x:v>
      </x:c>
      <x:c r="L363" s="24" t="str">
        <x:v>Sacrospinous/sacrotuberous ligaments are passive supports, not stretch targets</x:v>
      </x:c>
      <x:c r="M363" s="24" t="str">
        <x:v>Muscles: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muscle; Diaphragm costal part; Diaphragm lumbar part / crura; Diaphragm sternal part; Transversus abdominis | Tendons/fascia: Levator ani attachment to pelvic fascia/perineal body | Ligament context only: Sacrospinous/sacrotuberous ligaments are passive supports, not stretch targets</x:v>
      </x:c>
      <x:c r="N363" s="24" t="str">
        <x:v>Low-load activation, not ordinarily to fatigue: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O363" s="24" t="str">
        <x:v>Exhale normally; gently lift pelvic floor, hold briefly, fully relax.</x:v>
      </x:c>
      <x:c r="P363" s="24" t="str">
        <x:v>None</x:v>
      </x:c>
      <x:c r="Q363" s="24" t="str">
        <x:v>1–2 × 5–10 controlled reps</x:v>
      </x:c>
      <x:c r="R363" s="24" t="str">
        <x:v>Do not strain or repeatedly contract if pelvic pain/hypertonicity.</x:v>
      </x:c>
      <x:c r="S363" s="24" t="str">
        <x:v>https://myjointhealthhub.bnssg.nhs.uk/how-to-do-pelvic-floor-exercises/</x:v>
      </x:c>
      <x:c r="T363" s="24" t="str">
        <x:v>Anatomy-based mapping</x:v>
      </x:c>
    </x:row>
    <x:row r="364" ht="54" customHeight="1">
      <x:c r="A364" s="24" t="str">
        <x:v>EX0361</x:v>
      </x:c>
      <x:c r="B364" s="24" t="str">
        <x:v>Pelvic floor quick contraction and release</x:v>
      </x:c>
      <x:c r="C364" s="24" t="str">
        <x:v>Pelvis &amp; Perineum</x:v>
      </x:c>
      <x:c r="D364" s="24" t="str">
        <x:v>Home</x:v>
      </x:c>
      <x:c r="E364" s="24" t="str">
        <x:v>Motor control</x:v>
      </x:c>
      <x:c r="F364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G364" s="24" t="str">
        <x:v>Bulbospongiosus (female); Bulbospongiosus (male); Ischiocavernosus (female); Ischiocavernosus (male); Superficial transverse perineal muscle; Deep transverse perineal muscle</x:v>
      </x:c>
      <x:c r="H364" s="24" t="str">
        <x:v>Diaphragm costal part; Diaphragm lumbar part / crura; Diaphragm sternal part</x:v>
      </x:c>
      <x:c r="I364" s="24" t="str">
        <x:v>—</x:v>
      </x:c>
      <x:c r="J364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muscle; Diaphragm costal part; Diaphragm lumbar part / crura; Diaphragm sternal part</x:v>
      </x:c>
      <x:c r="K364" s="24" t="str">
        <x:v>Atlas-listed tendon/aponeurosis examples: Fibrous sheet into anococcygeal raphe; Fibrous insertions to anococcygeal body; Muscular sling no separate tendon; Broad sacrococcygeal fibrous attachment; additional listed attachments</x:v>
      </x:c>
      <x:c r="L364" s="24" t="str">
        <x:v>Sacrospinous, sacrotuberous and sacroiliac ligaments provide passive support; NOT deliberately stretched</x:v>
      </x:c>
      <x:c r="M364" s="24" t="str">
        <x:v>Muscles: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muscle; Diaphragm costal part; Diaphragm lumbar part / crura; Diaphragm sternal part | Tendons/fascia: Atlas-listed tendon/aponeurosis examples: Fibrous sheet into anococcygeal raphe; Fibrous insertions to anococcygeal body; Muscular sling no separate tendon; Broad sacrococcygeal fibrous attachment; additional listed attachments | Ligament context only: Sacrospinous, sacrotuberous and sacroiliac ligaments provide passive support; NOT deliberately stretched</x:v>
      </x:c>
      <x:c r="N364" s="24" t="str">
        <x:v>Low-load activation, not ordinarily to fatigue: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O364" s="24" t="str">
        <x:v>Make brief gentle squeeze then completely release before next rep.</x:v>
      </x:c>
      <x:c r="P364" s="24" t="str">
        <x:v>None</x:v>
      </x:c>
      <x:c r="Q364" s="24" t="str">
        <x:v>1–2 × 5–10 controlled reps</x:v>
      </x:c>
      <x:c r="R364" s="24" t="str">
        <x:v>Stop if pain or difficulty fully relaxing.</x:v>
      </x:c>
      <x:c r="S364" s="24" t="str">
        <x:v>https://myjointhealthhub.bnssg.nhs.uk/how-to-do-pelvic-floor-exercises/</x:v>
      </x:c>
      <x:c r="T364" s="24" t="str">
        <x:v>Anatomy-based mapping</x:v>
      </x:c>
    </x:row>
    <x:row r="365" ht="54" customHeight="1">
      <x:c r="A365" s="24" t="str">
        <x:v>EX0362</x:v>
      </x:c>
      <x:c r="B365" s="24" t="str">
        <x:v>Pelvic floor coordinated exhale lift</x:v>
      </x:c>
      <x:c r="C365" s="24" t="str">
        <x:v>Pelvis &amp; Perineum</x:v>
      </x:c>
      <x:c r="D365" s="24" t="str">
        <x:v>Home</x:v>
      </x:c>
      <x:c r="E365" s="24" t="str">
        <x:v>Motor control</x:v>
      </x:c>
      <x:c r="F365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Transversus abdominis</x:v>
      </x:c>
      <x:c r="G365" s="24" t="str">
        <x:v>Diaphragm costal part; Diaphragm lumbar part / crura; Diaphragm sternal part</x:v>
      </x:c>
      <x:c r="H365" s="24" t="str">
        <x:v>—</x:v>
      </x:c>
      <x:c r="I365" s="24" t="str">
        <x:v>—</x:v>
      </x:c>
      <x:c r="J365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Transversus abdominis; Diaphragm costal part; Diaphragm lumbar part / crura; Diaphragm sternal part</x:v>
      </x:c>
      <x:c r="K365" s="24" t="str">
        <x:v>Atlas-listed tendon/aponeurosis examples: Fibrous sheet into anococcygeal raphe; Fibrous insertions to anococcygeal body; Muscular sling no separate tendon; Broad sacrococcygeal fibrous attachment; additional listed attachments</x:v>
      </x:c>
      <x:c r="L365" s="24" t="str">
        <x:v>Sacrospinous, sacrotuberous and sacroiliac ligaments provide passive support; NOT deliberately stretched</x:v>
      </x:c>
      <x:c r="M365" s="24" t="str">
        <x:v>Muscles: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Transversus abdominis; Diaphragm costal part; Diaphragm lumbar part / crura; Diaphragm sternal part | Tendons/fascia: Atlas-listed tendon/aponeurosis examples: Fibrous sheet into anococcygeal raphe; Fibrous insertions to anococcygeal body; Muscular sling no separate tendon; Broad sacrococcygeal fibrous attachment; additional listed attachments | Ligament context only: Sacrospinous, sacrotuberous and sacroiliac ligaments provide passive support; NOT deliberately stretched</x:v>
      </x:c>
      <x:c r="N365" s="24" t="str">
        <x:v>Low-load activation, not ordinarily to fatigue: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Transversus abdominis</x:v>
      </x:c>
      <x:c r="O365" s="24" t="str">
        <x:v>Exhale with a gentle pelvic floor lift; inhale to soften and relax.</x:v>
      </x:c>
      <x:c r="P365" s="24" t="str">
        <x:v>None</x:v>
      </x:c>
      <x:c r="Q365" s="24" t="str">
        <x:v>1–2 × 5–10 controlled reps</x:v>
      </x:c>
      <x:c r="R365" s="24" t="str">
        <x:v>Progress gradually; stop with sharp pain, dizziness, or numbness.</x:v>
      </x:c>
      <x:c r="S365" s="24" t="str">
        <x:v>https://myjointhealthhub.bnssg.nhs.uk/how-to-do-pelvic-floor-exercises/</x:v>
      </x:c>
      <x:c r="T365" s="24" t="str">
        <x:v>Anatomy-based mapping</x:v>
      </x:c>
    </x:row>
    <x:row r="366" ht="54" customHeight="1">
      <x:c r="A366" s="24" t="str">
        <x:v>EX0363</x:v>
      </x:c>
      <x:c r="B366" s="24" t="str">
        <x:v>Pelvic floor relaxation with diaphragmatic inhale</x:v>
      </x:c>
      <x:c r="C366" s="24" t="str">
        <x:v>Pelvis &amp; Perineum</x:v>
      </x:c>
      <x:c r="D366" s="24" t="str">
        <x:v>Home</x:v>
      </x:c>
      <x:c r="E366" s="24" t="str">
        <x:v>Relaxation / down-training</x:v>
      </x:c>
      <x:c r="F366" s="24" t="str">
        <x:v>Diaphragm costal part; Diaphragm lumbar part / crura; Diaphragm sternal part</x:v>
      </x:c>
      <x:c r="G366" s="24" t="str">
        <x:v>—</x:v>
      </x:c>
      <x:c r="H366" s="24" t="str">
        <x:v>—</x:v>
      </x:c>
      <x:c r="I366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J366" s="24" t="str">
        <x:v>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K366" s="24" t="str">
        <x:v>Atlas-listed tendon/aponeurosis examples: Central tendon; Central tendon; crural tendons; Fibrous sheet into anococcygeal raphe; Fibrous insertions to anococcygeal body; additional listed attachments</x:v>
      </x:c>
      <x:c r="L366" s="24" t="str">
        <x:v>Sacrospinous, sacrotuberous and sacroiliac ligaments provide passive support; NOT deliberately stretched</x:v>
      </x:c>
      <x:c r="M366" s="24" t="str">
        <x:v>Muscles: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 | Tendons/fascia: Atlas-listed tendon/aponeurosis examples: Central tendon; Central tendon; crural tendons; Fibrous sheet into anococcygeal raphe; Fibrous insertions to anococcygeal body; additional listed attachments | Ligament context only: Sacrospinous, sacrotuberous and sacroiliac ligaments provide passive support; NOT deliberately stretched</x:v>
      </x:c>
      <x:c r="N366" s="24" t="str">
        <x:v>Usually none expected (stretch, mobility or relaxation; any active movers are low-load)</x:v>
      </x:c>
      <x:c r="O366" s="24" t="str">
        <x:v>Allow belly/ribs expand on inhalation and consciously release pelvic-floor tension.</x:v>
      </x:c>
      <x:c r="P366" s="24" t="str">
        <x:v>Mat</x:v>
      </x:c>
      <x:c r="Q366" s="24" t="str">
        <x:v>2–3 × 8–12 controlled reps</x:v>
      </x:c>
      <x:c r="R366" s="24" t="str">
        <x:v>No forced bearing down, strain, or stretching of pelvic ligaments.</x:v>
      </x:c>
      <x:c r="S366" s="24" t="str">
        <x:v>https://myjointhealthhub.bnssg.nhs.uk/how-to-do-pelvic-floor-exercises/</x:v>
      </x:c>
      <x:c r="T366" s="24" t="str">
        <x:v>Anatomy-based mapping</x:v>
      </x:c>
    </x:row>
    <x:row r="367" ht="54" customHeight="1">
      <x:c r="A367" s="24" t="str">
        <x:v>EX0364</x:v>
      </x:c>
      <x:c r="B367" s="24" t="str">
        <x:v>Side-lying pelvic floor relaxation</x:v>
      </x:c>
      <x:c r="C367" s="24" t="str">
        <x:v>Pelvis &amp; Perineum</x:v>
      </x:c>
      <x:c r="D367" s="24" t="str">
        <x:v>Home</x:v>
      </x:c>
      <x:c r="E367" s="24" t="str">
        <x:v>Relaxation / down-training</x:v>
      </x:c>
      <x:c r="F367" s="24" t="str">
        <x:v>Diaphragm costal part; Diaphragm lumbar part / crura; Diaphragm sternal part</x:v>
      </x:c>
      <x:c r="G367" s="24" t="str">
        <x:v>—</x:v>
      </x:c>
      <x:c r="H367" s="24" t="str">
        <x:v>—</x:v>
      </x:c>
      <x:c r="I367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</x:v>
      </x:c>
      <x:c r="J367" s="24" t="str">
        <x:v>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</x:v>
      </x:c>
      <x:c r="K367" s="24" t="str">
        <x:v>Atlas-listed tendon/aponeurosis examples: Central tendon; Central tendon; crural tendons; Fibrous sheet into anococcygeal raphe; Fibrous insertions to anococcygeal body; additional listed attachments</x:v>
      </x:c>
      <x:c r="L367" s="24" t="str">
        <x:v>Sacrospinous, sacrotuberous and sacroiliac ligaments provide passive support; NOT deliberately stretched</x:v>
      </x:c>
      <x:c r="M367" s="24" t="str">
        <x:v>Muscles: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 | Tendons/fascia: Atlas-listed tendon/aponeurosis examples: Central tendon; Central tendon; crural tendons; Fibrous sheet into anococcygeal raphe; Fibrous insertions to anococcygeal body; additional listed attachments | Ligament context only: Sacrospinous, sacrotuberous and sacroiliac ligaments provide passive support; NOT deliberately stretched</x:v>
      </x:c>
      <x:c r="N367" s="24" t="str">
        <x:v>Usually none expected (stretch, mobility or relaxation; any active movers are low-load)</x:v>
      </x:c>
      <x:c r="O367" s="24" t="str">
        <x:v>Lie supported with pillow between knees; use quiet breathing to release tension.</x:v>
      </x:c>
      <x:c r="P367" s="24" t="str">
        <x:v>Pillows</x:v>
      </x:c>
      <x:c r="Q367" s="24" t="str">
        <x:v>2–3 × 8–12 controlled reps</x:v>
      </x:c>
      <x:c r="R367" s="24" t="str">
        <x:v>Progress gradually; stop with sharp pain, dizziness, or numbness.</x:v>
      </x:c>
      <x:c r="S367" s="24" t="str">
        <x:v>https://myjointhealthhub.bnssg.nhs.uk/how-to-do-pelvic-floor-exercises/</x:v>
      </x:c>
      <x:c r="T367" s="24" t="str">
        <x:v>Anatomy-based mapping</x:v>
      </x:c>
    </x:row>
    <x:row r="368" ht="54" customHeight="1">
      <x:c r="A368" s="24" t="str">
        <x:v>EX0365</x:v>
      </x:c>
      <x:c r="B368" s="24" t="str">
        <x:v>Supported deep squat for pelvic floor relaxation</x:v>
      </x:c>
      <x:c r="C368" s="24" t="str">
        <x:v>Pelvis &amp; Perineum</x:v>
      </x:c>
      <x:c r="D368" s="24" t="str">
        <x:v>Home</x:v>
      </x:c>
      <x:c r="E368" s="24" t="str">
        <x:v>Active stretch</x:v>
      </x:c>
      <x:c r="F368" s="24" t="str">
        <x:v>Gluteus maximus; Gluteus medius; Gluteus minimus;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G368" s="24" t="str">
        <x:v>Rectus abdominis; External oblique; Internal oblique; Transversus abdominis</x:v>
      </x:c>
      <x:c r="H368" s="24" t="str">
        <x:v>—</x:v>
      </x:c>
      <x:c r="I368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J368" s="24" t="str">
        <x:v>Gluteus maximus; Gluteus medius; Gluteus minimus;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K368" s="24" t="str">
        <x:v>Atlas-listed tendon/aponeurosis examples: Iliotibial tract aponeurosis and gluteal tendon; Gluteus medius tendon; Gluteus minimus tendon and joint-capsule expansions; Adductor tendon through ulnar sesamoid; additional listed attachments</x:v>
      </x:c>
      <x:c r="L368" s="24" t="str">
        <x:v>Sacrospinous, sacrotuberous and sacroiliac ligaments provide passive support; NOT deliberately stretched</x:v>
      </x:c>
      <x:c r="M368" s="24" t="str">
        <x:v>Muscles: Gluteus maximus; Gluteus medius; Gluteus minimus;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 | Tendons/fascia: Atlas-listed tendon/aponeurosis examples: Iliotibial tract aponeurosis and gluteal tendon; Gluteus medius tendon; Gluteus minimus tendon and joint-capsule expansions; Adductor tendon through ulnar sesamoid; additional listed attachments | Ligament context only: Sacrospinous, sacrotuberous and sacroiliac ligaments provide passive support; NOT deliberately stretched</x:v>
      </x:c>
      <x:c r="N368" s="24" t="str">
        <x:v>Usually none expected (stretch, mobility or relaxation; any active movers are low-load)</x:v>
      </x:c>
      <x:c r="O368" s="24" t="str">
        <x:v>Use support to enter comfortable shallow squat and relax with breathing.</x:v>
      </x:c>
      <x:c r="P368" s="24" t="str">
        <x:v>Stable support</x:v>
      </x:c>
      <x:c r="Q368" s="24" t="str">
        <x:v>2–3 × 8–12 controlled reps</x:v>
      </x:c>
      <x:c r="R368" s="24" t="str">
        <x:v>Avoid with prolapse symptoms, pelvic pain, dizziness, or instability.</x:v>
      </x:c>
      <x:c r="S368" s="24" t="str">
        <x:v>https://myjointhealthhub.bnssg.nhs.uk/how-to-do-pelvic-floor-exercises/</x:v>
      </x:c>
      <x:c r="T368" s="24" t="str">
        <x:v>Anatomy-based mapping</x:v>
      </x:c>
    </x:row>
    <x:row r="369" ht="54" customHeight="1">
      <x:c r="A369" s="24" t="str">
        <x:v>EX0366</x:v>
      </x:c>
      <x:c r="B369" s="24" t="str">
        <x:v>Child's pose pelvic-floor relaxation</x:v>
      </x:c>
      <x:c r="C369" s="24" t="str">
        <x:v>Pelvis &amp; Perineum</x:v>
      </x:c>
      <x:c r="D369" s="24" t="str">
        <x:v>Home</x:v>
      </x:c>
      <x:c r="E369" s="24" t="str">
        <x:v>Passive stretch</x:v>
      </x:c>
      <x:c r="F369" s="24" t="str">
        <x:v>—</x:v>
      </x:c>
      <x:c r="G369" s="24" t="str">
        <x:v>—</x:v>
      </x:c>
      <x:c r="H369" s="24" t="str">
        <x:v>—</x:v>
      </x:c>
      <x:c r="I369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J369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K369" s="24" t="str">
        <x:v>Atlas-listed tendon/aponeurosis examples: Fibrous sheet into anococcygeal raphe; Fibrous insertions to anococcygeal body; Muscular sling no separate tendon; Broad sacrococcygeal fibrous attachment; additional listed attachments</x:v>
      </x:c>
      <x:c r="L369" s="24" t="str">
        <x:v>Sacrospinous, sacrotuberous and sacroiliac ligaments provide passive support; NOT deliberately stretched</x:v>
      </x:c>
      <x:c r="M369" s="24" t="str">
        <x:v>Muscles: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 | Tendons/fascia: Atlas-listed tendon/aponeurosis examples: Fibrous sheet into anococcygeal raphe; Fibrous insertions to anococcygeal body; Muscular sling no separate tendon; Broad sacrococcygeal fibrous attachment; additional listed attachments | Ligament context only: Sacrospinous, sacrotuberous and sacroiliac ligaments provide passive support; NOT deliberately stretched</x:v>
      </x:c>
      <x:c r="N369" s="24" t="str">
        <x:v>Usually none expected (stretch, mobility or relaxation; any active movers are low-load)</x:v>
      </x:c>
      <x:c r="O369" s="24" t="str">
        <x:v>Knees comfortable width, sit back gently, breathe into lower rib cage.</x:v>
      </x:c>
      <x:c r="P369" s="24" t="str">
        <x:v>Mat</x:v>
      </x:c>
      <x:c r="Q369" s="24" t="str">
        <x:v>2–3 × 8–12 controlled reps</x:v>
      </x:c>
      <x:c r="R369" s="24" t="str">
        <x:v>Progress gradually; stop with sharp pain, dizziness, or numbness.</x:v>
      </x:c>
      <x:c r="S369" s="24" t="str">
        <x:v>https://myjointhealthhub.bnssg.nhs.uk/how-to-do-pelvic-floor-exercises/</x:v>
      </x:c>
      <x:c r="T369" s="24" t="str">
        <x:v>Anatomy-based mapping</x:v>
      </x:c>
    </x:row>
    <x:row r="370" ht="54" customHeight="1">
      <x:c r="A370" s="24" t="str">
        <x:v>EX0367</x:v>
      </x:c>
      <x:c r="B370" s="24" t="str">
        <x:v>Happy baby hip / pelvic release</x:v>
      </x:c>
      <x:c r="C370" s="24" t="str">
        <x:v>Pelvis &amp; Perineum</x:v>
      </x:c>
      <x:c r="D370" s="24" t="str">
        <x:v>Home</x:v>
      </x:c>
      <x:c r="E370" s="24" t="str">
        <x:v>Passive stretch</x:v>
      </x:c>
      <x:c r="F370" s="24" t="str">
        <x:v>—</x:v>
      </x:c>
      <x:c r="G370" s="24" t="str">
        <x:v>—</x:v>
      </x:c>
      <x:c r="H370" s="24" t="str">
        <x:v>—</x:v>
      </x:c>
      <x:c r="I370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J370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K370" s="24" t="str">
        <x:v>Atlas-listed tendon/aponeurosis examples: Adductor tendon through ulnar sesamoid; Common adductor tendon; Broad short insertion; Short proximal tendon; additional listed attachments</x:v>
      </x:c>
      <x:c r="L370" s="24" t="str">
        <x:v>Sacrospinous, sacrotuberous and sacroiliac ligaments provide passive support; NOT deliberately stretched</x:v>
      </x:c>
      <x:c r="M370" s="24" t="str">
        <x:v>Muscles: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 | Tendons/fascia: Atlas-listed tendon/aponeurosis examples: Adductor tendon through ulnar sesamoid; Common adductor tendon; Broad short insertion; Short proximal tendon; additional listed attachments | Ligament context only: Sacrospinous, sacrotuberous and sacroiliac ligaments provide passive support; NOT deliberately stretched</x:v>
      </x:c>
      <x:c r="N370" s="24" t="str">
        <x:v>Usually none expected (stretch, mobility or relaxation; any active movers are low-load)</x:v>
      </x:c>
      <x:c r="O370" s="24" t="str">
        <x:v>Supine hold back of thighs; let knees move apart gently.</x:v>
      </x:c>
      <x:c r="P370" s="24" t="str">
        <x:v>Mat</x:v>
      </x:c>
      <x:c r="Q370" s="24" t="str">
        <x:v>2–3 × 8–12 controlled reps</x:v>
      </x:c>
      <x:c r="R370" s="24" t="str">
        <x:v>Do not pull pelvis into pain.</x:v>
      </x:c>
      <x:c r="S370" s="24" t="str">
        <x:v>https://myjointhealthhub.bnssg.nhs.uk/how-to-do-pelvic-floor-exercises/</x:v>
      </x:c>
      <x:c r="T370" s="24" t="str">
        <x:v>Anatomy-based mapping</x:v>
      </x:c>
    </x:row>
    <x:row r="371" ht="54" customHeight="1">
      <x:c r="A371" s="24" t="str">
        <x:v>EX0368</x:v>
      </x:c>
      <x:c r="B371" s="24" t="str">
        <x:v>Seated pelvic tilt coordination</x:v>
      </x:c>
      <x:c r="C371" s="24" t="str">
        <x:v>Pelvis &amp; Perineum</x:v>
      </x:c>
      <x:c r="D371" s="24" t="str">
        <x:v>Home</x:v>
      </x:c>
      <x:c r="E371" s="24" t="str">
        <x:v>Motor control</x:v>
      </x:c>
      <x:c r="F371" s="24" t="str">
        <x:v>Rectus abdominis; External oblique; Internal oblique; Transversus abdominis;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G371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H371" s="24" t="str">
        <x:v>Diaphragm costal part; Diaphragm lumbar part / crura; Diaphragm sternal part</x:v>
      </x:c>
      <x:c r="I371" s="24" t="str">
        <x:v>—</x:v>
      </x:c>
      <x:c r="J371" s="24" t="str">
        <x:v>Rectus abdominis; External oblique; Internal oblique; Transversus abdominis;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Diaphragm costal part; Diaphragm lumbar part / crura; Diaphragm sternal part</x:v>
      </x:c>
      <x:c r="K371" s="24" t="str">
        <x:v>Atlas-listed tendon/aponeurosis examples: Tendinous intersections and rectus sheath insertion; Broad external oblique aponeurosis; Internal oblique aponeurosis; conjoint tendon; Transversus aponeurosis; conjoint tendon; additional listed attachments</x:v>
      </x:c>
      <x:c r="L371" s="24" t="str">
        <x:v>Sacrospinous, sacrotuberous and sacroiliac ligaments provide passive support; NOT deliberately stretched</x:v>
      </x:c>
      <x:c r="M371" s="24" t="str">
        <x:v>Muscles: Rectus abdominis; External oblique; Internal oblique; Transversus abdominis;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Diaphragm costal part; Diaphragm lumbar part / crura; Diaphragm sternal part | Tendons/fascia: Atlas-listed tendon/aponeurosis examples: Tendinous intersections and rectus sheath insertion; Broad external oblique aponeurosis; Internal oblique aponeurosis; conjoint tendon; Transversus aponeurosis; conjoint tendon; additional listed attachments | Ligament context only: Sacrospinous, sacrotuberous and sacroiliac ligaments provide passive support; NOT deliberately stretched</x:v>
      </x:c>
      <x:c r="N371" s="24" t="str">
        <x:v>Low-load activation, not ordinarily to fatigue: Rectus abdominis; External oblique; Internal oblique; Transversus abdominis;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O371" s="24" t="str">
        <x:v>Tilt pelvis forward and backward slowly while remaining relaxed.</x:v>
      </x:c>
      <x:c r="P371" s="24" t="str">
        <x:v>Chair</x:v>
      </x:c>
      <x:c r="Q371" s="24" t="str">
        <x:v>1–2 × 5–10 controlled reps</x:v>
      </x:c>
      <x:c r="R371" s="24" t="str">
        <x:v>Progress gradually; stop with sharp pain, dizziness, or numbness.</x:v>
      </x:c>
      <x:c r="S371" s="24" t="str">
        <x:v>https://myjointhealthhub.bnssg.nhs.uk/how-to-do-pelvic-floor-exercises/</x:v>
      </x:c>
      <x:c r="T371" s="24" t="str">
        <x:v>Anatomy-based mapping</x:v>
      </x:c>
    </x:row>
    <x:row r="372" ht="54" customHeight="1">
      <x:c r="A372" s="24" t="str">
        <x:v>EX0369</x:v>
      </x:c>
      <x:c r="B372" s="24" t="str">
        <x:v>Glute bridge coordinated pelvic floor lift</x:v>
      </x:c>
      <x:c r="C372" s="24" t="str">
        <x:v>Pelvis &amp; Perineum</x:v>
      </x:c>
      <x:c r="D372" s="24" t="str">
        <x:v>Home</x:v>
      </x:c>
      <x:c r="E372" s="24" t="str">
        <x:v>Compound strength</x:v>
      </x:c>
      <x:c r="F372" s="24" t="str">
        <x:v>Gluteus maximus</x:v>
      </x:c>
      <x:c r="G372" s="24" t="str">
        <x:v>Biceps femoris long head; Biceps femoris short head; Semimembranosus; Semitendinosus;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H372" s="24" t="str">
        <x:v>Rectus abdominis; External oblique; Internal oblique; Transversus abdominis</x:v>
      </x:c>
      <x:c r="I372" s="24" t="str">
        <x:v>—</x:v>
      </x:c>
      <x:c r="J372" s="24" t="str">
        <x:v>Gluteus maximus; Biceps femoris long head; Biceps femoris short head; Semimembranosus; Semitendinosus;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Rectus abdominis; External oblique; Internal oblique; Transversus abdominis</x:v>
      </x:c>
      <x:c r="K372" s="24" t="str">
        <x:v>Atlas-listed tendon/aponeurosis examples: Iliotibial tract aponeurosis and gluteal tendon; Common hamstring proximal tendon; distal biceps tendon; Common biceps femoris distal tendon; Broad proximal membrane; distal semimembranosus tendon; additional listed attachments</x:v>
      </x:c>
      <x:c r="L372" s="24" t="str">
        <x:v>Sacrospinous, sacrotuberous and sacroiliac ligaments provide passive support; NOT deliberately stretched</x:v>
      </x:c>
      <x:c r="M372" s="24" t="str">
        <x:v>Muscles: Gluteus maximus; Biceps femoris long head; Biceps femoris short head; Semimembranosus; Semitendinosus;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Rectus abdominis; External oblique; Internal oblique; Transversus abdominis | Tendons/fascia: Atlas-listed tendon/aponeurosis examples: Iliotibial tract aponeurosis and gluteal tendon; Common hamstring proximal tendon; distal biceps tendon; Common biceps femoris distal tendon; Broad proximal membrane; distal semimembranosus tendon; additional listed attachments | Ligament context only: Sacrospinous, sacrotuberous and sacroiliac ligaments provide passive support; NOT deliberately stretched</x:v>
      </x:c>
      <x:c r="N372" s="24" t="str">
        <x:v>Gluteus maximus; Biceps femoris long head; Biceps femoris short head; Semimembranosus; Semitendinosus;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O372" s="24" t="str">
        <x:v>Exhale and lift hips; relax pelvic floor on descent.</x:v>
      </x:c>
      <x:c r="P372" s="24" t="str">
        <x:v>Mat</x:v>
      </x:c>
      <x:c r="Q372" s="24" t="str">
        <x:v>2–3 × 8–12 controlled reps</x:v>
      </x:c>
      <x:c r="R372" s="24" t="str">
        <x:v>Progress gradually; stop with sharp pain, dizziness, or numbness.</x:v>
      </x:c>
      <x:c r="S372" s="24" t="str">
        <x:v>https://myjointhealthhub.bnssg.nhs.uk/how-to-do-pelvic-floor-exercises/</x:v>
      </x:c>
      <x:c r="T372" s="24" t="str">
        <x:v>Anatomy-based mapping</x:v>
      </x:c>
    </x:row>
    <x:row r="373" ht="54" customHeight="1">
      <x:c r="A373" s="24" t="str">
        <x:v>EX0370</x:v>
      </x:c>
      <x:c r="B373" s="24" t="str">
        <x:v>Pelvic floor contraction before cough / lift ('knack')</x:v>
      </x:c>
      <x:c r="C373" s="24" t="str">
        <x:v>Pelvis &amp; Perineum</x:v>
      </x:c>
      <x:c r="D373" s="24" t="str">
        <x:v>Home</x:v>
      </x:c>
      <x:c r="E373" s="24" t="str">
        <x:v>Motor control</x:v>
      </x:c>
      <x:c r="F373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G373" s="24" t="str">
        <x:v>Rectus abdominis; External oblique; Internal oblique; Transversus abdominis</x:v>
      </x:c>
      <x:c r="H373" s="24" t="str">
        <x:v>Diaphragm costal part; Diaphragm lumbar part / crura; Diaphragm sternal part</x:v>
      </x:c>
      <x:c r="I373" s="24" t="str">
        <x:v>—</x:v>
      </x:c>
      <x:c r="J373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Rectus abdominis; External oblique; Internal oblique; Transversus abdominis; Diaphragm costal part; Diaphragm lumbar part / crura; Diaphragm sternal part</x:v>
      </x:c>
      <x:c r="K373" s="24" t="str">
        <x:v>Atlas-listed tendon/aponeurosis examples: Fibrous sheet into anococcygeal raphe; Fibrous insertions to anococcygeal body; Muscular sling no separate tendon; Broad sacrococcygeal fibrous attachment; additional listed attachments</x:v>
      </x:c>
      <x:c r="L373" s="24" t="str">
        <x:v>Sacrospinous, sacrotuberous and sacroiliac ligaments provide passive support; NOT deliberately stretched</x:v>
      </x:c>
      <x:c r="M373" s="24" t="str">
        <x:v>Muscles: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Rectus abdominis; External oblique; Internal oblique; Transversus abdominis; Diaphragm costal part; Diaphragm lumbar part / crura; Diaphragm sternal part | Tendons/fascia: Atlas-listed tendon/aponeurosis examples: Fibrous sheet into anococcygeal raphe; Fibrous insertions to anococcygeal body; Muscular sling no separate tendon; Broad sacrococcygeal fibrous attachment; additional listed attachments | Ligament context only: Sacrospinous, sacrotuberous and sacroiliac ligaments provide passive support; NOT deliberately stretched</x:v>
      </x:c>
      <x:c r="N373" s="24" t="str">
        <x:v>Low-load activation, not ordinarily to fatigue: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O373" s="24" t="str">
        <x:v>Brief precontract pelvic floor before a natural cough or manageable lift; relax after.</x:v>
      </x:c>
      <x:c r="P373" s="24" t="str">
        <x:v>None</x:v>
      </x:c>
      <x:c r="Q373" s="24" t="str">
        <x:v>1–2 × 5–10 controlled reps</x:v>
      </x:c>
      <x:c r="R373" s="24" t="str">
        <x:v>Progress gradually; stop with sharp pain, dizziness, or numbness.</x:v>
      </x:c>
      <x:c r="S373" s="24" t="str">
        <x:v>https://myjointhealthhub.bnssg.nhs.uk/how-to-do-pelvic-floor-exercises/</x:v>
      </x:c>
      <x:c r="T373" s="24" t="str">
        <x:v>Anatomy-based mapping</x:v>
      </x:c>
    </x:row>
    <x:row r="374" ht="54" customHeight="1">
      <x:c r="A374" s="24" t="str">
        <x:v>EX0371</x:v>
      </x:c>
      <x:c r="B374" s="24" t="str">
        <x:v>Perineal body awareness exercise (gentle contraction)</x:v>
      </x:c>
      <x:c r="C374" s="24" t="str">
        <x:v>Pelvis &amp; Perineum</x:v>
      </x:c>
      <x:c r="D374" s="24" t="str">
        <x:v>Home</x:v>
      </x:c>
      <x:c r="E374" s="24" t="str">
        <x:v>Motor control</x:v>
      </x:c>
      <x:c r="F374" s="24" t="str">
        <x:v>Bulbospongiosus (female); Bulbospongiosus (male); Ischiocavernosus (female); Ischiocavernosus (male); Superficial transverse perineal muscle; Deep transverse perineal muscle;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G374" s="24" t="str">
        <x:v>—</x:v>
      </x:c>
      <x:c r="H374" s="24" t="str">
        <x:v>Diaphragm costal part; Diaphragm lumbar part / crura; Diaphragm sternal part</x:v>
      </x:c>
      <x:c r="I374" s="24" t="str">
        <x:v>—</x:v>
      </x:c>
      <x:c r="J374" s="24" t="str">
        <x:v>Bulbospongiosus (female); Bulbospongiosus (male); Ischiocavernosus (female); Ischiocavernosus (male); Superficial transverse perineal muscle; Deep transverse perineal muscle;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Diaphragm costal part; Diaphragm lumbar part / crura; Diaphragm sternal part</x:v>
      </x:c>
      <x:c r="K374" s="24" t="str">
        <x:v>Atlas-listed tendon/aponeurosis examples: Clitoral fascial fibers; Fibrous penile/perineal fascial insertion; Crural insertion; Crural fibrous insertion; additional listed attachments</x:v>
      </x:c>
      <x:c r="L374" s="24" t="str">
        <x:v>Sacrospinous, sacrotuberous and sacroiliac ligaments provide passive support; NOT deliberately stretched</x:v>
      </x:c>
      <x:c r="M374" s="24" t="str">
        <x:v>Muscles: Bulbospongiosus (female); Bulbospongiosus (male); Ischiocavernosus (female); Ischiocavernosus (male); Superficial transverse perineal muscle; Deep transverse perineal muscle;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Diaphragm costal part; Diaphragm lumbar part / crura; Diaphragm sternal part | Tendons/fascia: Atlas-listed tendon/aponeurosis examples: Clitoral fascial fibers; Fibrous penile/perineal fascial insertion; Crural insertion; Crural fibrous insertion; additional listed attachments | Ligament context only: Sacrospinous, sacrotuberous and sacroiliac ligaments provide passive support; NOT deliberately stretched</x:v>
      </x:c>
      <x:c r="N374" s="24" t="str">
        <x:v>Low-load activation, not ordinarily to fatigue: Bulbospongiosus (female); Bulbospongiosus (male); Ischiocavernosus (female); Ischiocavernosus (male); Superficial transverse perineal muscle; Deep transverse perineal muscle;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O374" s="24" t="str">
        <x:v>Submaximal pelvic floor squeeze with breath; no forceful bearing down.</x:v>
      </x:c>
      <x:c r="P374" s="24" t="str">
        <x:v>None</x:v>
      </x:c>
      <x:c r="Q374" s="24" t="str">
        <x:v>1–2 × 5–10 controlled reps</x:v>
      </x:c>
      <x:c r="R374" s="24" t="str">
        <x:v>Anatomy differs by sex; clinician can advise if symptoms exist.</x:v>
      </x:c>
      <x:c r="S374" s="24" t="str">
        <x:v>https://myjointhealthhub.bnssg.nhs.uk/how-to-do-pelvic-floor-exercises/</x:v>
      </x:c>
      <x:c r="T374" s="24" t="str">
        <x:v>Anatomy-based mapping</x:v>
      </x:c>
    </x:row>
    <x:row r="375" ht="54" customHeight="1">
      <x:c r="A375" s="24" t="str">
        <x:v>EX0372</x:v>
      </x:c>
      <x:c r="B375" s="24" t="str">
        <x:v>Transverse perineal relaxation with supported hip opening</x:v>
      </x:c>
      <x:c r="C375" s="24" t="str">
        <x:v>Pelvis &amp; Perineum</x:v>
      </x:c>
      <x:c r="D375" s="24" t="str">
        <x:v>Home</x:v>
      </x:c>
      <x:c r="E375" s="24" t="str">
        <x:v>Relaxation / down-training</x:v>
      </x:c>
      <x:c r="F375" s="24" t="str">
        <x:v>Diaphragm costal part; Diaphragm lumbar part / crura; Diaphragm sternal part</x:v>
      </x:c>
      <x:c r="G375" s="24" t="str">
        <x:v>—</x:v>
      </x:c>
      <x:c r="H375" s="24" t="str">
        <x:v>—</x:v>
      </x:c>
      <x:c r="I375" s="24" t="str">
        <x:v>Superficial transverse perineal muscle; Deep transverse perineal muscle;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J375" s="24" t="str">
        <x:v>Diaphragm costal part; Diaphragm lumbar part / crura; Diaphragm sternal part; Superficial transverse perineal muscle; Deep transverse perineal muscle;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K375" s="24" t="str">
        <x:v>Atlas-listed tendon/aponeurosis examples: Central tendon; Central tendon; crural tendons; Short perineal body insertion tendon; Perineal body fibrous insertion; additional listed attachments</x:v>
      </x:c>
      <x:c r="L375" s="24" t="str">
        <x:v>Sacrospinous, sacrotuberous and sacroiliac ligaments provide passive support; NOT deliberately stretched</x:v>
      </x:c>
      <x:c r="M375" s="24" t="str">
        <x:v>Muscles: Diaphragm costal part; Diaphragm lumbar part / crura; Diaphragm sternal part; Superficial transverse perineal muscle; Deep transverse perineal muscle;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 | Tendons/fascia: Atlas-listed tendon/aponeurosis examples: Central tendon; Central tendon; crural tendons; Short perineal body insertion tendon; Perineal body fibrous insertion; additional listed attachments | Ligament context only: Sacrospinous, sacrotuberous and sacroiliac ligaments provide passive support; NOT deliberately stretched</x:v>
      </x:c>
      <x:c r="N375" s="24" t="str">
        <x:v>Usually none expected (stretch, mobility or relaxation; any active movers are low-load)</x:v>
      </x:c>
      <x:c r="O375" s="24" t="str">
        <x:v>Lie supine with knees supported out to sides; breathe calmly.</x:v>
      </x:c>
      <x:c r="P375" s="24" t="str">
        <x:v>Pillows</x:v>
      </x:c>
      <x:c r="Q375" s="24" t="str">
        <x:v>2–3 × 8–12 controlled reps</x:v>
      </x:c>
      <x:c r="R375" s="24" t="str">
        <x:v>Progress gradually; stop with sharp pain, dizziness, or numbness.</x:v>
      </x:c>
      <x:c r="S375" s="24" t="str">
        <x:v>https://myjointhealthhub.bnssg.nhs.uk/how-to-do-pelvic-floor-exercises/</x:v>
      </x:c>
      <x:c r="T375" s="24" t="str">
        <x:v>Anatomy-based mapping</x:v>
      </x:c>
    </x:row>
    <x:row r="376" ht="54" customHeight="1">
      <x:c r="A376" s="24" t="str">
        <x:v>EX0373</x:v>
      </x:c>
      <x:c r="B376" s="24" t="str">
        <x:v>Pelvic floor sitting isometric hold</x:v>
      </x:c>
      <x:c r="C376" s="24" t="str">
        <x:v>Pelvis &amp; Perineum</x:v>
      </x:c>
      <x:c r="D376" s="24" t="str">
        <x:v>Home</x:v>
      </x:c>
      <x:c r="E376" s="24" t="str">
        <x:v>Isometric strength</x:v>
      </x:c>
      <x:c r="F376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</x:v>
      </x:c>
      <x:c r="G376" s="24" t="str">
        <x:v>—</x:v>
      </x:c>
      <x:c r="H376" s="24" t="str">
        <x:v>Diaphragm costal part; Diaphragm lumbar part / crura; Diaphragm sternal part</x:v>
      </x:c>
      <x:c r="I376" s="24" t="str">
        <x:v>—</x:v>
      </x:c>
      <x:c r="J376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muscle; Diaphragm costal part; Diaphragm lumbar part / crura; Diaphragm sternal part</x:v>
      </x:c>
      <x:c r="K376" s="24" t="str">
        <x:v>Atlas-listed tendon/aponeurosis examples: Fibrous sheet into anococcygeal raphe; Fibrous insertions to anococcygeal body; Muscular sling no separate tendon; Broad sacrococcygeal fibrous attachment; additional listed attachments</x:v>
      </x:c>
      <x:c r="L376" s="24" t="str">
        <x:v>Sacrospinous, sacrotuberous and sacroiliac ligaments provide passive support; NOT deliberately stretched</x:v>
      </x:c>
      <x:c r="M376" s="24" t="str">
        <x:v>Muscles: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muscle; Diaphragm costal part; Diaphragm lumbar part / crura; Diaphragm sternal part | Tendons/fascia: Atlas-listed tendon/aponeurosis examples: Fibrous sheet into anococcygeal raphe; Fibrous insertions to anococcygeal body; Muscular sling no separate tendon; Broad sacrococcygeal fibrous attachment; additional listed attachments | Ligament context only: Sacrospinous, sacrotuberous and sacroiliac ligaments provide passive support; NOT deliberately stretched</x:v>
      </x:c>
      <x:c r="N376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</x:v>
      </x:c>
      <x:c r="O376" s="24" t="str">
        <x:v>In a relaxed seated posture, contract gently while breathing, then release.</x:v>
      </x:c>
      <x:c r="P376" s="24" t="str">
        <x:v>Chair</x:v>
      </x:c>
      <x:c r="Q376" s="24" t="str">
        <x:v>2–3 × 8–12 controlled reps</x:v>
      </x:c>
      <x:c r="R376" s="24" t="str">
        <x:v>Individual evaluation for pelvic floor pain, pregnancy, postpartum, or prolapse.</x:v>
      </x:c>
      <x:c r="S376" s="24" t="str">
        <x:v>https://myjointhealthhub.bnssg.nhs.uk/how-to-do-pelvic-floor-exercises/</x:v>
      </x:c>
      <x:c r="T376" s="24" t="str">
        <x:v>Anatomy-based mapping</x:v>
      </x:c>
    </x:row>
    <x:row r="377" ht="54" customHeight="1">
      <x:c r="A377" s="24" t="str">
        <x:v>EX0374</x:v>
      </x:c>
      <x:c r="B377" s="24" t="str">
        <x:v>Standing pelvic floor functional activation</x:v>
      </x:c>
      <x:c r="C377" s="24" t="str">
        <x:v>Pelvis &amp; Perineum</x:v>
      </x:c>
      <x:c r="D377" s="24" t="str">
        <x:v>Home</x:v>
      </x:c>
      <x:c r="E377" s="24" t="str">
        <x:v>Motor control</x:v>
      </x:c>
      <x:c r="F377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G377" s="24" t="str">
        <x:v>Rectus abdominis; External oblique; Internal oblique; Transversus abdominis</x:v>
      </x:c>
      <x:c r="H377" s="24" t="str">
        <x:v>Gluteus medius; Gluteus minimus; Tensor fasciae latae</x:v>
      </x:c>
      <x:c r="I377" s="24" t="str">
        <x:v>—</x:v>
      </x:c>
      <x:c r="J377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Rectus abdominis; External oblique; Internal oblique; Transversus abdominis; Gluteus medius; Gluteus minimus; Tensor fasciae latae</x:v>
      </x:c>
      <x:c r="K377" s="24" t="str">
        <x:v>Atlas-listed tendon/aponeurosis examples: Fibrous sheet into anococcygeal raphe; Fibrous insertions to anococcygeal body; Muscular sling no separate tendon; Broad sacrococcygeal fibrous attachment; additional listed attachments</x:v>
      </x:c>
      <x:c r="L377" s="24" t="str">
        <x:v>Sacrospinous, sacrotuberous and sacroiliac ligaments provide passive support; NOT deliberately stretched</x:v>
      </x:c>
      <x:c r="M377" s="24" t="str">
        <x:v>Muscles: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Rectus abdominis; External oblique; Internal oblique; Transversus abdominis; Gluteus medius; Gluteus minimus; Tensor fasciae latae | Tendons/fascia: Atlas-listed tendon/aponeurosis examples: Fibrous sheet into anococcygeal raphe; Fibrous insertions to anococcygeal body; Muscular sling no separate tendon; Broad sacrococcygeal fibrous attachment; additional listed attachments | Ligament context only: Sacrospinous, sacrotuberous and sacroiliac ligaments provide passive support; NOT deliberately stretched</x:v>
      </x:c>
      <x:c r="N377" s="24" t="str">
        <x:v>Low-load activation, not ordinarily to fatigue: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O377" s="24" t="str">
        <x:v>Gently lift and relax pelvic floor while standing with normal breath.</x:v>
      </x:c>
      <x:c r="P377" s="24" t="str">
        <x:v>None</x:v>
      </x:c>
      <x:c r="Q377" s="24" t="str">
        <x:v>1–2 × 5–10 controlled reps</x:v>
      </x:c>
      <x:c r="R377" s="24" t="str">
        <x:v>Progress gradually; stop with sharp pain, dizziness, or numbness.</x:v>
      </x:c>
      <x:c r="S377" s="24" t="str">
        <x:v>https://myjointhealthhub.bnssg.nhs.uk/how-to-do-pelvic-floor-exercises/</x:v>
      </x:c>
      <x:c r="T377" s="24" t="str">
        <x:v>Anatomy-based mapping</x:v>
      </x:c>
    </x:row>
    <x:row r="378" ht="54" customHeight="1">
      <x:c r="A378" s="24" t="str">
        <x:v>EX0375</x:v>
      </x:c>
      <x:c r="B378" s="24" t="str">
        <x:v>Band straight-arm shoulder flexion and slight adduction</x:v>
      </x:c>
      <x:c r="C378" s="24" t="str">
        <x:v>Shoulder &amp; Chest</x:v>
      </x:c>
      <x:c r="D378" s="24" t="str">
        <x:v>Home</x:v>
      </x:c>
      <x:c r="E378" s="24" t="str">
        <x:v>Band strength</x:v>
      </x:c>
      <x:c r="F378" s="24" t="str">
        <x:v>Coracobrachialis; Deltoid</x:v>
      </x:c>
      <x:c r="G378" s="24" t="str">
        <x:v>Pectoralis major</x:v>
      </x:c>
      <x:c r="H378" s="24" t="str">
        <x:v>Subscapularis; Subclavius</x:v>
      </x:c>
      <x:c r="I378" s="24" t="str">
        <x:v>—</x:v>
      </x:c>
      <x:c r="J378" s="24" t="str">
        <x:v>Coracobrachialis; Deltoid; Pectoralis major; Subscapularis; Subclavius</x:v>
      </x:c>
      <x:c r="K378" s="24" t="str">
        <x:v>Coracobrachialis insertion; pectoralis major tendon</x:v>
      </x:c>
      <x:c r="L378" s="24" t="str">
        <x:v>Coracoclavicular and costoclavicular ligaments stabilize the shoulder girdle passively; no targeted stretching</x:v>
      </x:c>
      <x:c r="M378" s="24" t="str">
        <x:v>Muscles: Coracobrachialis; Deltoid; Pectoralis major; Subscapularis; Subclavius | Tendons/fascia: Coracobrachialis insertion; pectoralis major tendon | Ligament context only: Coracoclavicular and costoclavicular ligaments stabilize the shoulder girdle passively; no targeted stretching</x:v>
      </x:c>
      <x:c r="N378" s="24" t="str">
        <x:v>Coracobrachialis; Deltoid; Pectoralis major</x:v>
      </x:c>
      <x:c r="O378" s="24" t="str">
        <x:v>With a very light band behind hand, bring slightly abducted straight arm forward and toward midline, avoiding end-range stretch.</x:v>
      </x:c>
      <x:c r="P378" s="24" t="str">
        <x:v>Light band</x:v>
      </x:c>
      <x:c r="Q378" s="24" t="str">
        <x:v>2–3 × 8–12 controlled reps</x:v>
      </x:c>
      <x:c r="R378" s="24" t="str">
        <x:v>Progress gradually; stop with sharp pain, dizziness, or numbness.</x:v>
      </x:c>
      <x:c r="S378" s="24" t="str">
        <x:v>https://orthoinfo.aaos.org/globalassets/pdfs/2024-rotator-cuff-and-shoulder-conditioning-program.pdf</x:v>
      </x:c>
      <x:c r="T378" s="24" t="str">
        <x:v>Anatomy-based mapping</x:v>
      </x:c>
    </x:row>
    <x:row r="379" ht="54" customHeight="1">
      <x:c r="A379" s="24" t="str">
        <x:v>EX0376</x:v>
      </x:c>
      <x:c r="B379" s="24" t="str">
        <x:v>Clavicle-set isometric: gentle arm press into wall</x:v>
      </x:c>
      <x:c r="C379" s="24" t="str">
        <x:v>Shoulder &amp; Chest</x:v>
      </x:c>
      <x:c r="D379" s="24" t="str">
        <x:v>Home</x:v>
      </x:c>
      <x:c r="E379" s="24" t="str">
        <x:v>Isometric strength</x:v>
      </x:c>
      <x:c r="F379" s="24" t="str">
        <x:v>Pectoralis minor</x:v>
      </x:c>
      <x:c r="G379" s="24" t="str">
        <x:v>Serratus anterior</x:v>
      </x:c>
      <x:c r="H379" s="24" t="str">
        <x:v>Subclavius; Trapezius</x:v>
      </x:c>
      <x:c r="I379" s="24" t="str">
        <x:v>—</x:v>
      </x:c>
      <x:c r="J379" s="24" t="str">
        <x:v>Pectoralis minor; Serratus anterior; Subclavius; Trapezius</x:v>
      </x:c>
      <x:c r="K379" s="24" t="str">
        <x:v>Pectoralis minor coracoid insertion; subclavius insertion tissue</x:v>
      </x:c>
      <x:c r="L379" s="24" t="str">
        <x:v>Costoclavicular and sternoclavicular ligamentous support (passive, not stretch targets)</x:v>
      </x:c>
      <x:c r="M379" s="24" t="str">
        <x:v>Muscles: Pectoralis minor; Serratus anterior; Subclavius; Trapezius | Tendons/fascia: Pectoralis minor coracoid insertion; subclavius insertion tissue | Ligament context only: Costoclavicular and sternoclavicular ligamentous support (passive, not stretch targets)</x:v>
      </x:c>
      <x:c r="N379" s="24" t="str">
        <x:v>Pectoralis minor; Serratus anterior</x:v>
      </x:c>
      <x:c r="O379" s="24" t="str">
        <x:v>Stand beside wall with elbow bent, gently press forearm and stabilize collarbone without breath-holding.</x:v>
      </x:c>
      <x:c r="P379" s="24" t="str">
        <x:v>Wall</x:v>
      </x:c>
      <x:c r="Q379" s="24" t="str">
        <x:v>2–3 × 8–12 controlled reps</x:v>
      </x:c>
      <x:c r="R379" s="24" t="str">
        <x:v>Progress gradually; stop with sharp pain, dizziness, or numbness.</x:v>
      </x:c>
      <x:c r="S379" s="24" t="str">
        <x:v>https://orthoinfo.aaos.org/globalassets/pdfs/2024-rotator-cuff-and-shoulder-conditioning-program.pdf</x:v>
      </x:c>
      <x:c r="T379" s="24" t="str">
        <x:v>Subclavius role inferred; not an isolated strengthening drill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0eaf1f23c56d40c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40" hidden="0" customWidth="1"/>
    <x:col min="3" max="3" width="22" hidden="0" customWidth="1"/>
    <x:col min="4" max="4" width="15" hidden="0" customWidth="1"/>
    <x:col min="5" max="5" width="24" hidden="0" customWidth="1"/>
    <x:col min="6" max="6" width="43" hidden="0" customWidth="1"/>
    <x:col min="7" max="7" width="43" hidden="0" customWidth="1"/>
    <x:col min="8" max="8" width="44" hidden="0" customWidth="1"/>
    <x:col min="9" max="9" width="43" hidden="0" customWidth="1"/>
    <x:col min="10" max="10" width="48" hidden="0" customWidth="1"/>
    <x:col min="11" max="11" width="46" hidden="0" customWidth="1"/>
    <x:col min="12" max="12" width="45" hidden="0" customWidth="1"/>
    <x:col min="13" max="13" width="54" hidden="0" customWidth="1"/>
    <x:col min="14" max="14" width="50" hidden="0" customWidth="1"/>
    <x:col min="15" max="15" width="52" hidden="0" customWidth="1"/>
    <x:col min="16" max="16" width="26" hidden="0" customWidth="1"/>
    <x:col min="17" max="17" width="30" hidden="0" customWidth="1"/>
    <x:col min="18" max="18" width="52" hidden="0" customWidth="1"/>
    <x:col min="19" max="19" width="42" hidden="0" customWidth="1"/>
    <x:col min="20" max="20" width="28" hidden="0" customWidth="1"/>
  </x:cols>
  <x:sheetData>
    <x:row r="1" ht="36" customHeight="1">
      <x:c r="A1" s="4" t="str">
        <x:v>HOME EXERCISE LIBRARY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25" customHeight="1">
      <x:c r="A2" s="10" t="str">
        <x:v>Calisthenics, bands, home objects, mobility, and low-load functional work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3" ht="42" customHeight="1">
      <x:c r="A3" s="17" t="str">
        <x:v>Exercise ID</x:v>
      </x:c>
      <x:c r="B3" s="17" t="str">
        <x:v>Exercise / stretch</x:v>
      </x:c>
      <x:c r="C3" s="17" t="str">
        <x:v>Body region</x:v>
      </x:c>
      <x:c r="D3" s="17" t="str">
        <x:v>Home or Gym</x:v>
      </x:c>
      <x:c r="E3" s="17" t="str">
        <x:v>Movement category</x:v>
      </x:c>
      <x:c r="F3" s="17" t="str">
        <x:v>Primary muscles (active)</x:v>
      </x:c>
      <x:c r="G3" s="17" t="str">
        <x:v>Assisting muscles (active)</x:v>
      </x:c>
      <x:c r="H3" s="17" t="str">
        <x:v>Stabilizers (may fatigue)</x:v>
      </x:c>
      <x:c r="I3" s="17" t="str">
        <x:v>Muscles lengthened / stretched</x:v>
      </x:c>
      <x:c r="J3" s="17" t="str">
        <x:v>All named muscles involved</x:v>
      </x:c>
      <x:c r="K3" s="17" t="str">
        <x:v>Tendons / fascia loaded or mobilized</x:v>
      </x:c>
      <x:c r="L3" s="17" t="str">
        <x:v>Ligaments / retinacula: joint context ONLY</x:v>
      </x:c>
      <x:c r="M3" s="17" t="str">
        <x:v>ALL muscle + tendon + ligament structures supported</x:v>
      </x:c>
      <x:c r="N3" s="17" t="str">
        <x:v>Muscles LIKELY TO FATIGUE / activation note</x:v>
      </x:c>
      <x:c r="O3" s="17" t="str">
        <x:v>How to perform</x:v>
      </x:c>
      <x:c r="P3" s="17" t="str">
        <x:v>Equipment</x:v>
      </x:c>
      <x:c r="Q3" s="17" t="str">
        <x:v>Example dosage (not a prescription)</x:v>
      </x:c>
      <x:c r="R3" s="17" t="str">
        <x:v>Safety / contraindication notes</x:v>
      </x:c>
      <x:c r="S3" s="17" t="str">
        <x:v>Reference URL (background or example)</x:v>
      </x:c>
      <x:c r="T3" s="17" t="str">
        <x:v>Mapping evidence level</x:v>
      </x:c>
    </x:row>
    <x:row r="4" ht="54" customHeight="1">
      <x:c r="A4" s="24" t="str">
        <x:v>EX0001</x:v>
      </x:c>
      <x:c r="B4" s="24" t="str">
        <x:v>Standard push-up</x:v>
      </x:c>
      <x:c r="C4" s="24" t="str">
        <x:v>Shoulder &amp; Chest</x:v>
      </x:c>
      <x:c r="D4" s="24" t="str">
        <x:v>Home</x:v>
      </x:c>
      <x:c r="E4" s="24" t="str">
        <x:v>Compound strength</x:v>
      </x:c>
      <x:c r="F4" s="24" t="str">
        <x:v>Pectoralis major; Triceps brachii lateral head; Triceps brachii long head; Triceps brachii medial head</x:v>
      </x:c>
      <x:c r="G4" s="24" t="str">
        <x:v>Deltoid; Supraspinatus; Serratus anterior; Pectoralis minor</x:v>
      </x:c>
      <x:c r="H4" s="24" t="str">
        <x:v>Rectus abdominis; External oblique; Internal oblique; Transversus abdominis; Infraspinatus; Subscapularis; Teres minor</x:v>
      </x:c>
      <x:c r="I4" s="24" t="str">
        <x:v>—</x:v>
      </x:c>
      <x:c r="J4" s="24" t="str">
        <x:v>Pectoralis major; Triceps brachii lateral head; Triceps brachii long head; Triceps brachii medial head; Deltoid; Supraspinatus; Serratus anterior; Pectoralis minor; Rectus abdominis; External oblique; Internal oblique; Transversus abdominis; Infraspinatus; Subscapularis; Teres minor</x:v>
      </x:c>
      <x:c r="K4" s="24" t="str">
        <x:v>Pectoralis major insertion; triceps tendon; serratus anterior slips</x:v>
      </x:c>
      <x:c r="L4" s="24" t="str">
        <x:v>Glenohumeral capsuloligamentous structures provide passive joint stability; not deliberately stretched</x:v>
      </x:c>
      <x:c r="M4" s="24" t="str">
        <x:v>Muscles: Pectoralis major; Triceps brachii lateral head; Triceps brachii long head; Triceps brachii medial head; Deltoid; Supraspinatus; Serratus anterior; Pectoralis minor; Rectus abdominis; External oblique; Internal oblique; Transversus abdominis; Infraspinatus; Subscapularis; Teres minor | Tendons/fascia: Pectoralis major insertion; triceps tendon; serratus anterior slips | Ligament context only: Glenohumeral capsuloligamentous structures provide passive joint stability; not deliberately stretched</x:v>
      </x:c>
      <x:c r="N4" s="24" t="str">
        <x:v>Pectoralis major; Triceps brachii lateral head; Triceps brachii long head; Triceps brachii medial head; Deltoid; Supraspinatus; Serratus anterior; Pectoralis minor</x:v>
      </x:c>
      <x:c r="O4" s="24" t="str">
        <x:v>Hands under/slightly wider than shoulders; lower chest with elbows ~30–60° from trunk, then press up.</x:v>
      </x:c>
      <x:c r="P4" s="24" t="str">
        <x:v>Floor or mat</x:v>
      </x:c>
      <x:c r="Q4" s="24" t="str">
        <x:v>2–3 × 8–12 controlled reps</x:v>
      </x:c>
      <x:c r="R4" s="24" t="str">
        <x:v>Progress gradually; stop with sharp pain, dizziness, or numbness.</x:v>
      </x:c>
      <x:c r="S4" s="24" t="str">
        <x:v>https://orthoinfo.aaos.org/globalassets/pdfs/2024-rotator-cuff-and-shoulder-conditioning-program.pdf</x:v>
      </x:c>
      <x:c r="T4" s="24" t="str">
        <x:v>Anatomy-based mapping</x:v>
      </x:c>
    </x:row>
    <x:row r="5" ht="54" customHeight="1">
      <x:c r="A5" s="24" t="str">
        <x:v>EX0002</x:v>
      </x:c>
      <x:c r="B5" s="24" t="str">
        <x:v>Incline countertop / wall push-up</x:v>
      </x:c>
      <x:c r="C5" s="24" t="str">
        <x:v>Shoulder &amp; Chest</x:v>
      </x:c>
      <x:c r="D5" s="24" t="str">
        <x:v>Home</x:v>
      </x:c>
      <x:c r="E5" s="24" t="str">
        <x:v>Compound strength</x:v>
      </x:c>
      <x:c r="F5" s="24" t="str">
        <x:v>Pectoralis major; Triceps brachii lateral head; Triceps brachii long head; Triceps brachii medial head</x:v>
      </x:c>
      <x:c r="G5" s="24" t="str">
        <x:v>Serratus anterior; Pectoralis minor; Deltoid; Supraspinatus</x:v>
      </x:c>
      <x:c r="H5" s="24" t="str">
        <x:v>Rectus abdominis; External oblique; Internal oblique; Transversus abdominis; Infraspinatus; Subscapularis; Teres minor</x:v>
      </x:c>
      <x:c r="I5" s="24" t="str">
        <x:v>—</x:v>
      </x:c>
      <x:c r="J5" s="24" t="str">
        <x:v>Pectoralis major; Triceps brachii lateral head; Triceps brachii long head; Triceps brachii medial head; Serratus anterior; Pectoralis minor; Deltoid; Supraspinatus; Rectus abdominis; External oblique; Internal oblique; Transversus abdominis; Infraspinatus; Subscapularis; Teres minor</x:v>
      </x:c>
      <x:c r="K5" s="24" t="str">
        <x:v>Pectoralis major and triceps tendons</x:v>
      </x:c>
      <x:c r="L5" s="24" t="str">
        <x:v>Shoulder capsule and coracoclavicular/acromioclavicular ligaments support joint stability; NOT targeted for stretching</x:v>
      </x:c>
      <x:c r="M5" s="24" t="str">
        <x:v>Muscles: Pectoralis major; Triceps brachii lateral head; Triceps brachii long head; Triceps brachii medial head; Serratus anterior; Pectoralis minor; Deltoid; Supraspinatus; Rectus abdominis; External oblique; Internal oblique; Transversus abdominis; Infraspinatus; Subscapularis; Teres minor | Tendons/fascia: Pectoralis major and triceps tendons | Ligament context only: Shoulder capsule and coracoclavicular/acromioclavicular ligaments support joint stability; NOT targeted for stretching</x:v>
      </x:c>
      <x:c r="N5" s="24" t="str">
        <x:v>Pectoralis major; Triceps brachii lateral head; Triceps brachii long head; Triceps brachii medial head; Serratus anterior; Pectoralis minor; Deltoid; Supraspinatus</x:v>
      </x:c>
      <x:c r="O5" s="24" t="str">
        <x:v>Press against a stable countertop or wall; keep body in one line.</x:v>
      </x:c>
      <x:c r="P5" s="24" t="str">
        <x:v>Stable countertop or wall</x:v>
      </x:c>
      <x:c r="Q5" s="24" t="str">
        <x:v>2–3 × 8–12 controlled reps</x:v>
      </x:c>
      <x:c r="R5" s="24" t="str">
        <x:v>Progress gradually; stop with sharp pain, dizziness, or numbness.</x:v>
      </x:c>
      <x:c r="S5" s="24" t="str">
        <x:v>https://orthoinfo.aaos.org/globalassets/pdfs/2024-rotator-cuff-and-shoulder-conditioning-program.pdf</x:v>
      </x:c>
      <x:c r="T5" s="24" t="str">
        <x:v>Anatomy-based mapping</x:v>
      </x:c>
    </x:row>
    <x:row r="6" ht="54" customHeight="1">
      <x:c r="A6" s="24" t="str">
        <x:v>EX0003</x:v>
      </x:c>
      <x:c r="B6" s="24" t="str">
        <x:v>Knee push-up</x:v>
      </x:c>
      <x:c r="C6" s="24" t="str">
        <x:v>Shoulder &amp; Chest</x:v>
      </x:c>
      <x:c r="D6" s="24" t="str">
        <x:v>Home</x:v>
      </x:c>
      <x:c r="E6" s="24" t="str">
        <x:v>Compound strength</x:v>
      </x:c>
      <x:c r="F6" s="24" t="str">
        <x:v>Pectoralis major; Triceps brachii lateral head; Triceps brachii long head; Triceps brachii medial head</x:v>
      </x:c>
      <x:c r="G6" s="24" t="str">
        <x:v>Serratus anterior; Pectoralis minor</x:v>
      </x:c>
      <x:c r="H6" s="24" t="str">
        <x:v>Rectus abdominis; External oblique; Internal oblique; Transversus abdominis; Infraspinatus; Subscapularis; Supraspinatus; Teres minor</x:v>
      </x:c>
      <x:c r="I6" s="24" t="str">
        <x:v>—</x:v>
      </x:c>
      <x:c r="J6" s="24" t="str">
        <x:v>Pectoralis major; Triceps brachii lateral head; Triceps brachii long head; Triceps brachii medial head; Serratus anterior; Pectoralis minor; Rectus abdominis; External oblique; Internal oblique; Transversus abdominis; Infraspinatus; Subscapularis; Supraspinatus; Teres minor</x:v>
      </x:c>
      <x:c r="K6" s="24" t="str">
        <x:v>Pectoralis major/triceps tendons</x:v>
      </x:c>
      <x:c r="L6" s="24" t="str">
        <x:v>Shoulder capsule and coracoclavicular/acromioclavicular ligaments support joint stability; NOT targeted for stretching</x:v>
      </x:c>
      <x:c r="M6" s="24" t="str">
        <x:v>Muscles: Pectoralis major; Triceps brachii lateral head; Triceps brachii long head; Triceps brachii medial head; Serratus anterior; Pectoralis minor; Rectus abdominis; External oblique; Internal oblique; Transversus abdominis; Infraspinatus; Subscapularis; Supraspinatus; Teres minor | Tendons/fascia: Pectoralis major/triceps tendons | Ligament context only: Shoulder capsule and coracoclavicular/acromioclavicular ligaments support joint stability; NOT targeted for stretching</x:v>
      </x:c>
      <x:c r="N6" s="24" t="str">
        <x:v>Pectoralis major; Triceps brachii lateral head; Triceps brachii long head; Triceps brachii medial head; Serratus anterior; Pectoralis minor</x:v>
      </x:c>
      <x:c r="O6" s="24" t="str">
        <x:v>Perform a push-up from knees with hips extended and trunk controlled.</x:v>
      </x:c>
      <x:c r="P6" s="24" t="str">
        <x:v>Bodyweight</x:v>
      </x:c>
      <x:c r="Q6" s="24" t="str">
        <x:v>2–3 × 8–12 controlled reps</x:v>
      </x:c>
      <x:c r="R6" s="24" t="str">
        <x:v>Progress gradually; stop with sharp pain, dizziness, or numbness.</x:v>
      </x:c>
      <x:c r="S6" s="24" t="str">
        <x:v>https://orthoinfo.aaos.org/globalassets/pdfs/2024-rotator-cuff-and-shoulder-conditioning-program.pdf</x:v>
      </x:c>
      <x:c r="T6" s="24" t="str">
        <x:v>Anatomy-based mapping</x:v>
      </x:c>
    </x:row>
    <x:row r="7" ht="54" customHeight="1">
      <x:c r="A7" s="24" t="str">
        <x:v>EX0004</x:v>
      </x:c>
      <x:c r="B7" s="24" t="str">
        <x:v>Close-grip push-up</x:v>
      </x:c>
      <x:c r="C7" s="24" t="str">
        <x:v>Shoulder &amp; Chest</x:v>
      </x:c>
      <x:c r="D7" s="24" t="str">
        <x:v>Home</x:v>
      </x:c>
      <x:c r="E7" s="24" t="str">
        <x:v>Compound strength</x:v>
      </x:c>
      <x:c r="F7" s="24" t="str">
        <x:v>Triceps brachii lateral head; Triceps brachii long head; Triceps brachii medial head; Pectoralis major</x:v>
      </x:c>
      <x:c r="G7" s="24" t="str">
        <x:v>Serratus anterior; Pectoralis minor; Deltoid; Supraspinatus</x:v>
      </x:c>
      <x:c r="H7" s="24" t="str">
        <x:v>Rectus abdominis; External oblique; Internal oblique; Transversus abdominis; Infraspinatus; Subscapularis; Teres minor</x:v>
      </x:c>
      <x:c r="I7" s="24" t="str">
        <x:v>—</x:v>
      </x:c>
      <x:c r="J7" s="24" t="str">
        <x:v>Triceps brachii lateral head; Triceps brachii long head; Triceps brachii medial head; Pectoralis major; Serratus anterior; Pectoralis minor; Deltoid; Supraspinatus; Rectus abdominis; External oblique; Internal oblique; Transversus abdominis; Infraspinatus; Subscapularis; Teres minor</x:v>
      </x:c>
      <x:c r="K7" s="24" t="str">
        <x:v>Triceps and pectoralis major tendons</x:v>
      </x:c>
      <x:c r="L7" s="24" t="str">
        <x:v>Shoulder capsule and coracoclavicular/acromioclavicular ligaments support joint stability; NOT targeted for stretching</x:v>
      </x:c>
      <x:c r="M7" s="24" t="str">
        <x:v>Muscles: Triceps brachii lateral head; Triceps brachii long head; Triceps brachii medial head; Pectoralis major; Serratus anterior; Pectoralis minor; Deltoid; Supraspinatus; Rectus abdominis; External oblique; Internal oblique; Transversus abdominis; Infraspinatus; Subscapularis; Teres minor | Tendons/fascia: Triceps and pectoralis major tendons | Ligament context only: Shoulder capsule and coracoclavicular/acromioclavicular ligaments support joint stability; NOT targeted for stretching</x:v>
      </x:c>
      <x:c r="N7" s="24" t="str">
        <x:v>Triceps brachii lateral head; Triceps brachii long head; Triceps brachii medial head; Pectoralis major; Serratus anterior; Pectoralis minor; Deltoid; Supraspinatus</x:v>
      </x:c>
      <x:c r="O7" s="24" t="str">
        <x:v>Hands inside shoulder width (not necessarily touching); lower with elbows close.</x:v>
      </x:c>
      <x:c r="P7" s="24" t="str">
        <x:v>Bodyweight</x:v>
      </x:c>
      <x:c r="Q7" s="24" t="str">
        <x:v>2–3 × 8–12 controlled reps</x:v>
      </x:c>
      <x:c r="R7" s="24" t="str">
        <x:v>Progress gradually; stop with sharp pain, dizziness, or numbness.</x:v>
      </x:c>
      <x:c r="S7" s="24" t="str">
        <x:v>https://orthoinfo.aaos.org/globalassets/pdfs/2024-rotator-cuff-and-shoulder-conditioning-program.pdf</x:v>
      </x:c>
      <x:c r="T7" s="24" t="str">
        <x:v>Anatomy-based mapping</x:v>
      </x:c>
    </x:row>
    <x:row r="8" ht="54" customHeight="1">
      <x:c r="A8" s="24" t="str">
        <x:v>EX0005</x:v>
      </x:c>
      <x:c r="B8" s="24" t="str">
        <x:v>Decline feet-elevated push-up</x:v>
      </x:c>
      <x:c r="C8" s="24" t="str">
        <x:v>Shoulder &amp; Chest</x:v>
      </x:c>
      <x:c r="D8" s="24" t="str">
        <x:v>Home</x:v>
      </x:c>
      <x:c r="E8" s="24" t="str">
        <x:v>Compound strength</x:v>
      </x:c>
      <x:c r="F8" s="24" t="str">
        <x:v>Pectoralis major; Deltoid; Supraspinatus; Triceps brachii lateral head; Triceps brachii long head; Triceps brachii medial head</x:v>
      </x:c>
      <x:c r="G8" s="24" t="str">
        <x:v>Serratus anterior; Pectoralis minor</x:v>
      </x:c>
      <x:c r="H8" s="24" t="str">
        <x:v>Rectus abdominis; External oblique; Internal oblique; Transversus abdominis; Infraspinatus; Subscapularis; Teres minor</x:v>
      </x:c>
      <x:c r="I8" s="24" t="str">
        <x:v>—</x:v>
      </x:c>
      <x:c r="J8" s="24" t="str">
        <x:v>Pectoralis major; Deltoid; Supraspinatus; Triceps brachii lateral head; Triceps brachii long head; Triceps brachii medial head; Serratus anterior; Pectoralis minor; Rectus abdominis; External oblique; Internal oblique; Transversus abdominis; Infraspinatus; Subscapularis; Teres minor</x:v>
      </x:c>
      <x:c r="K8" s="24" t="str">
        <x:v>Pectoralis major; triceps; deltoid insertions</x:v>
      </x:c>
      <x:c r="L8" s="24" t="str">
        <x:v>Shoulder capsule and coracoclavicular/acromioclavicular ligaments support joint stability; NOT targeted for stretching</x:v>
      </x:c>
      <x:c r="M8" s="24" t="str">
        <x:v>Muscles: Pectoralis major; Deltoid; Supraspinatus; Triceps brachii lateral head; Triceps brachii long head; Triceps brachii medial head; Serratus anterior; Pectoralis minor; Rectus abdominis; External oblique; Internal oblique; Transversus abdominis; Infraspinatus; Subscapularis; Teres minor | Tendons/fascia: Pectoralis major; triceps; deltoid insertions | Ligament context only: Shoulder capsule and coracoclavicular/acromioclavicular ligaments support joint stability; NOT targeted for stretching</x:v>
      </x:c>
      <x:c r="N8" s="24" t="str">
        <x:v>Pectoralis major; Deltoid; Supraspinatus; Triceps brachii lateral head; Triceps brachii long head; Triceps brachii medial head; Serratus anterior; Pectoralis minor</x:v>
      </x:c>
      <x:c r="O8" s="24" t="str">
        <x:v>Feet on low secure platform; press through a pain-free range.</x:v>
      </x:c>
      <x:c r="P8" s="24" t="str">
        <x:v>Floor; stable low step</x:v>
      </x:c>
      <x:c r="Q8" s="24" t="str">
        <x:v>2–3 × 8–12 controlled reps</x:v>
      </x:c>
      <x:c r="R8" s="24" t="str">
        <x:v>Progress gradually; stop with sharp pain, dizziness, or numbness.</x:v>
      </x:c>
      <x:c r="S8" s="24" t="str">
        <x:v>https://orthoinfo.aaos.org/globalassets/pdfs/2024-rotator-cuff-and-shoulder-conditioning-program.pdf</x:v>
      </x:c>
      <x:c r="T8" s="24" t="str">
        <x:v>Anatomy-based mapping</x:v>
      </x:c>
    </x:row>
    <x:row r="9" ht="54" customHeight="1">
      <x:c r="A9" s="24" t="str">
        <x:v>EX0006</x:v>
      </x:c>
      <x:c r="B9" s="24" t="str">
        <x:v>Scapular push-up / push-up plus</x:v>
      </x:c>
      <x:c r="C9" s="24" t="str">
        <x:v>Shoulder &amp; Chest</x:v>
      </x:c>
      <x:c r="D9" s="24" t="str">
        <x:v>Home</x:v>
      </x:c>
      <x:c r="E9" s="24" t="str">
        <x:v>Isolation strength</x:v>
      </x:c>
      <x:c r="F9" s="24" t="str">
        <x:v>Serratus anterior; Pectoralis minor</x:v>
      </x:c>
      <x:c r="G9" s="24" t="str">
        <x:v>Pectoralis major</x:v>
      </x:c>
      <x:c r="H9" s="24" t="str">
        <x:v>Infraspinatus; Subscapularis; Supraspinatus; Teres minor; Rectus abdominis; External oblique; Internal oblique; Transversus abdominis</x:v>
      </x:c>
      <x:c r="I9" s="24" t="str">
        <x:v>—</x:v>
      </x:c>
      <x:c r="J9" s="24" t="str">
        <x:v>Serratus anterior; Pectoralis minor; Pectoralis major; Infraspinatus; Subscapularis; Supraspinatus; Teres minor; Rectus abdominis; External oblique; Internal oblique; Transversus abdominis</x:v>
      </x:c>
      <x:c r="K9" s="24" t="str">
        <x:v>Serratus anterior rib/scapular attachments</x:v>
      </x:c>
      <x:c r="L9" s="24" t="str">
        <x:v>Shoulder capsule and coracoclavicular/acromioclavicular ligaments support joint stability; NOT targeted for stretching</x:v>
      </x:c>
      <x:c r="M9" s="24" t="str">
        <x:v>Muscles: Serratus anterior; Pectoralis minor; Pectoralis major; Infraspinatus; Subscapularis; Supraspinatus; Teres minor; Rectus abdominis; External oblique; Internal oblique; Transversus abdominis | Tendons/fascia: Serratus anterior rib/scapular attachments | Ligament context only: Shoulder capsule and coracoclavicular/acromioclavicular ligaments support joint stability; NOT targeted for stretching</x:v>
      </x:c>
      <x:c r="N9" s="24" t="str">
        <x:v>Serratus anterior; Pectoralis minor; Pectoralis major</x:v>
      </x:c>
      <x:c r="O9" s="24" t="str">
        <x:v>Arms straight in high plank; glide shoulder blades together then reach floor away.</x:v>
      </x:c>
      <x:c r="P9" s="24" t="str">
        <x:v>Bodyweight</x:v>
      </x:c>
      <x:c r="Q9" s="24" t="str">
        <x:v>2–3 × 8–12 controlled reps</x:v>
      </x:c>
      <x:c r="R9" s="24" t="str">
        <x:v>Progress gradually; stop with sharp pain, dizziness, or numbness.</x:v>
      </x:c>
      <x:c r="S9" s="24" t="str">
        <x:v>https://orthoinfo.aaos.org/globalassets/pdfs/2024-rotator-cuff-and-shoulder-conditioning-program.pdf</x:v>
      </x:c>
      <x:c r="T9" s="24" t="str">
        <x:v>Anatomy-based mapping</x:v>
      </x:c>
    </x:row>
    <x:row r="10" ht="54" customHeight="1">
      <x:c r="A10" s="24" t="str">
        <x:v>EX0007</x:v>
      </x:c>
      <x:c r="B10" s="24" t="str">
        <x:v>Pike push-up</x:v>
      </x:c>
      <x:c r="C10" s="24" t="str">
        <x:v>Shoulder &amp; Chest</x:v>
      </x:c>
      <x:c r="D10" s="24" t="str">
        <x:v>Home</x:v>
      </x:c>
      <x:c r="E10" s="24" t="str">
        <x:v>Compound strength</x:v>
      </x:c>
      <x:c r="F10" s="24" t="str">
        <x:v>Deltoid; Supraspinatus; Triceps brachii lateral head; Triceps brachii long head; Triceps brachii medial head</x:v>
      </x:c>
      <x:c r="G10" s="24" t="str">
        <x:v>Trapezius; Serratus anterior</x:v>
      </x:c>
      <x:c r="H10" s="24" t="str">
        <x:v>Infraspinatus; Subscapularis; Teres minor; Rectus abdominis; External oblique; Internal oblique; Transversus abdominis</x:v>
      </x:c>
      <x:c r="I10" s="24" t="str">
        <x:v>—</x:v>
      </x:c>
      <x:c r="J10" s="24" t="str">
        <x:v>Deltoid; Supraspinatus; Triceps brachii lateral head; Triceps brachii long head; Triceps brachii medial head; Trapezius; Serratus anterior; Infraspinatus; Subscapularis; Teres minor; Rectus abdominis; External oblique; Internal oblique; Transversus abdominis</x:v>
      </x:c>
      <x:c r="K10" s="24" t="str">
        <x:v>Triceps tendon; deltoid insertion</x:v>
      </x:c>
      <x:c r="L10" s="24" t="str">
        <x:v>Shoulder capsule and coracoclavicular/acromioclavicular ligaments support joint stability; NOT targeted for stretching</x:v>
      </x:c>
      <x:c r="M10" s="24" t="str">
        <x:v>Muscles: Deltoid; Supraspinatus; Triceps brachii lateral head; Triceps brachii long head; Triceps brachii medial head; Trapezius; Serratus anterior; Infraspinatus; Subscapularis; Teres minor; Rectus abdominis; External oblique; Internal oblique; Transversus abdominis | Tendons/fascia: Triceps tendon; deltoid insertion | Ligament context only: Shoulder capsule and coracoclavicular/acromioclavicular ligaments support joint stability; NOT targeted for stretching</x:v>
      </x:c>
      <x:c r="N10" s="24" t="str">
        <x:v>Deltoid; Supraspinatus; Triceps brachii lateral head; Triceps brachii long head; Triceps brachii medial head; Trapezius; Serratus anterior</x:v>
      </x:c>
      <x:c r="O10" s="24" t="str">
        <x:v>Hips high in inverted V; bend elbows to lower head ahead of hands, press up.</x:v>
      </x:c>
      <x:c r="P10" s="24" t="str">
        <x:v>Bodyweight</x:v>
      </x:c>
      <x:c r="Q10" s="24" t="str">
        <x:v>2–3 × 8–12 controlled reps</x:v>
      </x:c>
      <x:c r="R10" s="24" t="str">
        <x:v>Progress gradually; stop with sharp pain, dizziness, or numbness.</x:v>
      </x:c>
      <x:c r="S10" s="24" t="str">
        <x:v>https://orthoinfo.aaos.org/globalassets/pdfs/2024-rotator-cuff-and-shoulder-conditioning-program.pdf</x:v>
      </x:c>
      <x:c r="T10" s="24" t="str">
        <x:v>Anatomy-based mapping</x:v>
      </x:c>
    </x:row>
    <x:row r="11" ht="54" customHeight="1">
      <x:c r="A11" s="24" t="str">
        <x:v>EX0008</x:v>
      </x:c>
      <x:c r="B11" s="24" t="str">
        <x:v>Wall handstand lean / shrug</x:v>
      </x:c>
      <x:c r="C11" s="24" t="str">
        <x:v>Shoulder &amp; Chest</x:v>
      </x:c>
      <x:c r="D11" s="24" t="str">
        <x:v>Home</x:v>
      </x:c>
      <x:c r="E11" s="24" t="str">
        <x:v>Isometric strength</x:v>
      </x:c>
      <x:c r="F11" s="24" t="str">
        <x:v>Deltoid; Supraspinatus; Trapezius; Serratus anterior</x:v>
      </x:c>
      <x:c r="G11" s="24" t="str">
        <x:v>Triceps brachii lateral head; Triceps brachii long head; Triceps brachii medial head</x:v>
      </x:c>
      <x:c r="H11" s="24" t="str">
        <x:v>Infraspinatus; Subscapularis; Teres minor; Rectus abdominis; External oblique; Internal oblique; Transversus abdominis</x:v>
      </x:c>
      <x:c r="I11" s="24" t="str">
        <x:v>—</x:v>
      </x:c>
      <x:c r="J11" s="24" t="str">
        <x:v>Deltoid; Supraspinatus; Trapezius; Serratus anterior; Triceps brachii lateral head; Triceps brachii long head; Triceps brachii medial head; Infraspinatus; Subscapularis; Teres minor; Rectus abdominis; External oblique; Internal oblique; Transversus abdominis</x:v>
      </x:c>
      <x:c r="K11" s="24" t="str">
        <x:v>Triceps, deltoid, trapezius attachments</x:v>
      </x:c>
      <x:c r="L11" s="24" t="str">
        <x:v>Shoulder capsule and coracoclavicular/acromioclavicular ligaments support joint stability; NOT targeted for stretching</x:v>
      </x:c>
      <x:c r="M11" s="24" t="str">
        <x:v>Muscles: Deltoid; Supraspinatus; Trapezius; Serratus anterior; Triceps brachii lateral head; Triceps brachii long head; Triceps brachii medial head; Infraspinatus; Subscapularis; Teres minor; Rectus abdominis; External oblique; Internal oblique; Transversus abdominis | Tendons/fascia: Triceps, deltoid, trapezius attachments | Ligament context only: Shoulder capsule and coracoclavicular/acromioclavicular ligaments support joint stability; NOT targeted for stretching</x:v>
      </x:c>
      <x:c r="N11" s="24" t="str">
        <x:v>Deltoid; Supraspinatus; Trapezius; Serratus anterior; Triceps brachii lateral head; Triceps brachii long head; Triceps brachii medial head</x:v>
      </x:c>
      <x:c r="O11" s="24" t="str">
        <x:v>Lean hands into wall with overhead arms; shrug and hold without arching back.</x:v>
      </x:c>
      <x:c r="P11" s="24" t="str">
        <x:v>Wall</x:v>
      </x:c>
      <x:c r="Q11" s="24" t="str">
        <x:v>2–3 × 8–12 controlled reps</x:v>
      </x:c>
      <x:c r="R11" s="24" t="str">
        <x:v>Avoid if wrist/shoulder instability; use low-intensity wall version.</x:v>
      </x:c>
      <x:c r="S11" s="24" t="str">
        <x:v>https://orthoinfo.aaos.org/globalassets/pdfs/2024-rotator-cuff-and-shoulder-conditioning-program.pdf</x:v>
      </x:c>
      <x:c r="T11" s="24" t="str">
        <x:v>Anatomy-based mapping</x:v>
      </x:c>
    </x:row>
    <x:row r="12" ht="54" customHeight="1">
      <x:c r="A12" s="24" t="str">
        <x:v>EX0009</x:v>
      </x:c>
      <x:c r="B12" s="24" t="str">
        <x:v>Band chest press</x:v>
      </x:c>
      <x:c r="C12" s="24" t="str">
        <x:v>Shoulder &amp; Chest</x:v>
      </x:c>
      <x:c r="D12" s="24" t="str">
        <x:v>Home</x:v>
      </x:c>
      <x:c r="E12" s="24" t="str">
        <x:v>Band strength</x:v>
      </x:c>
      <x:c r="F12" s="24" t="str">
        <x:v>Pectoralis major; Triceps brachii lateral head; Triceps brachii long head; Triceps brachii medial head</x:v>
      </x:c>
      <x:c r="G12" s="24" t="str">
        <x:v>Serratus anterior; Pectoralis minor; Deltoid; Supraspinatus</x:v>
      </x:c>
      <x:c r="H12" s="24" t="str">
        <x:v>Infraspinatus; Subscapularis; Teres minor; Rectus abdominis; External oblique; Internal oblique; Transversus abdominis</x:v>
      </x:c>
      <x:c r="I12" s="24" t="str">
        <x:v>—</x:v>
      </x:c>
      <x:c r="J12" s="24" t="str">
        <x:v>Pectoralis major; Triceps brachii lateral head; Triceps brachii long head; Triceps brachii medial head; Serratus anterior; Pectoralis minor; Deltoid; Supraspinatus; Infraspinatus; Subscapularis; Teres minor; Rectus abdominis; External oblique; Internal oblique; Transversus abdominis</x:v>
      </x:c>
      <x:c r="K12" s="24" t="str">
        <x:v>Pectoralis major; triceps insertion tendons</x:v>
      </x:c>
      <x:c r="L12" s="24" t="str">
        <x:v>Shoulder capsule and coracoclavicular/acromioclavicular ligaments support joint stability; NOT targeted for stretching</x:v>
      </x:c>
      <x:c r="M12" s="24" t="str">
        <x:v>Muscles: Pectoralis major; Triceps brachii lateral head; Triceps brachii long head; Triceps brachii medial head; Serratus anterior; Pectoralis minor; Deltoid; Supraspinatus; Infraspinatus; Subscapularis; Teres minor; Rectus abdominis; External oblique; Internal oblique; Transversus abdominis | Tendons/fascia: Pectoralis major; triceps insertion tendons | Ligament context only: Shoulder capsule and coracoclavicular/acromioclavicular ligaments support joint stability; NOT targeted for stretching</x:v>
      </x:c>
      <x:c r="N12" s="24" t="str">
        <x:v>Pectoralis major; Triceps brachii lateral head; Triceps brachii long head; Triceps brachii medial head; Serratus anterior; Pectoralis minor; Deltoid; Supraspinatus</x:v>
      </x:c>
      <x:c r="O12" s="24" t="str">
        <x:v>Band secured behind torso at mid-chest; press handles forward without shrugging.</x:v>
      </x:c>
      <x:c r="P12" s="24" t="str">
        <x:v>Long band; secure anchor</x:v>
      </x:c>
      <x:c r="Q12" s="24" t="str">
        <x:v>2–3 × 8–12 controlled reps</x:v>
      </x:c>
      <x:c r="R12" s="24" t="str">
        <x:v>Progress gradually; stop with sharp pain, dizziness, or numbness.</x:v>
      </x:c>
      <x:c r="S12" s="24" t="str">
        <x:v>https://orthoinfo.aaos.org/globalassets/pdfs/2024-rotator-cuff-and-shoulder-conditioning-program.pdf</x:v>
      </x:c>
      <x:c r="T12" s="24" t="str">
        <x:v>Anatomy-based mapping</x:v>
      </x:c>
    </x:row>
    <x:row r="13" ht="54" customHeight="1">
      <x:c r="A13" s="24" t="str">
        <x:v>EX0010</x:v>
      </x:c>
      <x:c r="B13" s="24" t="str">
        <x:v>Band chest fly</x:v>
      </x:c>
      <x:c r="C13" s="24" t="str">
        <x:v>Shoulder &amp; Chest</x:v>
      </x:c>
      <x:c r="D13" s="24" t="str">
        <x:v>Home</x:v>
      </x:c>
      <x:c r="E13" s="24" t="str">
        <x:v>Band strength</x:v>
      </x:c>
      <x:c r="F13" s="24" t="str">
        <x:v>Pectoralis major</x:v>
      </x:c>
      <x:c r="G13" s="24" t="str">
        <x:v>Deltoid; Supraspinatus; Serratus anterior; Pectoralis minor</x:v>
      </x:c>
      <x:c r="H13" s="24" t="str">
        <x:v>Infraspinatus; Subscapularis; Teres minor</x:v>
      </x:c>
      <x:c r="I13" s="24" t="str">
        <x:v>—</x:v>
      </x:c>
      <x:c r="J13" s="24" t="str">
        <x:v>Pectoralis major; Deltoid; Supraspinatus; Serratus anterior; Pectoralis minor; Infraspinatus; Subscapularis; Teres minor</x:v>
      </x:c>
      <x:c r="K13" s="24" t="str">
        <x:v>Pectoralis major tendon</x:v>
      </x:c>
      <x:c r="L13" s="24" t="str">
        <x:v>Shoulder capsule and coracoclavicular/acromioclavicular ligaments support joint stability; NOT targeted for stretching</x:v>
      </x:c>
      <x:c r="M13" s="24" t="str">
        <x:v>Muscles: Pectoralis major; Deltoid; Supraspinatus; Serratus anterior; Pectoralis minor; Infraspinatus; Subscapularis; Teres minor | Tendons/fascia: Pectoralis major tendon | Ligament context only: Shoulder capsule and coracoclavicular/acromioclavicular ligaments support joint stability; NOT targeted for stretching</x:v>
      </x:c>
      <x:c r="N13" s="24" t="str">
        <x:v>Pectoralis major; Deltoid; Supraspinatus; Serratus anterior; Pectoralis minor</x:v>
      </x:c>
      <x:c r="O13" s="24" t="str">
        <x:v>With soft elbows and band behind you, arc arms inward; avoid deep shoulder extension.</x:v>
      </x:c>
      <x:c r="P13" s="24" t="str">
        <x:v>Long band; secure anchor</x:v>
      </x:c>
      <x:c r="Q13" s="24" t="str">
        <x:v>2–3 × 8–12 controlled reps</x:v>
      </x:c>
      <x:c r="R13" s="24" t="str">
        <x:v>Progress gradually; stop with sharp pain, dizziness, or numbness.</x:v>
      </x:c>
      <x:c r="S13" s="24" t="str">
        <x:v>https://orthoinfo.aaos.org/globalassets/pdfs/2024-rotator-cuff-and-shoulder-conditioning-program.pdf</x:v>
      </x:c>
      <x:c r="T13" s="24" t="str">
        <x:v>Anatomy-based mapping</x:v>
      </x:c>
    </x:row>
    <x:row r="14" ht="54" customHeight="1">
      <x:c r="A14" s="24" t="str">
        <x:v>EX0015</x:v>
      </x:c>
      <x:c r="B14" s="24" t="str">
        <x:v>Standing band shoulder press</x:v>
      </x:c>
      <x:c r="C14" s="24" t="str">
        <x:v>Shoulder &amp; Chest</x:v>
      </x:c>
      <x:c r="D14" s="24" t="str">
        <x:v>Home</x:v>
      </x:c>
      <x:c r="E14" s="24" t="str">
        <x:v>Band strength</x:v>
      </x:c>
      <x:c r="F14" s="24" t="str">
        <x:v>Deltoid; Supraspinatus; Triceps brachii lateral head; Triceps brachii long head; Triceps brachii medial head</x:v>
      </x:c>
      <x:c r="G14" s="24" t="str">
        <x:v>Trapezius; Serratus anterior</x:v>
      </x:c>
      <x:c r="H14" s="24" t="str">
        <x:v>Infraspinatus; Subscapularis; Teres minor; Rectus abdominis; External oblique; Internal oblique; Transversus abdominis</x:v>
      </x:c>
      <x:c r="I14" s="24" t="str">
        <x:v>—</x:v>
      </x:c>
      <x:c r="J14" s="24" t="str">
        <x:v>Deltoid; Supraspinatus; Triceps brachii lateral head; Triceps brachii long head; Triceps brachii medial head; Trapezius; Serratus anterior; Infraspinatus; Subscapularis; Teres minor; Rectus abdominis; External oblique; Internal oblique; Transversus abdominis</x:v>
      </x:c>
      <x:c r="K14" s="24" t="str">
        <x:v>Triceps tendon; deltoid insertion</x:v>
      </x:c>
      <x:c r="L14" s="24" t="str">
        <x:v>Shoulder capsule and coracoclavicular/acromioclavicular ligaments support joint stability; NOT targeted for stretching</x:v>
      </x:c>
      <x:c r="M14" s="24" t="str">
        <x:v>Muscles: Deltoid; Supraspinatus; Triceps brachii lateral head; Triceps brachii long head; Triceps brachii medial head; Trapezius; Serratus anterior; Infraspinatus; Subscapularis; Teres minor; Rectus abdominis; External oblique; Internal oblique; Transversus abdominis | Tendons/fascia: Triceps tendon; deltoid insertion | Ligament context only: Shoulder capsule and coracoclavicular/acromioclavicular ligaments support joint stability; NOT targeted for stretching</x:v>
      </x:c>
      <x:c r="N14" s="24" t="str">
        <x:v>Deltoid; Supraspinatus; Triceps brachii lateral head; Triceps brachii long head; Triceps brachii medial head; Trapezius; Serratus anterior</x:v>
      </x:c>
      <x:c r="O14" s="24" t="str">
        <x:v>Stand on band; press overhead keeping ribs stacked over pelvis.</x:v>
      </x:c>
      <x:c r="P14" s="24" t="str">
        <x:v>Long band</x:v>
      </x:c>
      <x:c r="Q14" s="24" t="str">
        <x:v>2–3 × 8–12 controlled reps</x:v>
      </x:c>
      <x:c r="R14" s="24" t="str">
        <x:v>Progress gradually; stop with sharp pain, dizziness, or numbness.</x:v>
      </x:c>
      <x:c r="S14" s="24" t="str">
        <x:v>https://orthoinfo.aaos.org/globalassets/pdfs/2024-rotator-cuff-and-shoulder-conditioning-program.pdf</x:v>
      </x:c>
      <x:c r="T14" s="24" t="str">
        <x:v>Anatomy-based mapping</x:v>
      </x:c>
    </x:row>
    <x:row r="15" ht="54" customHeight="1">
      <x:c r="A15" s="24" t="str">
        <x:v>EX0018</x:v>
      </x:c>
      <x:c r="B15" s="24" t="str">
        <x:v>Lateral raise with water bottles</x:v>
      </x:c>
      <x:c r="C15" s="24" t="str">
        <x:v>Shoulder &amp; Chest</x:v>
      </x:c>
      <x:c r="D15" s="24" t="str">
        <x:v>Home</x:v>
      </x:c>
      <x:c r="E15" s="24" t="str">
        <x:v>Isolation strength</x:v>
      </x:c>
      <x:c r="F15" s="24" t="str">
        <x:v>Deltoid; Supraspinatus</x:v>
      </x:c>
      <x:c r="G15" s="24" t="str">
        <x:v>—</x:v>
      </x:c>
      <x:c r="H15" s="24" t="str">
        <x:v>Infraspinatus; Subscapularis; Teres minor; Trapezius; Serratus anterior</x:v>
      </x:c>
      <x:c r="I15" s="24" t="str">
        <x:v>—</x:v>
      </x:c>
      <x:c r="J15" s="24" t="str">
        <x:v>Deltoid; Supraspinatus; Infraspinatus; Subscapularis; Teres minor; Trapezius; Serratus anterior</x:v>
      </x:c>
      <x:c r="K15" s="24" t="str">
        <x:v>Deltoid and supraspinatus tendons</x:v>
      </x:c>
      <x:c r="L15" s="24" t="str">
        <x:v>Shoulder capsule and coracoclavicular/acromioclavicular ligaments support joint stability; NOT targeted for stretching</x:v>
      </x:c>
      <x:c r="M15" s="24" t="str">
        <x:v>Muscles: Deltoid; Supraspinatus; Infraspinatus; Subscapularis; Teres minor; Trapezius; Serratus anterior | Tendons/fascia: Deltoid and supraspinatus tendons | Ligament context only: Shoulder capsule and coracoclavicular/acromioclavicular ligaments support joint stability; NOT targeted for stretching</x:v>
      </x:c>
      <x:c r="N15" s="24" t="str">
        <x:v>Deltoid; Supraspinatus</x:v>
      </x:c>
      <x:c r="O15" s="24" t="str">
        <x:v>Raise arms in scapular plane to about shoulder height with soft elbows.</x:v>
      </x:c>
      <x:c r="P15" s="24" t="str">
        <x:v>Water bottles/light weights</x:v>
      </x:c>
      <x:c r="Q15" s="24" t="str">
        <x:v>2–3 × 8–12 controlled reps</x:v>
      </x:c>
      <x:c r="R15" s="24" t="str">
        <x:v>Progress gradually; stop with sharp pain, dizziness, or numbness.</x:v>
      </x:c>
      <x:c r="S15" s="24" t="str">
        <x:v>https://orthoinfo.aaos.org/globalassets/pdfs/2024-rotator-cuff-and-shoulder-conditioning-program.pdf</x:v>
      </x:c>
      <x:c r="T15" s="24" t="str">
        <x:v>Anatomy-based mapping</x:v>
      </x:c>
    </x:row>
    <x:row r="16" ht="54" customHeight="1">
      <x:c r="A16" s="24" t="str">
        <x:v>EX0020</x:v>
      </x:c>
      <x:c r="B16" s="24" t="str">
        <x:v>Band shoulder external rotation at side</x:v>
      </x:c>
      <x:c r="C16" s="24" t="str">
        <x:v>Shoulder &amp; Chest</x:v>
      </x:c>
      <x:c r="D16" s="24" t="str">
        <x:v>Home</x:v>
      </x:c>
      <x:c r="E16" s="24" t="str">
        <x:v>Band strength</x:v>
      </x:c>
      <x:c r="F16" s="24" t="str">
        <x:v>Infraspinatus; Teres minor</x:v>
      </x:c>
      <x:c r="G16" s="24" t="str">
        <x:v>Deltoid</x:v>
      </x:c>
      <x:c r="H16" s="24" t="str">
        <x:v>Rhomboid major; Rhomboid minor; Trapezius</x:v>
      </x:c>
      <x:c r="I16" s="24" t="str">
        <x:v>—</x:v>
      </x:c>
      <x:c r="J16" s="24" t="str">
        <x:v>Infraspinatus; Teres minor; Deltoid; Rhomboid major; Rhomboid minor; Trapezius</x:v>
      </x:c>
      <x:c r="K16" s="24" t="str">
        <x:v>Infraspinatus and teres minor tendons</x:v>
      </x:c>
      <x:c r="L16" s="24" t="str">
        <x:v>Rotator cuff actively centers humeral head; glenohumeral ligaments are not stretch targets</x:v>
      </x:c>
      <x:c r="M16" s="24" t="str">
        <x:v>Muscles: Infraspinatus; Teres minor; Deltoid; Rhomboid major; Rhomboid minor; Trapezius | Tendons/fascia: Infraspinatus and teres minor tendons | Ligament context only: Rotator cuff actively centers humeral head; glenohumeral ligaments are not stretch targets</x:v>
      </x:c>
      <x:c r="N16" s="24" t="str">
        <x:v>Infraspinatus; Teres minor; Deltoid</x:v>
      </x:c>
      <x:c r="O16" s="24" t="str">
        <x:v>Elbow flexed 90° against side; rotate hand away from abdomen.</x:v>
      </x:c>
      <x:c r="P16" s="24" t="str">
        <x:v>Light band; anchor</x:v>
      </x:c>
      <x:c r="Q16" s="24" t="str">
        <x:v>2–3 × 8–12 controlled reps</x:v>
      </x:c>
      <x:c r="R16" s="24" t="str">
        <x:v>Progress gradually; stop with sharp pain, dizziness, or numbness.</x:v>
      </x:c>
      <x:c r="S16" s="24" t="str">
        <x:v>https://orthoinfo.aaos.org/globalassets/pdfs/2024-rotator-cuff-and-shoulder-conditioning-program.pdf</x:v>
      </x:c>
      <x:c r="T16" s="24" t="str">
        <x:v>Anatomy-based mapping</x:v>
      </x:c>
    </x:row>
    <x:row r="17" ht="54" customHeight="1">
      <x:c r="A17" s="24" t="str">
        <x:v>EX0021</x:v>
      </x:c>
      <x:c r="B17" s="24" t="str">
        <x:v>Band shoulder internal rotation at side</x:v>
      </x:c>
      <x:c r="C17" s="24" t="str">
        <x:v>Shoulder &amp; Chest</x:v>
      </x:c>
      <x:c r="D17" s="24" t="str">
        <x:v>Home</x:v>
      </x:c>
      <x:c r="E17" s="24" t="str">
        <x:v>Band strength</x:v>
      </x:c>
      <x:c r="F17" s="24" t="str">
        <x:v>Subscapularis</x:v>
      </x:c>
      <x:c r="G17" s="24" t="str">
        <x:v>Pectoralis major; Teres major</x:v>
      </x:c>
      <x:c r="H17" s="24" t="str">
        <x:v>Rhomboid major; Rhomboid minor; Trapezius</x:v>
      </x:c>
      <x:c r="I17" s="24" t="str">
        <x:v>—</x:v>
      </x:c>
      <x:c r="J17" s="24" t="str">
        <x:v>Subscapularis; Pectoralis major; Teres major; Rhomboid major; Rhomboid minor; Trapezius</x:v>
      </x:c>
      <x:c r="K17" s="24" t="str">
        <x:v>Subscapularis and pectoralis major tendons</x:v>
      </x:c>
      <x:c r="L17" s="24" t="str">
        <x:v>Shoulder capsule and coracoclavicular/acromioclavicular ligaments support joint stability; NOT targeted for stretching</x:v>
      </x:c>
      <x:c r="M17" s="24" t="str">
        <x:v>Muscles: Subscapularis; Pectoralis major; Teres major; Rhomboid major; Rhomboid minor; Trapezius | Tendons/fascia: Subscapularis and pectoralis major tendons | Ligament context only: Shoulder capsule and coracoclavicular/acromioclavicular ligaments support joint stability; NOT targeted for stretching</x:v>
      </x:c>
      <x:c r="N17" s="24" t="str">
        <x:v>Subscapularis; Pectoralis major; Teres major</x:v>
      </x:c>
      <x:c r="O17" s="24" t="str">
        <x:v>Elbow bent against side; rotate hand inward against band.</x:v>
      </x:c>
      <x:c r="P17" s="24" t="str">
        <x:v>Light band; anchor</x:v>
      </x:c>
      <x:c r="Q17" s="24" t="str">
        <x:v>2–3 × 8–12 controlled reps</x:v>
      </x:c>
      <x:c r="R17" s="24" t="str">
        <x:v>Progress gradually; stop with sharp pain, dizziness, or numbness.</x:v>
      </x:c>
      <x:c r="S17" s="24" t="str">
        <x:v>https://orthoinfo.aaos.org/globalassets/pdfs/2024-rotator-cuff-and-shoulder-conditioning-program.pdf</x:v>
      </x:c>
      <x:c r="T17" s="24" t="str">
        <x:v>Anatomy-based mapping</x:v>
      </x:c>
    </x:row>
    <x:row r="18" ht="54" customHeight="1">
      <x:c r="A18" s="24" t="str">
        <x:v>EX0023</x:v>
      </x:c>
      <x:c r="B18" s="24" t="str">
        <x:v>Band scaption (full-can raise)</x:v>
      </x:c>
      <x:c r="C18" s="24" t="str">
        <x:v>Shoulder &amp; Chest</x:v>
      </x:c>
      <x:c r="D18" s="24" t="str">
        <x:v>Home</x:v>
      </x:c>
      <x:c r="E18" s="24" t="str">
        <x:v>Band strength</x:v>
      </x:c>
      <x:c r="F18" s="24" t="str">
        <x:v>Supraspinatus; Deltoid</x:v>
      </x:c>
      <x:c r="G18" s="24" t="str">
        <x:v>Trapezius; Serratus anterior</x:v>
      </x:c>
      <x:c r="H18" s="24" t="str">
        <x:v>Infraspinatus; Subscapularis; Teres minor</x:v>
      </x:c>
      <x:c r="I18" s="24" t="str">
        <x:v>—</x:v>
      </x:c>
      <x:c r="J18" s="24" t="str">
        <x:v>Supraspinatus; Deltoid; Trapezius; Serratus anterior; Infraspinatus; Subscapularis; Teres minor</x:v>
      </x:c>
      <x:c r="K18" s="24" t="str">
        <x:v>Supraspinatus tendon; deltoid insertion</x:v>
      </x:c>
      <x:c r="L18" s="24" t="str">
        <x:v>Shoulder capsule and coracoclavicular/acromioclavicular ligaments support joint stability; NOT targeted for stretching</x:v>
      </x:c>
      <x:c r="M18" s="24" t="str">
        <x:v>Muscles: Supraspinatus; Deltoid; Trapezius; Serratus anterior; Infraspinatus; Subscapularis; Teres minor | Tendons/fascia: Supraspinatus tendon; deltoid insertion | Ligament context only: Shoulder capsule and coracoclavicular/acromioclavicular ligaments support joint stability; NOT targeted for stretching</x:v>
      </x:c>
      <x:c r="N18" s="24" t="str">
        <x:v>Supraspinatus; Deltoid; Trapezius; Serratus anterior</x:v>
      </x:c>
      <x:c r="O18" s="24" t="str">
        <x:v>With thumbs up, raise arms ~30° forward of lateral plane.</x:v>
      </x:c>
      <x:c r="P18" s="24" t="str">
        <x:v>Light band</x:v>
      </x:c>
      <x:c r="Q18" s="24" t="str">
        <x:v>2–3 × 8–12 controlled reps</x:v>
      </x:c>
      <x:c r="R18" s="24" t="str">
        <x:v>Progress gradually; stop with sharp pain, dizziness, or numbness.</x:v>
      </x:c>
      <x:c r="S18" s="24" t="str">
        <x:v>https://orthoinfo.aaos.org/globalassets/pdfs/2024-rotator-cuff-and-shoulder-conditioning-program.pdf</x:v>
      </x:c>
      <x:c r="T18" s="24" t="str">
        <x:v>Anatomy-based mapping</x:v>
      </x:c>
    </x:row>
    <x:row r="19" ht="54" customHeight="1">
      <x:c r="A19" s="24" t="str">
        <x:v>EX0024</x:v>
      </x:c>
      <x:c r="B19" s="24" t="str">
        <x:v>Band face pull</x:v>
      </x:c>
      <x:c r="C19" s="24" t="str">
        <x:v>Shoulder &amp; Chest</x:v>
      </x:c>
      <x:c r="D19" s="24" t="str">
        <x:v>Home</x:v>
      </x:c>
      <x:c r="E19" s="24" t="str">
        <x:v>Band strength</x:v>
      </x:c>
      <x:c r="F19" s="24" t="str">
        <x:v>Rhomboid major; Rhomboid minor; Trapezius; Infraspinatus; Teres minor</x:v>
      </x:c>
      <x:c r="G19" s="24" t="str">
        <x:v>Deltoid</x:v>
      </x:c>
      <x:c r="H19" s="24" t="str">
        <x:v>Rectus abdominis; External oblique; Internal oblique; Transversus abdominis</x:v>
      </x:c>
      <x:c r="I19" s="24" t="str">
        <x:v>—</x:v>
      </x:c>
      <x:c r="J19" s="24" t="str">
        <x:v>Rhomboid major; Rhomboid minor; Trapezius; Infraspinatus; Teres minor; Deltoid; Rectus abdominis; External oblique; Internal oblique; Transversus abdominis</x:v>
      </x:c>
      <x:c r="K19" s="24" t="str">
        <x:v>Infraspinatus and teres minor; trapezius insertions</x:v>
      </x:c>
      <x:c r="L19" s="24" t="str">
        <x:v>Shoulder capsule and coracoclavicular/acromioclavicular ligaments support joint stability; NOT targeted for stretching</x:v>
      </x:c>
      <x:c r="M19" s="24" t="str">
        <x:v>Muscles: Rhomboid major; Rhomboid minor; Trapezius; Infraspinatus; Teres minor; Deltoid; Rectus abdominis; External oblique; Internal oblique; Transversus abdominis | Tendons/fascia: Infraspinatus and teres minor; trapezius insertions | Ligament context only: Shoulder capsule and coracoclavicular/acromioclavicular ligaments support joint stability; NOT targeted for stretching</x:v>
      </x:c>
      <x:c r="N19" s="24" t="str">
        <x:v>Rhomboid major; Rhomboid minor; Trapezius; Infraspinatus; Teres minor; Deltoid</x:v>
      </x:c>
      <x:c r="O19" s="24" t="str">
        <x:v>Pull band toward eyes with elbows high but comfortable; externally rotate.</x:v>
      </x:c>
      <x:c r="P19" s="24" t="str">
        <x:v>Band anchored at face height</x:v>
      </x:c>
      <x:c r="Q19" s="24" t="str">
        <x:v>2–3 × 8–12 controlled reps</x:v>
      </x:c>
      <x:c r="R19" s="24" t="str">
        <x:v>Progress gradually; stop with sharp pain, dizziness, or numbness.</x:v>
      </x:c>
      <x:c r="S19" s="24" t="str">
        <x:v>https://orthoinfo.aaos.org/globalassets/pdfs/2024-rotator-cuff-and-shoulder-conditioning-program.pdf</x:v>
      </x:c>
      <x:c r="T19" s="24" t="str">
        <x:v>Anatomy-based mapping</x:v>
      </x:c>
    </x:row>
    <x:row r="20" ht="54" customHeight="1">
      <x:c r="A20" s="24" t="str">
        <x:v>EX0026</x:v>
      </x:c>
      <x:c r="B20" s="24" t="str">
        <x:v>Wall slide with upward reach</x:v>
      </x:c>
      <x:c r="C20" s="24" t="str">
        <x:v>Shoulder &amp; Chest</x:v>
      </x:c>
      <x:c r="D20" s="24" t="str">
        <x:v>Home</x:v>
      </x:c>
      <x:c r="E20" s="24" t="str">
        <x:v>Mobility</x:v>
      </x:c>
      <x:c r="F20" s="24" t="str">
        <x:v>Trapezius; Serratus anterior; Pectoralis minor</x:v>
      </x:c>
      <x:c r="G20" s="24" t="str">
        <x:v>Deltoid; Supraspinatus</x:v>
      </x:c>
      <x:c r="H20" s="24" t="str">
        <x:v>Infraspinatus; Subscapularis; Teres minor; Rectus abdominis; External oblique; Internal oblique; Transversus abdominis</x:v>
      </x:c>
      <x:c r="I20" s="24" t="str">
        <x:v>—</x:v>
      </x:c>
      <x:c r="J20" s="24" t="str">
        <x:v>Trapezius; Serratus anterior; Pectoralis minor; Deltoid; Supraspinatus; Infraspinatus; Subscapularis; Teres minor; Rectus abdominis; External oblique; Internal oblique; Transversus abdominis</x:v>
      </x:c>
      <x:c r="K20" s="24" t="str">
        <x:v>Serratus anterior and trapezius attachments</x:v>
      </x:c>
      <x:c r="L20" s="24" t="str">
        <x:v>Shoulder capsule and coracoclavicular/acromioclavicular ligaments support joint stability; NOT targeted for stretching</x:v>
      </x:c>
      <x:c r="M20" s="24" t="str">
        <x:v>Muscles: Trapezius; Serratus anterior; Pectoralis minor; Deltoid; Supraspinatus; Infraspinatus; Subscapularis; Teres minor; Rectus abdominis; External oblique; Internal oblique; Transversus abdominis | Tendons/fascia: Serratus anterior and trapezius attachments | Ligament context only: Shoulder capsule and coracoclavicular/acromioclavicular ligaments support joint stability; NOT targeted for stretching</x:v>
      </x:c>
      <x:c r="N20" s="24" t="str">
        <x:v>Usually none expected (stretch, mobility or relaxation; any active movers are low-load)</x:v>
      </x:c>
      <x:c r="O20" s="24" t="str">
        <x:v>Forearms on wall; slide upward while gently reaching shoulder blades upward.</x:v>
      </x:c>
      <x:c r="P20" s="24" t="str">
        <x:v>Wall</x:v>
      </x:c>
      <x:c r="Q20" s="24" t="str">
        <x:v>1–2 × 5–10 controlled reps</x:v>
      </x:c>
      <x:c r="R20" s="24" t="str">
        <x:v>Progress gradually; stop with sharp pain, dizziness, or numbness.</x:v>
      </x:c>
      <x:c r="S20" s="24" t="str">
        <x:v>https://orthoinfo.aaos.org/globalassets/pdfs/2024-rotator-cuff-and-shoulder-conditioning-program.pdf</x:v>
      </x:c>
      <x:c r="T20" s="24" t="str">
        <x:v>Anatomy-based mapping</x:v>
      </x:c>
    </x:row>
    <x:row r="21" ht="54" customHeight="1">
      <x:c r="A21" s="24" t="str">
        <x:v>EX0027</x:v>
      </x:c>
      <x:c r="B21" s="24" t="str">
        <x:v>Band pull-apart</x:v>
      </x:c>
      <x:c r="C21" s="24" t="str">
        <x:v>Shoulder &amp; Chest</x:v>
      </x:c>
      <x:c r="D21" s="24" t="str">
        <x:v>Home</x:v>
      </x:c>
      <x:c r="E21" s="24" t="str">
        <x:v>Band strength</x:v>
      </x:c>
      <x:c r="F21" s="24" t="str">
        <x:v>Rhomboid major; Rhomboid minor; Trapezius; Infraspinatus; Teres minor</x:v>
      </x:c>
      <x:c r="G21" s="24" t="str">
        <x:v>Deltoid</x:v>
      </x:c>
      <x:c r="H21" s="24" t="str">
        <x:v>Rectus abdominis; External oblique; Internal oblique; Transversus abdominis</x:v>
      </x:c>
      <x:c r="I21" s="24" t="str">
        <x:v>—</x:v>
      </x:c>
      <x:c r="J21" s="24" t="str">
        <x:v>Rhomboid major; Rhomboid minor; Trapezius; Infraspinatus; Teres minor; Deltoid; Rectus abdominis; External oblique; Internal oblique; Transversus abdominis</x:v>
      </x:c>
      <x:c r="K21" s="24" t="str">
        <x:v>Rhomboid/trapezius attachments; cuff tendons</x:v>
      </x:c>
      <x:c r="L21" s="24" t="str">
        <x:v>Shoulder capsule and coracoclavicular/acromioclavicular ligaments support joint stability; NOT targeted for stretching</x:v>
      </x:c>
      <x:c r="M21" s="24" t="str">
        <x:v>Muscles: Rhomboid major; Rhomboid minor; Trapezius; Infraspinatus; Teres minor; Deltoid; Rectus abdominis; External oblique; Internal oblique; Transversus abdominis | Tendons/fascia: Rhomboid/trapezius attachments; cuff tendons | Ligament context only: Shoulder capsule and coracoclavicular/acromioclavicular ligaments support joint stability; NOT targeted for stretching</x:v>
      </x:c>
      <x:c r="N21" s="24" t="str">
        <x:v>Rhomboid major; Rhomboid minor; Trapezius; Infraspinatus; Teres minor; Deltoid</x:v>
      </x:c>
      <x:c r="O21" s="24" t="str">
        <x:v>Hold band at chest level; draw arms apart and shoulder blades gently together.</x:v>
      </x:c>
      <x:c r="P21" s="24" t="str">
        <x:v>Band</x:v>
      </x:c>
      <x:c r="Q21" s="24" t="str">
        <x:v>2–3 × 8–12 controlled reps</x:v>
      </x:c>
      <x:c r="R21" s="24" t="str">
        <x:v>Progress gradually; stop with sharp pain, dizziness, or numbness.</x:v>
      </x:c>
      <x:c r="S21" s="24" t="str">
        <x:v>https://orthoinfo.aaos.org/globalassets/pdfs/2024-rotator-cuff-and-shoulder-conditioning-program.pdf</x:v>
      </x:c>
      <x:c r="T21" s="24" t="str">
        <x:v>Anatomy-based mapping</x:v>
      </x:c>
    </x:row>
    <x:row r="22" ht="54" customHeight="1">
      <x:c r="A22" s="24" t="str">
        <x:v>EX0028</x:v>
      </x:c>
      <x:c r="B22" s="24" t="str">
        <x:v>Prone Y raise</x:v>
      </x:c>
      <x:c r="C22" s="24" t="str">
        <x:v>Shoulder &amp; Chest</x:v>
      </x:c>
      <x:c r="D22" s="24" t="str">
        <x:v>Home</x:v>
      </x:c>
      <x:c r="E22" s="24" t="str">
        <x:v>Isolation strength</x:v>
      </x:c>
      <x:c r="F22" s="24" t="str">
        <x:v>Trapezius; Serratus anterior</x:v>
      </x:c>
      <x:c r="G22" s="24" t="str">
        <x:v>Supraspinatus; Deltoid</x:v>
      </x:c>
      <x:c r="H22" s="24" t="str">
        <x:v>Rectus abdominis; External oblique; Internal oblique; Transversus abdominis; Infraspinatus; Subscapularis; Teres minor</x:v>
      </x:c>
      <x:c r="I22" s="24" t="str">
        <x:v>—</x:v>
      </x:c>
      <x:c r="J22" s="24" t="str">
        <x:v>Trapezius; Serratus anterior; Supraspinatus; Deltoid; Rectus abdominis; External oblique; Internal oblique; Transversus abdominis; Infraspinatus; Subscapularis; Teres minor</x:v>
      </x:c>
      <x:c r="K22" s="24" t="str">
        <x:v>Trapezius; supraspinatus tendons</x:v>
      </x:c>
      <x:c r="L22" s="24" t="str">
        <x:v>Shoulder capsule and coracoclavicular/acromioclavicular ligaments support joint stability; NOT targeted for stretching</x:v>
      </x:c>
      <x:c r="M22" s="24" t="str">
        <x:v>Muscles: Trapezius; Serratus anterior; Supraspinatus; Deltoid; Rectus abdominis; External oblique; Internal oblique; Transversus abdominis; Infraspinatus; Subscapularis; Teres minor | Tendons/fascia: Trapezius; supraspinatus tendons | Ligament context only: Shoulder capsule and coracoclavicular/acromioclavicular ligaments support joint stability; NOT targeted for stretching</x:v>
      </x:c>
      <x:c r="N22" s="24" t="str">
        <x:v>Trapezius; Serratus anterior; Supraspinatus; Deltoid</x:v>
      </x:c>
      <x:c r="O22" s="24" t="str">
        <x:v>Lying prone, lift straight arms diagonally overhead with thumbs up.</x:v>
      </x:c>
      <x:c r="P22" s="24" t="str">
        <x:v>Bodyweight</x:v>
      </x:c>
      <x:c r="Q22" s="24" t="str">
        <x:v>2–3 × 8–12 controlled reps</x:v>
      </x:c>
      <x:c r="R22" s="24" t="str">
        <x:v>Progress gradually; stop with sharp pain, dizziness, or numbness.</x:v>
      </x:c>
      <x:c r="S22" s="24" t="str">
        <x:v>https://orthoinfo.aaos.org/globalassets/pdfs/2024-rotator-cuff-and-shoulder-conditioning-program.pdf</x:v>
      </x:c>
      <x:c r="T22" s="24" t="str">
        <x:v>Anatomy-based mapping</x:v>
      </x:c>
    </x:row>
    <x:row r="23" ht="54" customHeight="1">
      <x:c r="A23" s="24" t="str">
        <x:v>EX0029</x:v>
      </x:c>
      <x:c r="B23" s="24" t="str">
        <x:v>Prone T raise</x:v>
      </x:c>
      <x:c r="C23" s="24" t="str">
        <x:v>Shoulder &amp; Chest</x:v>
      </x:c>
      <x:c r="D23" s="24" t="str">
        <x:v>Home</x:v>
      </x:c>
      <x:c r="E23" s="24" t="str">
        <x:v>Isolation strength</x:v>
      </x:c>
      <x:c r="F23" s="24" t="str">
        <x:v>Trapezius; Rhomboid major; Rhomboid minor</x:v>
      </x:c>
      <x:c r="G23" s="24" t="str">
        <x:v>Deltoid</x:v>
      </x:c>
      <x:c r="H23" s="24" t="str">
        <x:v>Infraspinatus; Subscapularis; Supraspinatus; Teres minor</x:v>
      </x:c>
      <x:c r="I23" s="24" t="str">
        <x:v>—</x:v>
      </x:c>
      <x:c r="J23" s="24" t="str">
        <x:v>Trapezius; Rhomboid major; Rhomboid minor; Deltoid; Infraspinatus; Subscapularis; Supraspinatus; Teres minor</x:v>
      </x:c>
      <x:c r="K23" s="24" t="str">
        <x:v>Trapezius and rhomboid attachments</x:v>
      </x:c>
      <x:c r="L23" s="24" t="str">
        <x:v>Shoulder capsule and coracoclavicular/acromioclavicular ligaments support joint stability; NOT targeted for stretching</x:v>
      </x:c>
      <x:c r="M23" s="24" t="str">
        <x:v>Muscles: Trapezius; Rhomboid major; Rhomboid minor; Deltoid; Infraspinatus; Subscapularis; Supraspinatus; Teres minor | Tendons/fascia: Trapezius and rhomboid attachments | Ligament context only: Shoulder capsule and coracoclavicular/acromioclavicular ligaments support joint stability; NOT targeted for stretching</x:v>
      </x:c>
      <x:c r="N23" s="24" t="str">
        <x:v>Trapezius; Rhomboid major; Rhomboid minor; Deltoid</x:v>
      </x:c>
      <x:c r="O23" s="24" t="str">
        <x:v>Lying prone, lift arms out to sides while gently retracting scapulae.</x:v>
      </x:c>
      <x:c r="P23" s="24" t="str">
        <x:v>Bodyweight</x:v>
      </x:c>
      <x:c r="Q23" s="24" t="str">
        <x:v>2–3 × 8–12 controlled reps</x:v>
      </x:c>
      <x:c r="R23" s="24" t="str">
        <x:v>Progress gradually; stop with sharp pain, dizziness, or numbness.</x:v>
      </x:c>
      <x:c r="S23" s="24" t="str">
        <x:v>https://orthoinfo.aaos.org/globalassets/pdfs/2024-rotator-cuff-and-shoulder-conditioning-program.pdf</x:v>
      </x:c>
      <x:c r="T23" s="24" t="str">
        <x:v>Anatomy-based mapping</x:v>
      </x:c>
    </x:row>
    <x:row r="24" ht="54" customHeight="1">
      <x:c r="A24" s="24" t="str">
        <x:v>EX0030</x:v>
      </x:c>
      <x:c r="B24" s="24" t="str">
        <x:v>Prone W external rotation</x:v>
      </x:c>
      <x:c r="C24" s="24" t="str">
        <x:v>Shoulder &amp; Chest</x:v>
      </x:c>
      <x:c r="D24" s="24" t="str">
        <x:v>Home</x:v>
      </x:c>
      <x:c r="E24" s="24" t="str">
        <x:v>Isolation strength</x:v>
      </x:c>
      <x:c r="F24" s="24" t="str">
        <x:v>Infraspinatus; Teres minor; Rhomboid major; Rhomboid minor; Trapezius</x:v>
      </x:c>
      <x:c r="G24" s="24" t="str">
        <x:v>—</x:v>
      </x:c>
      <x:c r="H24" s="24" t="str">
        <x:v>Rectus abdominis; External oblique; Internal oblique; Transversus abdominis</x:v>
      </x:c>
      <x:c r="I24" s="24" t="str">
        <x:v>—</x:v>
      </x:c>
      <x:c r="J24" s="24" t="str">
        <x:v>Infraspinatus; Teres minor; Rhomboid major; Rhomboid minor; Trapezius; Rectus abdominis; External oblique; Internal oblique; Transversus abdominis</x:v>
      </x:c>
      <x:c r="K24" s="24" t="str">
        <x:v>Rotator cuff tendons</x:v>
      </x:c>
      <x:c r="L24" s="24" t="str">
        <x:v>Shoulder capsule and coracoclavicular/acromioclavicular ligaments support joint stability; NOT targeted for stretching</x:v>
      </x:c>
      <x:c r="M24" s="24" t="str">
        <x:v>Muscles: Infraspinatus; Teres minor; Rhomboid major; Rhomboid minor; Trapezius; Rectus abdominis; External oblique; Internal oblique; Transversus abdominis | Tendons/fascia: Rotator cuff tendons | Ligament context only: Shoulder capsule and coracoclavicular/acromioclavicular ligaments support joint stability; NOT targeted for stretching</x:v>
      </x:c>
      <x:c r="N24" s="24" t="str">
        <x:v>Infraspinatus; Teres minor; Rhomboid major; Rhomboid minor; Trapezius</x:v>
      </x:c>
      <x:c r="O24" s="24" t="str">
        <x:v>Prone with elbows bent; retract shoulder blades and rotate hands up.</x:v>
      </x:c>
      <x:c r="P24" s="24" t="str">
        <x:v>Bodyweight</x:v>
      </x:c>
      <x:c r="Q24" s="24" t="str">
        <x:v>2–3 × 8–12 controlled reps</x:v>
      </x:c>
      <x:c r="R24" s="24" t="str">
        <x:v>Progress gradually; stop with sharp pain, dizziness, or numbness.</x:v>
      </x:c>
      <x:c r="S24" s="24" t="str">
        <x:v>https://orthoinfo.aaos.org/globalassets/pdfs/2024-rotator-cuff-and-shoulder-conditioning-program.pdf</x:v>
      </x:c>
      <x:c r="T24" s="24" t="str">
        <x:v>Anatomy-based mapping</x:v>
      </x:c>
    </x:row>
    <x:row r="25" ht="54" customHeight="1">
      <x:c r="A25" s="24" t="str">
        <x:v>EX0031</x:v>
      </x:c>
      <x:c r="B25" s="24" t="str">
        <x:v>Band straight-arm pulldown</x:v>
      </x:c>
      <x:c r="C25" s="24" t="str">
        <x:v>Shoulder &amp; Chest</x:v>
      </x:c>
      <x:c r="D25" s="24" t="str">
        <x:v>Home</x:v>
      </x:c>
      <x:c r="E25" s="24" t="str">
        <x:v>Band strength</x:v>
      </x:c>
      <x:c r="F25" s="24" t="str">
        <x:v>Latissimus dorsi; Teres major</x:v>
      </x:c>
      <x:c r="G25" s="24" t="str">
        <x:v>Triceps brachii lateral head; Triceps brachii long head; Triceps brachii medial head</x:v>
      </x:c>
      <x:c r="H25" s="24" t="str">
        <x:v>Rectus abdominis; External oblique; Internal oblique; Transversus abdominis; Rhomboid major; Rhomboid minor; Trapezius</x:v>
      </x:c>
      <x:c r="I25" s="24" t="str">
        <x:v>—</x:v>
      </x:c>
      <x:c r="J25" s="24" t="str">
        <x:v>Latissimus dorsi; Teres major; Triceps brachii lateral head; Triceps brachii long head; Triceps brachii medial head; Rectus abdominis; External oblique; Internal oblique; Transversus abdominis; Rhomboid major; Rhomboid minor; Trapezius</x:v>
      </x:c>
      <x:c r="K25" s="24" t="str">
        <x:v>Latissimus dorsi and teres major insertion tendons</x:v>
      </x:c>
      <x:c r="L25" s="24" t="str">
        <x:v>Shoulder capsule and coracoclavicular/acromioclavicular ligaments support joint stability; NOT targeted for stretching</x:v>
      </x:c>
      <x:c r="M25" s="24" t="str">
        <x:v>Muscles: Latissimus dorsi; Teres major; Triceps brachii lateral head; Triceps brachii long head; Triceps brachii medial head; Rectus abdominis; External oblique; Internal oblique; Transversus abdominis; Rhomboid major; Rhomboid minor; Trapezius | Tendons/fascia: Latissimus dorsi and teres major insertion tendons | Ligament context only: Shoulder capsule and coracoclavicular/acromioclavicular ligaments support joint stability; NOT targeted for stretching</x:v>
      </x:c>
      <x:c r="N25" s="24" t="str">
        <x:v>Latissimus dorsi; Teres major; Triceps brachii lateral head; Triceps brachii long head; Triceps brachii medial head</x:v>
      </x:c>
      <x:c r="O25" s="24" t="str">
        <x:v>From overhead anchor pull straightish arms to hips without leaning backward.</x:v>
      </x:c>
      <x:c r="P25" s="24" t="str">
        <x:v>Band; high anchor</x:v>
      </x:c>
      <x:c r="Q25" s="24" t="str">
        <x:v>2–3 × 8–12 controlled reps</x:v>
      </x:c>
      <x:c r="R25" s="24" t="str">
        <x:v>Progress gradually; stop with sharp pain, dizziness, or numbness.</x:v>
      </x:c>
      <x:c r="S25" s="24" t="str">
        <x:v>https://orthoinfo.aaos.org/globalassets/pdfs/2024-rotator-cuff-and-shoulder-conditioning-program.pdf</x:v>
      </x:c>
      <x:c r="T25" s="24" t="str">
        <x:v>Anatomy-based mapping</x:v>
      </x:c>
    </x:row>
    <x:row r="26" ht="54" customHeight="1">
      <x:c r="A26" s="24" t="str">
        <x:v>EX0033</x:v>
      </x:c>
      <x:c r="B26" s="24" t="str">
        <x:v>Band scapular elevation / shrug</x:v>
      </x:c>
      <x:c r="C26" s="24" t="str">
        <x:v>Shoulder &amp; Chest</x:v>
      </x:c>
      <x:c r="D26" s="24" t="str">
        <x:v>Home</x:v>
      </x:c>
      <x:c r="E26" s="24" t="str">
        <x:v>Band strength</x:v>
      </x:c>
      <x:c r="F26" s="24" t="str">
        <x:v>Trapezius; Levator scapulae</x:v>
      </x:c>
      <x:c r="G26" s="24" t="str">
        <x:v>—</x:v>
      </x:c>
      <x:c r="H26" s="24" t="str">
        <x:v>Infraspinatus; Subscapularis; Supraspinatus; Teres minor</x:v>
      </x:c>
      <x:c r="I26" s="24" t="str">
        <x:v>—</x:v>
      </x:c>
      <x:c r="J26" s="24" t="str">
        <x:v>Trapezius; Levator scapulae; Infraspinatus; Subscapularis; Supraspinatus; Teres minor</x:v>
      </x:c>
      <x:c r="K26" s="24" t="str">
        <x:v>Trapezius clavicle/acromion attachment</x:v>
      </x:c>
      <x:c r="L26" s="24" t="str">
        <x:v>Shoulder capsule and coracoclavicular/acromioclavicular ligaments support joint stability; NOT targeted for stretching</x:v>
      </x:c>
      <x:c r="M26" s="24" t="str">
        <x:v>Muscles: Trapezius; Levator scapulae; Infraspinatus; Subscapularis; Supraspinatus; Teres minor | Tendons/fascia: Trapezius clavicle/acromion attachment | Ligament context only: Shoulder capsule and coracoclavicular/acromioclavicular ligaments support joint stability; NOT targeted for stretching</x:v>
      </x:c>
      <x:c r="N26" s="24" t="str">
        <x:v>Trapezius; Levator scapulae</x:v>
      </x:c>
      <x:c r="O26" s="24" t="str">
        <x:v>Stand on band; lift shoulders vertically then relax.</x:v>
      </x:c>
      <x:c r="P26" s="24" t="str">
        <x:v>Band</x:v>
      </x:c>
      <x:c r="Q26" s="24" t="str">
        <x:v>2–3 × 8–12 controlled reps</x:v>
      </x:c>
      <x:c r="R26" s="24" t="str">
        <x:v>Progress gradually; stop with sharp pain, dizziness, or numbness.</x:v>
      </x:c>
      <x:c r="S26" s="24" t="str">
        <x:v>https://orthoinfo.aaos.org/globalassets/pdfs/2024-rotator-cuff-and-shoulder-conditioning-program.pdf</x:v>
      </x:c>
      <x:c r="T26" s="24" t="str">
        <x:v>Anatomy-based mapping</x:v>
      </x:c>
    </x:row>
    <x:row r="27" ht="54" customHeight="1">
      <x:c r="A27" s="24" t="str">
        <x:v>EX0035</x:v>
      </x:c>
      <x:c r="B27" s="24" t="str">
        <x:v>Scapular depression hold on chair</x:v>
      </x:c>
      <x:c r="C27" s="24" t="str">
        <x:v>Shoulder &amp; Chest</x:v>
      </x:c>
      <x:c r="D27" s="24" t="str">
        <x:v>Home</x:v>
      </x:c>
      <x:c r="E27" s="24" t="str">
        <x:v>Isometric strength</x:v>
      </x:c>
      <x:c r="F27" s="24" t="str">
        <x:v>Latissimus dorsi; Pectoralis minor</x:v>
      </x:c>
      <x:c r="G27" s="24" t="str">
        <x:v>Trapezius</x:v>
      </x:c>
      <x:c r="H27" s="24" t="str">
        <x:v>Triceps brachii lateral head; Triceps brachii long head; Triceps brachii medial head; Infraspinatus; Subscapularis; Supraspinatus; Teres minor</x:v>
      </x:c>
      <x:c r="I27" s="24" t="str">
        <x:v>—</x:v>
      </x:c>
      <x:c r="J27" s="24" t="str">
        <x:v>Latissimus dorsi; Pectoralis minor; Trapezius; Triceps brachii lateral head; Triceps brachii long head; Triceps brachii medial head; Infraspinatus; Subscapularis; Supraspinatus; Teres minor</x:v>
      </x:c>
      <x:c r="K27" s="24" t="str">
        <x:v>Latissimus and pectoralis minor attachments</x:v>
      </x:c>
      <x:c r="L27" s="24" t="str">
        <x:v>Shoulder capsule and coracoclavicular/acromioclavicular ligaments support joint stability; NOT targeted for stretching</x:v>
      </x:c>
      <x:c r="M27" s="24" t="str">
        <x:v>Muscles: Latissimus dorsi; Pectoralis minor; Trapezius; Triceps brachii lateral head; Triceps brachii long head; Triceps brachii medial head; Infraspinatus; Subscapularis; Supraspinatus; Teres minor | Tendons/fascia: Latissimus and pectoralis minor attachments | Ligament context only: Shoulder capsule and coracoclavicular/acromioclavicular ligaments support joint stability; NOT targeted for stretching</x:v>
      </x:c>
      <x:c r="N27" s="24" t="str">
        <x:v>Latissimus dorsi; Pectoralis minor; Trapezius</x:v>
      </x:c>
      <x:c r="O27" s="24" t="str">
        <x:v>With hands on sturdy chair arms and feet supported, press shoulders down lightly.</x:v>
      </x:c>
      <x:c r="P27" s="24" t="str">
        <x:v>Stable chairs</x:v>
      </x:c>
      <x:c r="Q27" s="24" t="str">
        <x:v>2–3 × 8–12 controlled reps</x:v>
      </x:c>
      <x:c r="R27" s="24" t="str">
        <x:v>Avoid full body lifts if shoulder pain or instability.</x:v>
      </x:c>
      <x:c r="S27" s="24" t="str">
        <x:v>https://orthoinfo.aaos.org/globalassets/pdfs/2024-rotator-cuff-and-shoulder-conditioning-program.pdf</x:v>
      </x:c>
      <x:c r="T27" s="24" t="str">
        <x:v>Anatomy-based mapping</x:v>
      </x:c>
    </x:row>
    <x:row r="28" ht="54" customHeight="1">
      <x:c r="A28" s="24" t="str">
        <x:v>EX0037</x:v>
      </x:c>
      <x:c r="B28" s="24" t="str">
        <x:v>Doorway pectoral stretch</x:v>
      </x:c>
      <x:c r="C28" s="24" t="str">
        <x:v>Shoulder &amp; Chest</x:v>
      </x:c>
      <x:c r="D28" s="24" t="str">
        <x:v>Home</x:v>
      </x:c>
      <x:c r="E28" s="24" t="str">
        <x:v>Passive stretch</x:v>
      </x:c>
      <x:c r="F28" s="24" t="str">
        <x:v>—</x:v>
      </x:c>
      <x:c r="G28" s="24" t="str">
        <x:v>—</x:v>
      </x:c>
      <x:c r="H28" s="24" t="str">
        <x:v>—</x:v>
      </x:c>
      <x:c r="I28" s="24" t="str">
        <x:v>Pectoralis major; Pectoralis minor</x:v>
      </x:c>
      <x:c r="J28" s="24" t="str">
        <x:v>Pectoralis major; Pectoralis minor</x:v>
      </x:c>
      <x:c r="K28" s="24" t="str">
        <x:v>Pectoralis major/minor musculotendinous units under tension</x:v>
      </x:c>
      <x:c r="L28" s="24" t="str">
        <x:v>Do not force anterior shoulder capsule or glenohumeral ligaments</x:v>
      </x:c>
      <x:c r="M28" s="24" t="str">
        <x:v>Muscles: Pectoralis major; Pectoralis minor | Tendons/fascia: Pectoralis major/minor musculotendinous units under tension | Ligament context only: Do not force anterior shoulder capsule or glenohumeral ligaments</x:v>
      </x:c>
      <x:c r="N28" s="24" t="str">
        <x:v>Usually none expected (stretch, mobility or relaxation; any active movers are low-load)</x:v>
      </x:c>
      <x:c r="O28" s="24" t="str">
        <x:v>Forearm on doorframe; step through slightly until front-of-chest stretch.</x:v>
      </x:c>
      <x:c r="P28" s="24" t="str">
        <x:v>Doorframe</x:v>
      </x:c>
      <x:c r="Q28" s="24" t="str">
        <x:v>2 × 20–30 s each side</x:v>
      </x:c>
      <x:c r="R28" s="24" t="str">
        <x:v>Progress gradually; stop with sharp pain, dizziness, or numbness.</x:v>
      </x:c>
      <x:c r="S28" s="24" t="str">
        <x:v>https://orthoinfo.aaos.org/globalassets/pdfs/2024-rotator-cuff-and-shoulder-conditioning-program.pdf</x:v>
      </x:c>
      <x:c r="T28" s="24" t="str">
        <x:v>Anatomy-based mapping</x:v>
      </x:c>
    </x:row>
    <x:row r="29" ht="54" customHeight="1">
      <x:c r="A29" s="24" t="str">
        <x:v>EX0038</x:v>
      </x:c>
      <x:c r="B29" s="24" t="str">
        <x:v>Cross-body posterior shoulder stretch</x:v>
      </x:c>
      <x:c r="C29" s="24" t="str">
        <x:v>Shoulder &amp; Chest</x:v>
      </x:c>
      <x:c r="D29" s="24" t="str">
        <x:v>Home</x:v>
      </x:c>
      <x:c r="E29" s="24" t="str">
        <x:v>Passive stretch</x:v>
      </x:c>
      <x:c r="F29" s="24" t="str">
        <x:v>—</x:v>
      </x:c>
      <x:c r="G29" s="24" t="str">
        <x:v>—</x:v>
      </x:c>
      <x:c r="H29" s="24" t="str">
        <x:v>—</x:v>
      </x:c>
      <x:c r="I29" s="24" t="str">
        <x:v>Deltoid; Infraspinatus; Teres minor</x:v>
      </x:c>
      <x:c r="J29" s="24" t="str">
        <x:v>Deltoid; Infraspinatus; Teres minor</x:v>
      </x:c>
      <x:c r="K29" s="24" t="str">
        <x:v>Posterior deltoid / posterior rotator cuff tendon units</x:v>
      </x:c>
      <x:c r="L29" s="24" t="str">
        <x:v>Posterior shoulder capsule may also be tensioned; no forced capsule stretching</x:v>
      </x:c>
      <x:c r="M29" s="24" t="str">
        <x:v>Muscles: Deltoid; Infraspinatus; Teres minor | Tendons/fascia: Posterior deltoid / posterior rotator cuff tendon units | Ligament context only: Posterior shoulder capsule may also be tensioned; no forced capsule stretching</x:v>
      </x:c>
      <x:c r="N29" s="24" t="str">
        <x:v>Usually none expected (stretch, mobility or relaxation; any active movers are low-load)</x:v>
      </x:c>
      <x:c r="O29" s="24" t="str">
        <x:v>Bring one straightish arm across chest; support upper arm without levering elbow.</x:v>
      </x:c>
      <x:c r="P29" s="24" t="str">
        <x:v>Bodyweight</x:v>
      </x:c>
      <x:c r="Q29" s="24" t="str">
        <x:v>2–3 × 8–12 controlled reps</x:v>
      </x:c>
      <x:c r="R29" s="24" t="str">
        <x:v>Progress gradually; stop with sharp pain, dizziness, or numbness.</x:v>
      </x:c>
      <x:c r="S29" s="24" t="str">
        <x:v>https://orthoinfo.aaos.org/globalassets/pdfs/2024-rotator-cuff-and-shoulder-conditioning-program.pdf</x:v>
      </x:c>
      <x:c r="T29" s="24" t="str">
        <x:v>Anatomy-based mapping</x:v>
      </x:c>
    </x:row>
    <x:row r="30" ht="54" customHeight="1">
      <x:c r="A30" s="24" t="str">
        <x:v>EX0039</x:v>
      </x:c>
      <x:c r="B30" s="24" t="str">
        <x:v>Overhead lat stretch on counter</x:v>
      </x:c>
      <x:c r="C30" s="24" t="str">
        <x:v>Shoulder &amp; Chest</x:v>
      </x:c>
      <x:c r="D30" s="24" t="str">
        <x:v>Home</x:v>
      </x:c>
      <x:c r="E30" s="24" t="str">
        <x:v>Passive stretch</x:v>
      </x:c>
      <x:c r="F30" s="24" t="str">
        <x:v>—</x:v>
      </x:c>
      <x:c r="G30" s="24" t="str">
        <x:v>—</x:v>
      </x:c>
      <x:c r="H30" s="24" t="str">
        <x:v>—</x:v>
      </x:c>
      <x:c r="I30" s="24" t="str">
        <x:v>Latissimus dorsi; Teres major</x:v>
      </x:c>
      <x:c r="J30" s="24" t="str">
        <x:v>Latissimus dorsi; Teres major</x:v>
      </x:c>
      <x:c r="K30" s="24" t="str">
        <x:v>Latissimus dorsi insertion tendon</x:v>
      </x:c>
      <x:c r="L30" s="24" t="str">
        <x:v>Shoulder capsule and coracoclavicular/acromioclavicular ligaments support joint stability; NOT targeted for stretching</x:v>
      </x:c>
      <x:c r="M30" s="24" t="str">
        <x:v>Muscles: Latissimus dorsi; Teres major | Tendons/fascia: Latissimus dorsi insertion tendon | Ligament context only: Shoulder capsule and coracoclavicular/acromioclavicular ligaments support joint stability; NOT targeted for stretching</x:v>
      </x:c>
      <x:c r="N30" s="24" t="str">
        <x:v>Usually none expected (stretch, mobility or relaxation; any active movers are low-load)</x:v>
      </x:c>
      <x:c r="O30" s="24" t="str">
        <x:v>Hands on counter, hinge hips back to lengthen side of torso/shoulder.</x:v>
      </x:c>
      <x:c r="P30" s="24" t="str">
        <x:v>Counter</x:v>
      </x:c>
      <x:c r="Q30" s="24" t="str">
        <x:v>2–3 × 8–12 controlled reps</x:v>
      </x:c>
      <x:c r="R30" s="24" t="str">
        <x:v>Progress gradually; stop with sharp pain, dizziness, or numbness.</x:v>
      </x:c>
      <x:c r="S30" s="24" t="str">
        <x:v>https://orthoinfo.aaos.org/globalassets/pdfs/2024-rotator-cuff-and-shoulder-conditioning-program.pdf</x:v>
      </x:c>
      <x:c r="T30" s="24" t="str">
        <x:v>Anatomy-based mapping</x:v>
      </x:c>
    </x:row>
    <x:row r="31" ht="54" customHeight="1">
      <x:c r="A31" s="24" t="str">
        <x:v>EX0040</x:v>
      </x:c>
      <x:c r="B31" s="24" t="str">
        <x:v>Wall-assisted shoulder flexion</x:v>
      </x:c>
      <x:c r="C31" s="24" t="str">
        <x:v>Shoulder &amp; Chest</x:v>
      </x:c>
      <x:c r="D31" s="24" t="str">
        <x:v>Home</x:v>
      </x:c>
      <x:c r="E31" s="24" t="str">
        <x:v>Active stretch</x:v>
      </x:c>
      <x:c r="F31" s="24" t="str">
        <x:v>Trapezius; Serratus anterior</x:v>
      </x:c>
      <x:c r="G31" s="24" t="str">
        <x:v>—</x:v>
      </x:c>
      <x:c r="H31" s="24" t="str">
        <x:v>—</x:v>
      </x:c>
      <x:c r="I31" s="24" t="str">
        <x:v>Latissimus dorsi; Pectoralis major; Teres major</x:v>
      </x:c>
      <x:c r="J31" s="24" t="str">
        <x:v>Trapezius; Serratus anterior; Latissimus dorsi; Pectoralis major; Teres major</x:v>
      </x:c>
      <x:c r="K31" s="24" t="str">
        <x:v>Latissimus/pectoralis musculotendinous structures</x:v>
      </x:c>
      <x:c r="L31" s="24" t="str">
        <x:v>Shoulder capsule and coracoclavicular/acromioclavicular ligaments support joint stability; NOT targeted for stretching</x:v>
      </x:c>
      <x:c r="M31" s="24" t="str">
        <x:v>Muscles: Trapezius; Serratus anterior; Latissimus dorsi; Pectoralis major; Teres major | Tendons/fascia: Latissimus/pectoralis musculotendinous structures | Ligament context only: Shoulder capsule and coracoclavicular/acromioclavicular ligaments support joint stability; NOT targeted for stretching</x:v>
      </x:c>
      <x:c r="N31" s="24" t="str">
        <x:v>Usually none expected (stretch, mobility or relaxation; any active movers are low-load)</x:v>
      </x:c>
      <x:c r="O31" s="24" t="str">
        <x:v>Walk fingers up wall slowly; reach overhead without trunk compensation.</x:v>
      </x:c>
      <x:c r="P31" s="24" t="str">
        <x:v>Bodyweight</x:v>
      </x:c>
      <x:c r="Q31" s="24" t="str">
        <x:v>2–3 × 8–12 controlled reps</x:v>
      </x:c>
      <x:c r="R31" s="24" t="str">
        <x:v>Progress gradually; stop with sharp pain, dizziness, or numbness.</x:v>
      </x:c>
      <x:c r="S31" s="24" t="str">
        <x:v>https://orthoinfo.aaos.org/globalassets/pdfs/2024-rotator-cuff-and-shoulder-conditioning-program.pdf</x:v>
      </x:c>
      <x:c r="T31" s="24" t="str">
        <x:v>Anatomy-based mapping</x:v>
      </x:c>
    </x:row>
    <x:row r="32" ht="54" customHeight="1">
      <x:c r="A32" s="24" t="str">
        <x:v>EX0041</x:v>
      </x:c>
      <x:c r="B32" s="24" t="str">
        <x:v>Sleeper rotation stretch (gentle)</x:v>
      </x:c>
      <x:c r="C32" s="24" t="str">
        <x:v>Shoulder &amp; Chest</x:v>
      </x:c>
      <x:c r="D32" s="24" t="str">
        <x:v>Home</x:v>
      </x:c>
      <x:c r="E32" s="24" t="str">
        <x:v>Passive stretch</x:v>
      </x:c>
      <x:c r="F32" s="24" t="str">
        <x:v>—</x:v>
      </x:c>
      <x:c r="G32" s="24" t="str">
        <x:v>—</x:v>
      </x:c>
      <x:c r="H32" s="24" t="str">
        <x:v>—</x:v>
      </x:c>
      <x:c r="I32" s="24" t="str">
        <x:v>Infraspinatus; Teres minor</x:v>
      </x:c>
      <x:c r="J32" s="24" t="str">
        <x:v>Infraspinatus; Teres minor</x:v>
      </x:c>
      <x:c r="K32" s="24" t="str">
        <x:v>Atlas-listed tendon/aponeurosis examples: Infraspinatus tendon blends with capsule; Teres minor tendon blends with capsule</x:v>
      </x:c>
      <x:c r="L32" s="24" t="str">
        <x:v>Posterior glenohumeral capsule may be stressed; avoid aggressive pressure</x:v>
      </x:c>
      <x:c r="M32" s="24" t="str">
        <x:v>Muscles: Infraspinatus; Teres minor | Tendons/fascia: Atlas-listed tendon/aponeurosis examples: Infraspinatus tendon blends with capsule; Teres minor tendon blends with capsule | Ligament context only: Posterior glenohumeral capsule may be stressed; avoid aggressive pressure</x:v>
      </x:c>
      <x:c r="N32" s="24" t="str">
        <x:v>Usually none expected (stretch, mobility or relaxation; any active movers are low-load)</x:v>
      </x:c>
      <x:c r="O32" s="24" t="str">
        <x:v>Lie on side with shoulder comfortably forward; use only light inward rotation.</x:v>
      </x:c>
      <x:c r="P32" s="24" t="str">
        <x:v>Bodyweight</x:v>
      </x:c>
      <x:c r="Q32" s="24" t="str">
        <x:v>2–3 × 8–12 controlled reps</x:v>
      </x:c>
      <x:c r="R32" s="24" t="str">
        <x:v>Skip if painful or with instability; clinician guidance preferred.</x:v>
      </x:c>
      <x:c r="S32" s="24" t="str">
        <x:v>https://orthoinfo.aaos.org/globalassets/pdfs/2024-rotator-cuff-and-shoulder-conditioning-program.pdf</x:v>
      </x:c>
      <x:c r="T32" s="24" t="str">
        <x:v>Anatomy-based mapping</x:v>
      </x:c>
    </x:row>
    <x:row r="33" ht="54" customHeight="1">
      <x:c r="A33" s="24" t="str">
        <x:v>EX0042</x:v>
      </x:c>
      <x:c r="B33" s="24" t="str">
        <x:v>Overhead triceps stretch</x:v>
      </x:c>
      <x:c r="C33" s="24" t="str">
        <x:v>Arm</x:v>
      </x:c>
      <x:c r="D33" s="24" t="str">
        <x:v>Home</x:v>
      </x:c>
      <x:c r="E33" s="24" t="str">
        <x:v>Passive stretch</x:v>
      </x:c>
      <x:c r="F33" s="24" t="str">
        <x:v>—</x:v>
      </x:c>
      <x:c r="G33" s="24" t="str">
        <x:v>—</x:v>
      </x:c>
      <x:c r="H33" s="24" t="str">
        <x:v>—</x:v>
      </x:c>
      <x:c r="I33" s="24" t="str">
        <x:v>Triceps brachii lateral head; Triceps brachii long head; Triceps brachii medial head</x:v>
      </x:c>
      <x:c r="J33" s="24" t="str">
        <x:v>Triceps brachii lateral head; Triceps brachii long head; Triceps brachii medial head</x:v>
      </x:c>
      <x:c r="K33" s="24" t="str">
        <x:v>Triceps long-head musculotendinous unit</x:v>
      </x:c>
      <x:c r="L33" s="24" t="str">
        <x:v>Elbow collateral ligaments stabilize elbow; NOT a stretch target</x:v>
      </x:c>
      <x:c r="M33" s="24" t="str">
        <x:v>Muscles: Triceps brachii lateral head; Triceps brachii long head; Triceps brachii medial head | Tendons/fascia: Triceps long-head musculotendinous unit | Ligament context only: Elbow collateral ligaments stabilize elbow; NOT a stretch target</x:v>
      </x:c>
      <x:c r="N33" s="24" t="str">
        <x:v>Usually none expected (stretch, mobility or relaxation; any active movers are low-load)</x:v>
      </x:c>
      <x:c r="O33" s="24" t="str">
        <x:v>Elbow pointed upward; gently guide bent elbow with other hand.</x:v>
      </x:c>
      <x:c r="P33" s="24" t="str">
        <x:v>Bodyweight</x:v>
      </x:c>
      <x:c r="Q33" s="24" t="str">
        <x:v>2–3 × 8–12 controlled reps</x:v>
      </x:c>
      <x:c r="R33" s="24" t="str">
        <x:v>Progress gradually; stop with sharp pain, dizziness, or numbness.</x:v>
      </x:c>
      <x:c r="S33" s="24" t="str">
        <x:v>https://www.acsm.org/education-resources/trending-topics-resources/physical-activity-guidelines</x:v>
      </x:c>
      <x:c r="T33" s="24" t="str">
        <x:v>Anatomy-based mapping</x:v>
      </x:c>
    </x:row>
    <x:row r="34" ht="54" customHeight="1">
      <x:c r="A34" s="24" t="str">
        <x:v>EX0043</x:v>
      </x:c>
      <x:c r="B34" s="24" t="str">
        <x:v>Biceps wall stretch</x:v>
      </x:c>
      <x:c r="C34" s="24" t="str">
        <x:v>Arm</x:v>
      </x:c>
      <x:c r="D34" s="24" t="str">
        <x:v>Home</x:v>
      </x:c>
      <x:c r="E34" s="24" t="str">
        <x:v>Passive stretch</x:v>
      </x:c>
      <x:c r="F34" s="24" t="str">
        <x:v>—</x:v>
      </x:c>
      <x:c r="G34" s="24" t="str">
        <x:v>—</x:v>
      </x:c>
      <x:c r="H34" s="24" t="str">
        <x:v>—</x:v>
      </x:c>
      <x:c r="I34" s="24" t="str">
        <x:v>Biceps brachii long head; Biceps brachii short head</x:v>
      </x:c>
      <x:c r="J34" s="24" t="str">
        <x:v>Biceps brachii long head; Biceps brachii short head</x:v>
      </x:c>
      <x:c r="K34" s="24" t="str">
        <x:v>Biceps brachii long/short head tendons</x:v>
      </x:c>
      <x:c r="L34" s="24" t="str">
        <x:v>Elbow collateral ligaments stabilize elbow; NOT a stretch target</x:v>
      </x:c>
      <x:c r="M34" s="24" t="str">
        <x:v>Muscles: Biceps brachii long head; Biceps brachii short head | Tendons/fascia: Biceps brachii long/short head tendons | Ligament context only: Elbow collateral ligaments stabilize elbow; NOT a stretch target</x:v>
      </x:c>
      <x:c r="N34" s="24" t="str">
        <x:v>Usually none expected (stretch, mobility or relaxation; any active movers are low-load)</x:v>
      </x:c>
      <x:c r="O34" s="24" t="str">
        <x:v>Palm against wall with arm behind trunk; rotate body away slightly; avoid anterior shoulder strain.</x:v>
      </x:c>
      <x:c r="P34" s="24" t="str">
        <x:v>Bodyweight</x:v>
      </x:c>
      <x:c r="Q34" s="24" t="str">
        <x:v>2–3 × 8–12 controlled reps</x:v>
      </x:c>
      <x:c r="R34" s="24" t="str">
        <x:v>Progress gradually; stop with sharp pain, dizziness, or numbness.</x:v>
      </x:c>
      <x:c r="S34" s="24" t="str">
        <x:v>https://www.acsm.org/education-resources/trending-topics-resources/physical-activity-guidelines</x:v>
      </x:c>
      <x:c r="T34" s="24" t="str">
        <x:v>Anatomy-based mapping</x:v>
      </x:c>
    </x:row>
    <x:row r="35" ht="54" customHeight="1">
      <x:c r="A35" s="24" t="str">
        <x:v>EX0044</x:v>
      </x:c>
      <x:c r="B35" s="24" t="str">
        <x:v>Underhand inverted table row</x:v>
      </x:c>
      <x:c r="C35" s="24" t="str">
        <x:v>Arm</x:v>
      </x:c>
      <x:c r="D35" s="24" t="str">
        <x:v>Home</x:v>
      </x:c>
      <x:c r="E35" s="24" t="str">
        <x:v>Compound strength</x:v>
      </x:c>
      <x:c r="F35" s="24" t="str">
        <x:v>Biceps brachii long head; Biceps brachii short head; Latissimus dorsi; Teres major; Trapezius; Rhomboid major; Rhomboid minor</x:v>
      </x:c>
      <x:c r="G35" s="24" t="str">
        <x:v>Brachialis; Brachioradialis</x:v>
      </x:c>
      <x:c r="H35" s="24" t="str">
        <x:v>Rectus abdominis; External oblique; Internal oblique; Transversus abdominis; Infraspinatus; Subscapularis; Supraspinatus; Teres minor</x:v>
      </x:c>
      <x:c r="I35" s="24" t="str">
        <x:v>—</x:v>
      </x:c>
      <x:c r="J35" s="24" t="str">
        <x:v>Biceps brachii long head; Biceps brachii short head; Latissimus dorsi; Teres major; Trapezius; Rhomboid major; Rhomboid minor; Brachialis; Brachioradialis; Rectus abdominis; External oblique; Internal oblique; Transversus abdominis; Infraspinatus; Subscapularis; Supraspinatus; Teres minor</x:v>
      </x:c>
      <x:c r="K35" s="24" t="str">
        <x:v>Atlas-listed tendon/aponeurosis examples: Long-head proximal tendon; distal biceps tendon; bicipital aponeurosis; Conjoined proximal tendon; common distal biceps tendon; Flattened latissimus dorsi tendon; Teres major insertion tendon; additional listed attachments</x:v>
      </x:c>
      <x:c r="L35" s="24" t="str">
        <x:v>Elbow collateral ligaments stabilize elbow; NOT a stretch target</x:v>
      </x:c>
      <x:c r="M35" s="24" t="str">
        <x:v>Muscles: Biceps brachii long head; Biceps brachii short head; Latissimus dorsi; Teres major; Trapezius; Rhomboid major; Rhomboid minor; Brachialis; Brachioradialis; Rectus abdominis; External oblique; Internal oblique; Transversus abdominis; Infraspinatus; Subscapularis; Supraspinatus; Teres minor | Tendons/fascia: Atlas-listed tendon/aponeurosis examples: Long-head proximal tendon; distal biceps tendon; bicipital aponeurosis; Conjoined proximal tendon; common distal biceps tendon; Flattened latissimus dorsi tendon; Teres major insertion tendon; additional listed attachments | Ligament context only: Elbow collateral ligaments stabilize elbow; NOT a stretch target</x:v>
      </x:c>
      <x:c r="N35" s="24" t="str">
        <x:v>Biceps brachii long head; Biceps brachii short head; Latissimus dorsi; Teres major; Trapezius; Rhomboid major; Rhomboid minor; Brachialis; Brachioradialis</x:v>
      </x:c>
      <x:c r="O35" s="24" t="str">
        <x:v>Pull chest toward edge of an extremely sturdy immobile bar/table; avoid unsafe furniture.</x:v>
      </x:c>
      <x:c r="P35" s="24" t="str">
        <x:v>Secure low bar</x:v>
      </x:c>
      <x:c r="Q35" s="24" t="str">
        <x:v>2–3 × 8–12 controlled reps</x:v>
      </x:c>
      <x:c r="R35" s="24" t="str">
        <x:v>Progress gradually; stop with sharp pain, dizziness, or numbness.</x:v>
      </x:c>
      <x:c r="S35" s="24" t="str">
        <x:v>https://www.acsm.org/education-resources/trending-topics-resources/physical-activity-guidelines</x:v>
      </x:c>
      <x:c r="T35" s="24" t="str">
        <x:v>Anatomy-based mapping</x:v>
      </x:c>
    </x:row>
    <x:row r="36" ht="54" customHeight="1">
      <x:c r="A36" s="24" t="str">
        <x:v>EX0045</x:v>
      </x:c>
      <x:c r="B36" s="24" t="str">
        <x:v>Door-anchor band biceps curl</x:v>
      </x:c>
      <x:c r="C36" s="24" t="str">
        <x:v>Arm</x:v>
      </x:c>
      <x:c r="D36" s="24" t="str">
        <x:v>Home</x:v>
      </x:c>
      <x:c r="E36" s="24" t="str">
        <x:v>Band strength</x:v>
      </x:c>
      <x:c r="F36" s="24" t="str">
        <x:v>Biceps brachii long head; Biceps brachii short head; Brachialis</x:v>
      </x:c>
      <x:c r="G36" s="24" t="str">
        <x:v>Brachioradialis</x:v>
      </x:c>
      <x:c r="H36" s="24" t="str">
        <x:v>Flexor carpi radialis; Flexor carpi ulnaris humeral head; Flexor carpi ulnaris ulnar head; Palmaris longus</x:v>
      </x:c>
      <x:c r="I36" s="24" t="str">
        <x:v>—</x:v>
      </x:c>
      <x:c r="J36" s="24" t="str">
        <x:v>Biceps brachii long head; Biceps brachii short head; Brachialis; Brachioradialis; Flexor carpi radialis; Flexor carpi ulnaris humeral head; Flexor carpi ulnaris ulnar head; Palmaris longus</x:v>
      </x:c>
      <x:c r="K36" s="24" t="str">
        <x:v>Atlas-listed tendon/aponeurosis examples: Long-head proximal tendon; distal biceps tendon; bicipital aponeurosis; Conjoined proximal tendon; common distal biceps tendon; Brachialis insertion tendon; Distal brachioradialis tendon</x:v>
      </x:c>
      <x:c r="L36" s="24" t="str">
        <x:v>Elbow collateral ligaments stabilize elbow; NOT a stretch target</x:v>
      </x:c>
      <x:c r="M36" s="24" t="str">
        <x:v>Muscles: Biceps brachii long head; Biceps brachii short head; Brachialis; Brachioradialis; Flexor carpi radialis; Flexor carpi ulnaris humeral head; Flexor carpi ulnaris ulnar head; Palmaris longus | Tendons/fascia: Atlas-listed tendon/aponeurosis examples: Long-head proximal tendon; distal biceps tendon; bicipital aponeurosis; Conjoined proximal tendon; common distal biceps tendon; Brachialis insertion tendon; Distal brachioradialis tendon | Ligament context only: Elbow collateral ligaments stabilize elbow; NOT a stretch target</x:v>
      </x:c>
      <x:c r="N36" s="24" t="str">
        <x:v>Biceps brachii long head; Biceps brachii short head; Brachialis; Brachioradialis</x:v>
      </x:c>
      <x:c r="O36" s="24" t="str">
        <x:v>Elbows at sides; bend elbows against band, keeping wrists neutral.</x:v>
      </x:c>
      <x:c r="P36" s="24" t="str">
        <x:v>Band</x:v>
      </x:c>
      <x:c r="Q36" s="24" t="str">
        <x:v>2–3 × 8–12 controlled reps</x:v>
      </x:c>
      <x:c r="R36" s="24" t="str">
        <x:v>Progress gradually; stop with sharp pain, dizziness, or numbness.</x:v>
      </x:c>
      <x:c r="S36" s="24" t="str">
        <x:v>https://www.acsm.org/education-resources/trending-topics-resources/physical-activity-guidelines</x:v>
      </x:c>
      <x:c r="T36" s="24" t="str">
        <x:v>Anatomy-based mapping</x:v>
      </x:c>
    </x:row>
    <x:row r="37" ht="54" customHeight="1">
      <x:c r="A37" s="24" t="str">
        <x:v>EX0048</x:v>
      </x:c>
      <x:c r="B37" s="24" t="str">
        <x:v>Hammer curl with backpack</x:v>
      </x:c>
      <x:c r="C37" s="24" t="str">
        <x:v>Arm</x:v>
      </x:c>
      <x:c r="D37" s="24" t="str">
        <x:v>Home</x:v>
      </x:c>
      <x:c r="E37" s="24" t="str">
        <x:v>Compound strength</x:v>
      </x:c>
      <x:c r="F37" s="24" t="str">
        <x:v>Brachioradialis; Brachialis; Biceps brachii long head; Biceps brachii short head</x:v>
      </x:c>
      <x:c r="G37" s="24" t="str">
        <x:v>—</x:v>
      </x:c>
      <x:c r="H37" s="24" t="str">
        <x:v>Flexor carpi radialis; Flexor carpi ulnaris humeral head; Flexor carpi ulnaris ulnar head; Palmaris longus</x:v>
      </x:c>
      <x:c r="I37" s="24" t="str">
        <x:v>—</x:v>
      </x:c>
      <x:c r="J37" s="24" t="str">
        <x:v>Brachioradialis; Brachialis; Biceps brachii long head; Biceps brachii short head; Flexor carpi radialis; Flexor carpi ulnaris humeral head; Flexor carpi ulnaris ulnar head; Palmaris longus</x:v>
      </x:c>
      <x:c r="K37" s="24" t="str">
        <x:v>Atlas-listed tendon/aponeurosis examples: Distal brachioradialis tendon; Brachialis insertion tendon; Long-head proximal tendon; distal biceps tendon; bicipital aponeurosis; Conjoined proximal tendon; common distal biceps tendon</x:v>
      </x:c>
      <x:c r="L37" s="24" t="str">
        <x:v>Elbow collateral ligaments stabilize elbow; NOT a stretch target</x:v>
      </x:c>
      <x:c r="M37" s="24" t="str">
        <x:v>Muscles: Brachioradialis; Brachialis; Biceps brachii long head; Biceps brachii short head; Flexor carpi radialis; Flexor carpi ulnaris humeral head; Flexor carpi ulnaris ulnar head; Palmaris longus | Tendons/fascia: Atlas-listed tendon/aponeurosis examples: Distal brachioradialis tendon; Brachialis insertion tendon; Long-head proximal tendon; distal biceps tendon; bicipital aponeurosis; Conjoined proximal tendon; common distal biceps tendon | Ligament context only: Elbow collateral ligaments stabilize elbow; NOT a stretch target</x:v>
      </x:c>
      <x:c r="N37" s="24" t="str">
        <x:v>Brachioradialis; Brachialis; Biceps brachii long head; Biceps brachii short head</x:v>
      </x:c>
      <x:c r="O37" s="24" t="str">
        <x:v>Hold handle with neutral thumb-up grip and flex elbows.</x:v>
      </x:c>
      <x:c r="P37" s="24" t="str">
        <x:v>Backpack</x:v>
      </x:c>
      <x:c r="Q37" s="24" t="str">
        <x:v>2–3 × 8–12 controlled reps</x:v>
      </x:c>
      <x:c r="R37" s="24" t="str">
        <x:v>Progress gradually; stop with sharp pain, dizziness, or numbness.</x:v>
      </x:c>
      <x:c r="S37" s="24" t="str">
        <x:v>https://www.acsm.org/education-resources/trending-topics-resources/physical-activity-guidelines</x:v>
      </x:c>
      <x:c r="T37" s="24" t="str">
        <x:v>Anatomy-based mapping</x:v>
      </x:c>
    </x:row>
    <x:row r="38" ht="54" customHeight="1">
      <x:c r="A38" s="24" t="str">
        <x:v>EX0050</x:v>
      </x:c>
      <x:c r="B38" s="24" t="str">
        <x:v>Reverse curl band</x:v>
      </x:c>
      <x:c r="C38" s="24" t="str">
        <x:v>Arm</x:v>
      </x:c>
      <x:c r="D38" s="24" t="str">
        <x:v>Home</x:v>
      </x:c>
      <x:c r="E38" s="24" t="str">
        <x:v>Band strength</x:v>
      </x:c>
      <x:c r="F38" s="24" t="str">
        <x:v>Brachioradialis; Brachialis</x:v>
      </x:c>
      <x:c r="G38" s="24" t="str">
        <x:v>Biceps brachii long head; Biceps brachii short head; Extensor carpi ulnaris; Extensor carpi radialis brevis; Extensor carpi radialis longus</x:v>
      </x:c>
      <x:c r="H38" s="24" t="str">
        <x:v>—</x:v>
      </x:c>
      <x:c r="I38" s="24" t="str">
        <x:v>—</x:v>
      </x:c>
      <x:c r="J38" s="24" t="str">
        <x:v>Brachioradialis; Brachialis; Biceps brachii long head; Biceps brachii short head; Extensor carpi ulnaris; Extensor carpi radialis brevis; Extensor carpi radialis longus</x:v>
      </x:c>
      <x:c r="K38" s="24" t="str">
        <x:v>Atlas-listed tendon/aponeurosis examples: Distal brachioradialis tendon; Brachialis insertion tendon; Long-head proximal tendon; distal biceps tendon; bicipital aponeurosis; Conjoined proximal tendon; common distal biceps tendon; additional listed attachments</x:v>
      </x:c>
      <x:c r="L38" s="24" t="str">
        <x:v>Elbow collateral ligaments stabilize elbow; NOT a stretch target</x:v>
      </x:c>
      <x:c r="M38" s="24" t="str">
        <x:v>Muscles: Brachioradialis; Brachialis; Biceps brachii long head; Biceps brachii short head; Extensor carpi ulnaris; Extensor carpi radialis brevis; Extensor carpi radialis longus | Tendons/fascia: Atlas-listed tendon/aponeurosis examples: Distal brachioradialis tendon; Brachialis insertion tendon; Long-head proximal tendon; distal biceps tendon; bicipital aponeurosis; Conjoined proximal tendon; common distal biceps tendon; additional listed attachments | Ligament context only: Elbow collateral ligaments stabilize elbow; NOT a stretch target</x:v>
      </x:c>
      <x:c r="N38" s="24" t="str">
        <x:v>Brachioradialis; Brachialis; Biceps brachii long head; Biceps brachii short head; Extensor carpi ulnaris; Extensor carpi radialis brevis; Extensor carpi radialis longus</x:v>
      </x:c>
      <x:c r="O38" s="24" t="str">
        <x:v>Curl with knuckles up and elbows at sides.</x:v>
      </x:c>
      <x:c r="P38" s="24" t="str">
        <x:v>Band</x:v>
      </x:c>
      <x:c r="Q38" s="24" t="str">
        <x:v>2–3 × 8–12 controlled reps</x:v>
      </x:c>
      <x:c r="R38" s="24" t="str">
        <x:v>Progress gradually; stop with sharp pain, dizziness, or numbness.</x:v>
      </x:c>
      <x:c r="S38" s="24" t="str">
        <x:v>https://www.acsm.org/education-resources/trending-topics-resources/physical-activity-guidelines</x:v>
      </x:c>
      <x:c r="T38" s="24" t="str">
        <x:v>Anatomy-based mapping</x:v>
      </x:c>
    </x:row>
    <x:row r="39" ht="54" customHeight="1">
      <x:c r="A39" s="24" t="str">
        <x:v>EX0052</x:v>
      </x:c>
      <x:c r="B39" s="24" t="str">
        <x:v>Band triceps press-down</x:v>
      </x:c>
      <x:c r="C39" s="24" t="str">
        <x:v>Arm</x:v>
      </x:c>
      <x:c r="D39" s="24" t="str">
        <x:v>Home</x:v>
      </x:c>
      <x:c r="E39" s="24" t="str">
        <x:v>Band strength</x:v>
      </x:c>
      <x:c r="F39" s="24" t="str">
        <x:v>Triceps brachii lateral head; Triceps brachii long head; Triceps brachii medial head; Anconeus</x:v>
      </x:c>
      <x:c r="G39" s="24" t="str">
        <x:v>Articularis cubiti</x:v>
      </x:c>
      <x:c r="H39" s="24" t="str">
        <x:v>Rectus abdominis; External oblique; Internal oblique; Transversus abdominis</x:v>
      </x:c>
      <x:c r="I39" s="24" t="str">
        <x:v>—</x:v>
      </x:c>
      <x:c r="J39" s="24" t="str">
        <x:v>Triceps brachii lateral head; Triceps brachii long head; Triceps brachii medial head; Anconeus; Articularis cubiti; Rectus abdominis; External oblique; Internal oblique; Transversus abdominis</x:v>
      </x:c>
      <x:c r="K39" s="24" t="str">
        <x:v>Triceps tendon</x:v>
      </x:c>
      <x:c r="L39" s="24" t="str">
        <x:v>Elbow collateral ligaments stabilize elbow; NOT a stretch target</x:v>
      </x:c>
      <x:c r="M39" s="24" t="str">
        <x:v>Muscles: Triceps brachii lateral head; Triceps brachii long head; Triceps brachii medial head; Anconeus; Articularis cubiti; Rectus abdominis; External oblique; Internal oblique; Transversus abdominis | Tendons/fascia: Triceps tendon | Ligament context only: Elbow collateral ligaments stabilize elbow; NOT a stretch target</x:v>
      </x:c>
      <x:c r="N39" s="24" t="str">
        <x:v>Triceps brachii lateral head; Triceps brachii long head; Triceps brachii medial head; Anconeus; Articularis cubiti</x:v>
      </x:c>
      <x:c r="O39" s="24" t="str">
        <x:v>Fix band overhead; extend elbows while keeping upper arms stationary.</x:v>
      </x:c>
      <x:c r="P39" s="24" t="str">
        <x:v>Band; secure high anchor</x:v>
      </x:c>
      <x:c r="Q39" s="24" t="str">
        <x:v>2–3 × 8–12 controlled reps</x:v>
      </x:c>
      <x:c r="R39" s="24" t="str">
        <x:v>Progress gradually; stop with sharp pain, dizziness, or numbness.</x:v>
      </x:c>
      <x:c r="S39" s="24" t="str">
        <x:v>https://www.acsm.org/education-resources/trending-topics-resources/physical-activity-guidelines</x:v>
      </x:c>
      <x:c r="T39" s="24" t="str">
        <x:v>Anatomy-based mapping</x:v>
      </x:c>
    </x:row>
    <x:row r="40" ht="54" customHeight="1">
      <x:c r="A40" s="24" t="str">
        <x:v>EX0053</x:v>
      </x:c>
      <x:c r="B40" s="24" t="str">
        <x:v>Overhead band triceps extension</x:v>
      </x:c>
      <x:c r="C40" s="24" t="str">
        <x:v>Arm</x:v>
      </x:c>
      <x:c r="D40" s="24" t="str">
        <x:v>Home</x:v>
      </x:c>
      <x:c r="E40" s="24" t="str">
        <x:v>Band strength</x:v>
      </x:c>
      <x:c r="F40" s="24" t="str">
        <x:v>Triceps brachii lateral head; Triceps brachii long head; Triceps brachii medial head</x:v>
      </x:c>
      <x:c r="G40" s="24" t="str">
        <x:v>Anconeus</x:v>
      </x:c>
      <x:c r="H40" s="24" t="str">
        <x:v>Rectus abdominis; External oblique; Internal oblique; Transversus abdominis</x:v>
      </x:c>
      <x:c r="I40" s="24" t="str">
        <x:v>—</x:v>
      </x:c>
      <x:c r="J40" s="24" t="str">
        <x:v>Triceps brachii lateral head; Triceps brachii long head; Triceps brachii medial head; Anconeus; Rectus abdominis; External oblique; Internal oblique; Transversus abdominis</x:v>
      </x:c>
      <x:c r="K40" s="24" t="str">
        <x:v>Triceps tendon</x:v>
      </x:c>
      <x:c r="L40" s="24" t="str">
        <x:v>Elbow collateral ligaments stabilize elbow; NOT a stretch target</x:v>
      </x:c>
      <x:c r="M40" s="24" t="str">
        <x:v>Muscles: Triceps brachii lateral head; Triceps brachii long head; Triceps brachii medial head; Anconeus; Rectus abdominis; External oblique; Internal oblique; Transversus abdominis | Tendons/fascia: Triceps tendon | Ligament context only: Elbow collateral ligaments stabilize elbow; NOT a stretch target</x:v>
      </x:c>
      <x:c r="N40" s="24" t="str">
        <x:v>Triceps brachii lateral head; Triceps brachii long head; Triceps brachii medial head; Anconeus</x:v>
      </x:c>
      <x:c r="O40" s="24" t="str">
        <x:v>With band anchored low or behind, extend bent elbows overhead.</x:v>
      </x:c>
      <x:c r="P40" s="24" t="str">
        <x:v>Band</x:v>
      </x:c>
      <x:c r="Q40" s="24" t="str">
        <x:v>2–3 × 8–12 controlled reps</x:v>
      </x:c>
      <x:c r="R40" s="24" t="str">
        <x:v>Progress gradually; stop with sharp pain, dizziness, or numbness.</x:v>
      </x:c>
      <x:c r="S40" s="24" t="str">
        <x:v>https://www.acsm.org/education-resources/trending-topics-resources/physical-activity-guidelines</x:v>
      </x:c>
      <x:c r="T40" s="24" t="str">
        <x:v>Anatomy-based mapping</x:v>
      </x:c>
    </x:row>
    <x:row r="41" ht="54" customHeight="1">
      <x:c r="A41" s="24" t="str">
        <x:v>EX0056</x:v>
      </x:c>
      <x:c r="B41" s="24" t="str">
        <x:v>Chair-assisted triceps dip (partial)</x:v>
      </x:c>
      <x:c r="C41" s="24" t="str">
        <x:v>Arm</x:v>
      </x:c>
      <x:c r="D41" s="24" t="str">
        <x:v>Home</x:v>
      </x:c>
      <x:c r="E41" s="24" t="str">
        <x:v>Compound strength</x:v>
      </x:c>
      <x:c r="F41" s="24" t="str">
        <x:v>Triceps brachii lateral head; Triceps brachii long head; Triceps brachii medial head</x:v>
      </x:c>
      <x:c r="G41" s="24" t="str">
        <x:v>Pectoralis major; Deltoid; Supraspinatus</x:v>
      </x:c>
      <x:c r="H41" s="24" t="str">
        <x:v>Infraspinatus; Subscapularis; Teres minor</x:v>
      </x:c>
      <x:c r="I41" s="24" t="str">
        <x:v>—</x:v>
      </x:c>
      <x:c r="J41" s="24" t="str">
        <x:v>Triceps brachii lateral head; Triceps brachii long head; Triceps brachii medial head; Pectoralis major; Deltoid; Supraspinatus; Infraspinatus; Subscapularis; Teres minor</x:v>
      </x:c>
      <x:c r="K41" s="24" t="str">
        <x:v>Triceps tendon</x:v>
      </x:c>
      <x:c r="L41" s="24" t="str">
        <x:v>Anterior shoulder capsule can be stressed; avoid deep dips</x:v>
      </x:c>
      <x:c r="M41" s="24" t="str">
        <x:v>Muscles: Triceps brachii lateral head; Triceps brachii long head; Triceps brachii medial head; Pectoralis major; Deltoid; Supraspinatus; Infraspinatus; Subscapularis; Teres minor | Tendons/fascia: Triceps tendon | Ligament context only: Anterior shoulder capsule can be stressed; avoid deep dips</x:v>
      </x:c>
      <x:c r="N41" s="24" t="str">
        <x:v>Triceps brachii lateral head; Triceps brachii long head; Triceps brachii medial head; Pectoralis major; Deltoid; Supraspinatus</x:v>
      </x:c>
      <x:c r="O41" s="24" t="str">
        <x:v>Hands supported on sturdy chair, knees bent; bend elbows minimally then press.</x:v>
      </x:c>
      <x:c r="P41" s="24" t="str">
        <x:v>Sturdy chair</x:v>
      </x:c>
      <x:c r="Q41" s="24" t="str">
        <x:v>2–3 × 8–12 controlled reps</x:v>
      </x:c>
      <x:c r="R41" s="24" t="str">
        <x:v>Avoid if shoulder instability or front-of-shoulder pain.</x:v>
      </x:c>
      <x:c r="S41" s="24" t="str">
        <x:v>https://www.acsm.org/education-resources/trending-topics-resources/physical-activity-guidelines</x:v>
      </x:c>
      <x:c r="T41" s="24" t="str">
        <x:v>Anatomy-based mapping</x:v>
      </x:c>
    </x:row>
    <x:row r="42" ht="54" customHeight="1">
      <x:c r="A42" s="24" t="str">
        <x:v>EX0057</x:v>
      </x:c>
      <x:c r="B42" s="24" t="str">
        <x:v>Band elbow flexion isometric at 90 degrees</x:v>
      </x:c>
      <x:c r="C42" s="24" t="str">
        <x:v>Arm</x:v>
      </x:c>
      <x:c r="D42" s="24" t="str">
        <x:v>Home</x:v>
      </x:c>
      <x:c r="E42" s="24" t="str">
        <x:v>Isometric strength</x:v>
      </x:c>
      <x:c r="F42" s="24" t="str">
        <x:v>Biceps brachii long head; Biceps brachii short head; Brachialis; Brachioradialis</x:v>
      </x:c>
      <x:c r="G42" s="24" t="str">
        <x:v>—</x:v>
      </x:c>
      <x:c r="H42" s="24" t="str">
        <x:v>Flexor carpi radialis; Flexor carpi ulnaris humeral head; Flexor carpi ulnaris ulnar head; Palmaris longus</x:v>
      </x:c>
      <x:c r="I42" s="24" t="str">
        <x:v>—</x:v>
      </x:c>
      <x:c r="J42" s="24" t="str">
        <x:v>Biceps brachii long head; Biceps brachii short head; Brachialis; Brachioradialis; Flexor carpi radialis; Flexor carpi ulnaris humeral head; Flexor carpi ulnaris ulnar head; Palmaris longus</x:v>
      </x:c>
      <x:c r="K42" s="24" t="str">
        <x:v>Atlas-listed tendon/aponeurosis examples: Long-head proximal tendon; distal biceps tendon; bicipital aponeurosis; Conjoined proximal tendon; common distal biceps tendon; Brachialis insertion tendon; Distal brachioradialis tendon</x:v>
      </x:c>
      <x:c r="L42" s="24" t="str">
        <x:v>Elbow collateral ligaments stabilize elbow; NOT a stretch target</x:v>
      </x:c>
      <x:c r="M42" s="24" t="str">
        <x:v>Muscles: Biceps brachii long head; Biceps brachii short head; Brachialis; Brachioradialis; Flexor carpi radialis; Flexor carpi ulnaris humeral head; Flexor carpi ulnaris ulnar head; Palmaris longus | Tendons/fascia: Atlas-listed tendon/aponeurosis examples: Long-head proximal tendon; distal biceps tendon; bicipital aponeurosis; Conjoined proximal tendon; common distal biceps tendon; Brachialis insertion tendon; Distal brachioradialis tendon | Ligament context only: Elbow collateral ligaments stabilize elbow; NOT a stretch target</x:v>
      </x:c>
      <x:c r="N42" s="24" t="str">
        <x:v>Biceps brachii long head; Biceps brachii short head; Brachialis; Brachioradialis</x:v>
      </x:c>
      <x:c r="O42" s="24" t="str">
        <x:v>Hold bent elbow at 90° against moderate band tension.</x:v>
      </x:c>
      <x:c r="P42" s="24" t="str">
        <x:v>Band</x:v>
      </x:c>
      <x:c r="Q42" s="24" t="str">
        <x:v>2–3 × 8–12 controlled reps</x:v>
      </x:c>
      <x:c r="R42" s="24" t="str">
        <x:v>Progress gradually; stop with sharp pain, dizziness, or numbness.</x:v>
      </x:c>
      <x:c r="S42" s="24" t="str">
        <x:v>https://www.acsm.org/education-resources/trending-topics-resources/physical-activity-guidelines</x:v>
      </x:c>
      <x:c r="T42" s="24" t="str">
        <x:v>Anatomy-based mapping</x:v>
      </x:c>
    </x:row>
    <x:row r="43" ht="54" customHeight="1">
      <x:c r="A43" s="24" t="str">
        <x:v>EX0058</x:v>
      </x:c>
      <x:c r="B43" s="24" t="str">
        <x:v>Forearm rotation: resisted pronation</x:v>
      </x:c>
      <x:c r="C43" s="24" t="str">
        <x:v>Arm</x:v>
      </x:c>
      <x:c r="D43" s="24" t="str">
        <x:v>Home</x:v>
      </x:c>
      <x:c r="E43" s="24" t="str">
        <x:v>Band strength</x:v>
      </x:c>
      <x:c r="F43" s="24" t="str">
        <x:v>Pronator quadratus; Pronator teres humeral head; Pronator teres ulnar head</x:v>
      </x:c>
      <x:c r="G43" s="24" t="str">
        <x:v>Flexor carpi radialis; Flexor carpi ulnaris humeral head; Flexor carpi ulnaris ulnar head; Palmaris longus</x:v>
      </x:c>
      <x:c r="H43" s="24" t="str">
        <x:v>Biceps brachii long head; Biceps brachii short head; Brachialis; Brachioradialis</x:v>
      </x:c>
      <x:c r="I43" s="24" t="str">
        <x:v>—</x:v>
      </x:c>
      <x:c r="J43" s="24" t="str">
        <x:v>Pronator quadratus; Pronator teres humeral head; Pronator teres ulnar head; Flexor carpi radialis; Flexor carpi ulnaris humeral head; Flexor carpi ulnaris ulnar head; Palmaris longus; Biceps brachii long head; Biceps brachii short head; Brachialis; Brachioradialis</x:v>
      </x:c>
      <x:c r="K43" s="24" t="str">
        <x:v>Atlas-listed tendon/aponeurosis examples: Broad muscular insertion (no distinct long tendon); Common flexor tendon; Short insertion tendon; FCR tendon through own fibro-osseous tunnel; additional listed attachments</x:v>
      </x:c>
      <x:c r="L43" s="24" t="str">
        <x:v>Elbow collateral ligaments stabilize elbow; NOT a stretch target</x:v>
      </x:c>
      <x:c r="M43" s="24" t="str">
        <x:v>Muscles: Pronator quadratus; Pronator teres humeral head; Pronator teres ulnar head; Flexor carpi radialis; Flexor carpi ulnaris humeral head; Flexor carpi ulnaris ulnar head; Palmaris longus; Biceps brachii long head; Biceps brachii short head; Brachialis; Brachioradialis | Tendons/fascia: Atlas-listed tendon/aponeurosis examples: Broad muscular insertion (no distinct long tendon); Common flexor tendon; Short insertion tendon; FCR tendon through own fibro-osseous tunnel; additional listed attachments | Ligament context only: Elbow collateral ligaments stabilize elbow; NOT a stretch target</x:v>
      </x:c>
      <x:c r="N43" s="24" t="str">
        <x:v>Pronator quadratus; Pronator teres humeral head; Pronator teres ulnar head; Flexor carpi radialis; Flexor carpi ulnaris humeral head; Flexor carpi ulnaris ulnar head; Palmaris longus</x:v>
      </x:c>
      <x:c r="O43" s="24" t="str">
        <x:v>With elbow at 90°, rotate palm down against a light band.</x:v>
      </x:c>
      <x:c r="P43" s="24" t="str">
        <x:v>Light band</x:v>
      </x:c>
      <x:c r="Q43" s="24" t="str">
        <x:v>2–3 × 8–12 controlled reps</x:v>
      </x:c>
      <x:c r="R43" s="24" t="str">
        <x:v>Progress gradually; stop with sharp pain, dizziness, or numbness.</x:v>
      </x:c>
      <x:c r="S43" s="24" t="str">
        <x:v>https://www.acsm.org/education-resources/trending-topics-resources/physical-activity-guidelines</x:v>
      </x:c>
      <x:c r="T43" s="24" t="str">
        <x:v>Anatomy-based mapping</x:v>
      </x:c>
    </x:row>
    <x:row r="44" ht="54" customHeight="1">
      <x:c r="A44" s="24" t="str">
        <x:v>EX0059</x:v>
      </x:c>
      <x:c r="B44" s="24" t="str">
        <x:v>Forearm rotation: resisted supination</x:v>
      </x:c>
      <x:c r="C44" s="24" t="str">
        <x:v>Arm</x:v>
      </x:c>
      <x:c r="D44" s="24" t="str">
        <x:v>Home</x:v>
      </x:c>
      <x:c r="E44" s="24" t="str">
        <x:v>Band strength</x:v>
      </x:c>
      <x:c r="F44" s="24" t="str">
        <x:v>Supinator deep layer; Supinator superficial layer; Biceps brachii long head; Biceps brachii short head</x:v>
      </x:c>
      <x:c r="G44" s="24" t="str">
        <x:v>Brachioradialis</x:v>
      </x:c>
      <x:c r="H44" s="24" t="str">
        <x:v>Extensor carpi ulnaris; Extensor carpi radialis brevis; Extensor carpi radialis longus</x:v>
      </x:c>
      <x:c r="I44" s="24" t="str">
        <x:v>—</x:v>
      </x:c>
      <x:c r="J44" s="24" t="str">
        <x:v>Supinator deep layer; Supinator superficial layer; Biceps brachii long head; Biceps brachii short head; Brachioradialis; Extensor carpi ulnaris; Extensor carpi radialis brevis; Extensor carpi radialis longus</x:v>
      </x:c>
      <x:c r="K44" s="24" t="str">
        <x:v>Atlas-listed tendon/aponeurosis examples: Broad muscular insertion; Aponeurotic attachment; Long-head proximal tendon; distal biceps tendon; bicipital aponeurosis; Conjoined proximal tendon; common distal biceps tendon; additional listed attachments</x:v>
      </x:c>
      <x:c r="L44" s="24" t="str">
        <x:v>Elbow collateral ligaments stabilize elbow; NOT a stretch target</x:v>
      </x:c>
      <x:c r="M44" s="24" t="str">
        <x:v>Muscles: Supinator deep layer; Supinator superficial layer; Biceps brachii long head; Biceps brachii short head; Brachioradialis; Extensor carpi ulnaris; Extensor carpi radialis brevis; Extensor carpi radialis longus | Tendons/fascia: Atlas-listed tendon/aponeurosis examples: Broad muscular insertion; Aponeurotic attachment; Long-head proximal tendon; distal biceps tendon; bicipital aponeurosis; Conjoined proximal tendon; common distal biceps tendon; additional listed attachments | Ligament context only: Elbow collateral ligaments stabilize elbow; NOT a stretch target</x:v>
      </x:c>
      <x:c r="N44" s="24" t="str">
        <x:v>Supinator deep layer; Supinator superficial layer; Biceps brachii long head; Biceps brachii short head; Brachioradialis</x:v>
      </x:c>
      <x:c r="O44" s="24" t="str">
        <x:v>With elbow supported, rotate palm upward against a light band.</x:v>
      </x:c>
      <x:c r="P44" s="24" t="str">
        <x:v>Light band</x:v>
      </x:c>
      <x:c r="Q44" s="24" t="str">
        <x:v>2–3 × 8–12 controlled reps</x:v>
      </x:c>
      <x:c r="R44" s="24" t="str">
        <x:v>Progress gradually; stop with sharp pain, dizziness, or numbness.</x:v>
      </x:c>
      <x:c r="S44" s="24" t="str">
        <x:v>https://www.acsm.org/education-resources/trending-topics-resources/physical-activity-guidelines</x:v>
      </x:c>
      <x:c r="T44" s="24" t="str">
        <x:v>Anatomy-based mapping</x:v>
      </x:c>
    </x:row>
    <x:row r="45" ht="54" customHeight="1">
      <x:c r="A45" s="24" t="str">
        <x:v>EX0060</x:v>
      </x:c>
      <x:c r="B45" s="24" t="str">
        <x:v>Forearm pronation with light hammer</x:v>
      </x:c>
      <x:c r="C45" s="24" t="str">
        <x:v>Arm</x:v>
      </x:c>
      <x:c r="D45" s="24" t="str">
        <x:v>Home</x:v>
      </x:c>
      <x:c r="E45" s="24" t="str">
        <x:v>Isolation strength</x:v>
      </x:c>
      <x:c r="F45" s="24" t="str">
        <x:v>Pronator quadratus; Pronator teres humeral head; Pronator teres ulnar head</x:v>
      </x:c>
      <x:c r="G45" s="24" t="str">
        <x:v>—</x:v>
      </x:c>
      <x:c r="H45" s="24" t="str">
        <x:v>Extensor carpi ulnaris; Extensor carpi radialis brevis; Extensor carpi radialis longus</x:v>
      </x:c>
      <x:c r="I45" s="24" t="str">
        <x:v>—</x:v>
      </x:c>
      <x:c r="J45" s="24" t="str">
        <x:v>Pronator quadratus; Pronator teres humeral head; Pronator teres ulnar head; Extensor carpi ulnaris; Extensor carpi radialis brevis; Extensor carpi radialis longus</x:v>
      </x:c>
      <x:c r="K45" s="24" t="str">
        <x:v>Atlas-listed tendon/aponeurosis examples: Broad muscular insertion (no distinct long tendon); Common flexor tendon; Short insertion tendon</x:v>
      </x:c>
      <x:c r="L45" s="24" t="str">
        <x:v>Elbow collateral ligaments stabilize elbow; NOT a stretch target</x:v>
      </x:c>
      <x:c r="M45" s="24" t="str">
        <x:v>Muscles: Pronator quadratus; Pronator teres humeral head; Pronator teres ulnar head; Extensor carpi ulnaris; Extensor carpi radialis brevis; Extensor carpi radialis longus | Tendons/fascia: Atlas-listed tendon/aponeurosis examples: Broad muscular insertion (no distinct long tendon); Common flexor tendon; Short insertion tendon | Ligament context only: Elbow collateral ligaments stabilize elbow; NOT a stretch target</x:v>
      </x:c>
      <x:c r="N45" s="24" t="str">
        <x:v>Pronator quadratus; Pronator teres humeral head; Pronator teres ulnar head</x:v>
      </x:c>
      <x:c r="O45" s="24" t="str">
        <x:v>Hold hammer vertical by handle, slowly rotate palm down without elbow shift.</x:v>
      </x:c>
      <x:c r="P45" s="24" t="str">
        <x:v>Light hammer</x:v>
      </x:c>
      <x:c r="Q45" s="24" t="str">
        <x:v>2–3 × 8–12 controlled reps</x:v>
      </x:c>
      <x:c r="R45" s="24" t="str">
        <x:v>Progress gradually; stop with sharp pain, dizziness, or numbness.</x:v>
      </x:c>
      <x:c r="S45" s="24" t="str">
        <x:v>https://www.acsm.org/education-resources/trending-topics-resources/physical-activity-guidelines</x:v>
      </x:c>
      <x:c r="T45" s="24" t="str">
        <x:v>Anatomy-based mapping</x:v>
      </x:c>
    </x:row>
    <x:row r="46" ht="54" customHeight="1">
      <x:c r="A46" s="24" t="str">
        <x:v>EX0061</x:v>
      </x:c>
      <x:c r="B46" s="24" t="str">
        <x:v>Forearm supination with light hammer</x:v>
      </x:c>
      <x:c r="C46" s="24" t="str">
        <x:v>Arm</x:v>
      </x:c>
      <x:c r="D46" s="24" t="str">
        <x:v>Home</x:v>
      </x:c>
      <x:c r="E46" s="24" t="str">
        <x:v>Isolation strength</x:v>
      </x:c>
      <x:c r="F46" s="24" t="str">
        <x:v>Supinator deep layer; Supinator superficial layer; Biceps brachii long head; Biceps brachii short head</x:v>
      </x:c>
      <x:c r="G46" s="24" t="str">
        <x:v>—</x:v>
      </x:c>
      <x:c r="H46" s="24" t="str">
        <x:v>Extensor carpi ulnaris; Extensor carpi radialis brevis; Extensor carpi radialis longus</x:v>
      </x:c>
      <x:c r="I46" s="24" t="str">
        <x:v>—</x:v>
      </x:c>
      <x:c r="J46" s="24" t="str">
        <x:v>Supinator deep layer; Supinator superficial layer; Biceps brachii long head; Biceps brachii short head; Extensor carpi ulnaris; Extensor carpi radialis brevis; Extensor carpi radialis longus</x:v>
      </x:c>
      <x:c r="K46" s="24" t="str">
        <x:v>Atlas-listed tendon/aponeurosis examples: Broad muscular insertion; Aponeurotic attachment; Long-head proximal tendon; distal biceps tendon; bicipital aponeurosis; Conjoined proximal tendon; common distal biceps tendon</x:v>
      </x:c>
      <x:c r="L46" s="24" t="str">
        <x:v>Elbow collateral ligaments stabilize elbow; NOT a stretch target</x:v>
      </x:c>
      <x:c r="M46" s="24" t="str">
        <x:v>Muscles: Supinator deep layer; Supinator superficial layer; Biceps brachii long head; Biceps brachii short head; Extensor carpi ulnaris; Extensor carpi radialis brevis; Extensor carpi radialis longus | Tendons/fascia: Atlas-listed tendon/aponeurosis examples: Broad muscular insertion; Aponeurotic attachment; Long-head proximal tendon; distal biceps tendon; bicipital aponeurosis; Conjoined proximal tendon; common distal biceps tendon | Ligament context only: Elbow collateral ligaments stabilize elbow; NOT a stretch target</x:v>
      </x:c>
      <x:c r="N46" s="24" t="str">
        <x:v>Supinator deep layer; Supinator superficial layer; Biceps brachii long head; Biceps brachii short head</x:v>
      </x:c>
      <x:c r="O46" s="24" t="str">
        <x:v>Hold hammer and slowly rotate palm up through a comfortable arc.</x:v>
      </x:c>
      <x:c r="P46" s="24" t="str">
        <x:v>Light hammer</x:v>
      </x:c>
      <x:c r="Q46" s="24" t="str">
        <x:v>2–3 × 8–12 controlled reps</x:v>
      </x:c>
      <x:c r="R46" s="24" t="str">
        <x:v>Progress gradually; stop with sharp pain, dizziness, or numbness.</x:v>
      </x:c>
      <x:c r="S46" s="24" t="str">
        <x:v>https://www.acsm.org/education-resources/trending-topics-resources/physical-activity-guidelines</x:v>
      </x:c>
      <x:c r="T46" s="24" t="str">
        <x:v>Anatomy-based mapping</x:v>
      </x:c>
    </x:row>
    <x:row r="47" ht="54" customHeight="1">
      <x:c r="A47" s="24" t="str">
        <x:v>EX0064</x:v>
      </x:c>
      <x:c r="B47" s="24" t="str">
        <x:v>Band wrist flexion</x:v>
      </x:c>
      <x:c r="C47" s="24" t="str">
        <x:v>Arm</x:v>
      </x:c>
      <x:c r="D47" s="24" t="str">
        <x:v>Home</x:v>
      </x:c>
      <x:c r="E47" s="24" t="str">
        <x:v>Band strength</x:v>
      </x:c>
      <x:c r="F47" s="24" t="str">
        <x:v>Flexor carpi radialis; Flexor carpi ulnaris humeral head; Flexor carpi ulnaris ulnar head; Palmaris longus</x:v>
      </x:c>
      <x:c r="G47" s="24" t="str">
        <x:v>Flexor digitorum superficialis humeroulnar head; Flexor digitorum superficialis radial head; Flexor digitorum profundus lateral portion (digits 2-3); Flexor digitorum profundus medial portion (digits 4-5)</x:v>
      </x:c>
      <x:c r="H47" s="24" t="str">
        <x:v>—</x:v>
      </x:c>
      <x:c r="I47" s="24" t="str">
        <x:v>—</x:v>
      </x:c>
      <x:c r="J47" s="24" t="str">
        <x:v>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</x:v>
      </x:c>
      <x:c r="K47" s="24" t="str">
        <x:v>Common flexor tendon</x:v>
      </x:c>
      <x:c r="L47" s="24" t="str">
        <x:v>Elbow collateral ligaments stabilize elbow; NOT a stretch target</x:v>
      </x:c>
      <x:c r="M47" s="24" t="str">
        <x:v>Muscles: 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 | Tendons/fascia: Common flexor tendon | Ligament context only: Elbow collateral ligaments stabilize elbow; NOT a stretch target</x:v>
      </x:c>
      <x:c r="N47" s="24" t="str">
        <x:v>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</x:v>
      </x:c>
      <x:c r="O47" s="24" t="str">
        <x:v>Forearm supported, palm up; flex wrist slowly against band.</x:v>
      </x:c>
      <x:c r="P47" s="24" t="str">
        <x:v>Light band</x:v>
      </x:c>
      <x:c r="Q47" s="24" t="str">
        <x:v>2–3 × 8–12 controlled reps</x:v>
      </x:c>
      <x:c r="R47" s="24" t="str">
        <x:v>Progress gradually; stop with sharp pain, dizziness, or numbness.</x:v>
      </x:c>
      <x:c r="S47" s="24" t="str">
        <x:v>https://www.acsm.org/education-resources/trending-topics-resources/physical-activity-guidelines</x:v>
      </x:c>
      <x:c r="T47" s="24" t="str">
        <x:v>Anatomy-based mapping</x:v>
      </x:c>
    </x:row>
    <x:row r="48" ht="54" customHeight="1">
      <x:c r="A48" s="24" t="str">
        <x:v>EX0065</x:v>
      </x:c>
      <x:c r="B48" s="24" t="str">
        <x:v>Band wrist extension</x:v>
      </x:c>
      <x:c r="C48" s="24" t="str">
        <x:v>Arm</x:v>
      </x:c>
      <x:c r="D48" s="24" t="str">
        <x:v>Home</x:v>
      </x:c>
      <x:c r="E48" s="24" t="str">
        <x:v>Band strength</x:v>
      </x:c>
      <x:c r="F48" s="24" t="str">
        <x:v>Extensor carpi ulnaris; Extensor carpi radialis brevis; Extensor carpi radialis longus</x:v>
      </x:c>
      <x:c r="G48" s="24" t="str">
        <x:v>Extensor digitorum; Extensor indicis; Extensor digiti minimi</x:v>
      </x:c>
      <x:c r="H48" s="24" t="str">
        <x:v>—</x:v>
      </x:c>
      <x:c r="I48" s="24" t="str">
        <x:v>—</x:v>
      </x:c>
      <x:c r="J48" s="24" t="str">
        <x:v>Extensor carpi ulnaris; Extensor carpi radialis brevis; Extensor carpi radialis longus; Extensor digitorum; Extensor indicis; Extensor digiti minimi</x:v>
      </x:c>
      <x:c r="K48" s="24" t="str">
        <x:v>Common extensor tendon</x:v>
      </x:c>
      <x:c r="L48" s="24" t="str">
        <x:v>Elbow collateral ligaments stabilize elbow; NOT a stretch target</x:v>
      </x:c>
      <x:c r="M48" s="24" t="str">
        <x:v>Muscles: Extensor carpi ulnaris; Extensor carpi radialis brevis; Extensor carpi radialis longus; Extensor digitorum; Extensor indicis; Extensor digiti minimi | Tendons/fascia: Common extensor tendon | Ligament context only: Elbow collateral ligaments stabilize elbow; NOT a stretch target</x:v>
      </x:c>
      <x:c r="N48" s="24" t="str">
        <x:v>Extensor carpi ulnaris; Extensor carpi radialis brevis; Extensor carpi radialis longus; Extensor digitorum; Extensor indicis; Extensor digiti minimi</x:v>
      </x:c>
      <x:c r="O48" s="24" t="str">
        <x:v>Forearm supported, palm down; extend wrist slowly against band.</x:v>
      </x:c>
      <x:c r="P48" s="24" t="str">
        <x:v>Light band</x:v>
      </x:c>
      <x:c r="Q48" s="24" t="str">
        <x:v>2–3 × 8–12 controlled reps</x:v>
      </x:c>
      <x:c r="R48" s="24" t="str">
        <x:v>Progress gradually; stop with sharp pain, dizziness, or numbness.</x:v>
      </x:c>
      <x:c r="S48" s="24" t="str">
        <x:v>https://www.acsm.org/education-resources/trending-topics-resources/physical-activity-guidelines</x:v>
      </x:c>
      <x:c r="T48" s="24" t="str">
        <x:v>Anatomy-based mapping</x:v>
      </x:c>
    </x:row>
    <x:row r="49" ht="54" customHeight="1">
      <x:c r="A49" s="24" t="str">
        <x:v>EX0066</x:v>
      </x:c>
      <x:c r="B49" s="24" t="str">
        <x:v>Resisted radial wrist deviation</x:v>
      </x:c>
      <x:c r="C49" s="24" t="str">
        <x:v>Arm</x:v>
      </x:c>
      <x:c r="D49" s="24" t="str">
        <x:v>Home</x:v>
      </x:c>
      <x:c r="E49" s="24" t="str">
        <x:v>Band strength</x:v>
      </x:c>
      <x:c r="F49" s="24" t="str">
        <x:v>Flexor carpi radialis; Extensor carpi radialis longus; Extensor carpi radialis brevis</x:v>
      </x:c>
      <x:c r="G49" s="24" t="str">
        <x:v>—</x:v>
      </x:c>
      <x:c r="H49" s="24" t="str">
        <x:v>—</x:v>
      </x:c>
      <x:c r="I49" s="24" t="str">
        <x:v>—</x:v>
      </x:c>
      <x:c r="J49" s="24" t="str">
        <x:v>Flexor carpi radialis; Extensor carpi radialis longus; Extensor carpi radialis brevis</x:v>
      </x:c>
      <x:c r="K49" s="24" t="str">
        <x:v>Atlas-listed tendon/aponeurosis examples: FCR tendon through own fibro-osseous tunnel; ECRL tendon, second dorsal extensor compartment; ECRB tendon, second dorsal compartment</x:v>
      </x:c>
      <x:c r="L49" s="24" t="str">
        <x:v>Elbow collateral ligaments stabilize elbow; NOT a stretch target</x:v>
      </x:c>
      <x:c r="M49" s="24" t="str">
        <x:v>Muscles: Flexor carpi radialis; Extensor carpi radialis longus; Extensor carpi radialis brevis | Tendons/fascia: Atlas-listed tendon/aponeurosis examples: FCR tendon through own fibro-osseous tunnel; ECRL tendon, second dorsal extensor compartment; ECRB tendon, second dorsal compartment | Ligament context only: Elbow collateral ligaments stabilize elbow; NOT a stretch target</x:v>
      </x:c>
      <x:c r="N49" s="24" t="str">
        <x:v>Flexor carpi radialis; Extensor carpi radialis longus; Extensor carpi radialis brevis</x:v>
      </x:c>
      <x:c r="O49" s="24" t="str">
        <x:v>With thumb facing up, move wrist toward thumb against light resistance.</x:v>
      </x:c>
      <x:c r="P49" s="24" t="str">
        <x:v>Light band</x:v>
      </x:c>
      <x:c r="Q49" s="24" t="str">
        <x:v>2–3 × 8–12 controlled reps</x:v>
      </x:c>
      <x:c r="R49" s="24" t="str">
        <x:v>Progress gradually; stop with sharp pain, dizziness, or numbness.</x:v>
      </x:c>
      <x:c r="S49" s="24" t="str">
        <x:v>https://www.acsm.org/education-resources/trending-topics-resources/physical-activity-guidelines</x:v>
      </x:c>
      <x:c r="T49" s="24" t="str">
        <x:v>Anatomy-based mapping</x:v>
      </x:c>
    </x:row>
    <x:row r="50" ht="54" customHeight="1">
      <x:c r="A50" s="24" t="str">
        <x:v>EX0067</x:v>
      </x:c>
      <x:c r="B50" s="24" t="str">
        <x:v>Resisted ulnar wrist deviation</x:v>
      </x:c>
      <x:c r="C50" s="24" t="str">
        <x:v>Arm</x:v>
      </x:c>
      <x:c r="D50" s="24" t="str">
        <x:v>Home</x:v>
      </x:c>
      <x:c r="E50" s="24" t="str">
        <x:v>Band strength</x:v>
      </x:c>
      <x:c r="F50" s="24" t="str">
        <x:v>Flexor carpi ulnaris humeral head; Flexor carpi ulnaris ulnar head; Extensor carpi ulnaris</x:v>
      </x:c>
      <x:c r="G50" s="24" t="str">
        <x:v>—</x:v>
      </x:c>
      <x:c r="H50" s="24" t="str">
        <x:v>—</x:v>
      </x:c>
      <x:c r="I50" s="24" t="str">
        <x:v>—</x:v>
      </x:c>
      <x:c r="J50" s="24" t="str">
        <x:v>Flexor carpi ulnaris humeral head; Flexor carpi ulnaris ulnar head; Extensor carpi ulnaris</x:v>
      </x:c>
      <x:c r="K50" s="24" t="str">
        <x:v>Atlas-listed tendon/aponeurosis examples: FCU tendon; pisohamate and pisometacarpal fibrous extensions; FCU tendon via pisiform; ECU tendon, sixth dorsal compartment</x:v>
      </x:c>
      <x:c r="L50" s="24" t="str">
        <x:v>Elbow collateral ligaments stabilize elbow; NOT a stretch target</x:v>
      </x:c>
      <x:c r="M50" s="24" t="str">
        <x:v>Muscles: Flexor carpi ulnaris humeral head; Flexor carpi ulnaris ulnar head; Extensor carpi ulnaris | Tendons/fascia: Atlas-listed tendon/aponeurosis examples: FCU tendon; pisohamate and pisometacarpal fibrous extensions; FCU tendon via pisiform; ECU tendon, sixth dorsal compartment | Ligament context only: Elbow collateral ligaments stabilize elbow; NOT a stretch target</x:v>
      </x:c>
      <x:c r="N50" s="24" t="str">
        <x:v>Flexor carpi ulnaris humeral head; Flexor carpi ulnaris ulnar head; Extensor carpi ulnaris</x:v>
      </x:c>
      <x:c r="O50" s="24" t="str">
        <x:v>With forearm supported, move hand toward little-finger side.</x:v>
      </x:c>
      <x:c r="P50" s="24" t="str">
        <x:v>Light band</x:v>
      </x:c>
      <x:c r="Q50" s="24" t="str">
        <x:v>2–3 × 8–12 controlled reps</x:v>
      </x:c>
      <x:c r="R50" s="24" t="str">
        <x:v>Progress gradually; stop with sharp pain, dizziness, or numbness.</x:v>
      </x:c>
      <x:c r="S50" s="24" t="str">
        <x:v>https://www.acsm.org/education-resources/trending-topics-resources/physical-activity-guidelines</x:v>
      </x:c>
      <x:c r="T50" s="24" t="str">
        <x:v>Anatomy-based mapping</x:v>
      </x:c>
    </x:row>
    <x:row r="51" ht="54" customHeight="1">
      <x:c r="A51" s="24" t="str">
        <x:v>EX0068</x:v>
      </x:c>
      <x:c r="B51" s="24" t="str">
        <x:v>Wrist flexor wall stretch</x:v>
      </x:c>
      <x:c r="C51" s="24" t="str">
        <x:v>Arm</x:v>
      </x:c>
      <x:c r="D51" s="24" t="str">
        <x:v>Home</x:v>
      </x:c>
      <x:c r="E51" s="24" t="str">
        <x:v>Passive stretch</x:v>
      </x:c>
      <x:c r="F51" s="24" t="str">
        <x:v>—</x:v>
      </x:c>
      <x:c r="G51" s="24" t="str">
        <x:v>—</x:v>
      </x:c>
      <x:c r="H51" s="24" t="str">
        <x:v>—</x:v>
      </x:c>
      <x:c r="I51" s="24" t="str">
        <x:v>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</x:v>
      </x:c>
      <x:c r="J51" s="24" t="str">
        <x:v>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</x:v>
      </x:c>
      <x:c r="K51" s="24" t="str">
        <x:v>Common flexor tendon; finger flexor tendons</x:v>
      </x:c>
      <x:c r="L51" s="24" t="str">
        <x:v>Elbow collateral ligaments stabilize elbow; NOT a stretch target</x:v>
      </x:c>
      <x:c r="M51" s="24" t="str">
        <x:v>Muscles: 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 | Tendons/fascia: Common flexor tendon; finger flexor tendons | Ligament context only: Elbow collateral ligaments stabilize elbow; NOT a stretch target</x:v>
      </x:c>
      <x:c r="N51" s="24" t="str">
        <x:v>Usually none expected (stretch, mobility or relaxation; any active movers are low-load)</x:v>
      </x:c>
      <x:c r="O51" s="24" t="str">
        <x:v>Straight elbow, palm up, gently extend wrist/fingers with other hand.</x:v>
      </x:c>
      <x:c r="P51" s="24" t="str">
        <x:v>None</x:v>
      </x:c>
      <x:c r="Q51" s="24" t="str">
        <x:v>2–3 × 8–12 controlled reps</x:v>
      </x:c>
      <x:c r="R51" s="24" t="str">
        <x:v>Progress gradually; stop with sharp pain, dizziness, or numbness.</x:v>
      </x:c>
      <x:c r="S51" s="24" t="str">
        <x:v>https://www.acsm.org/education-resources/trending-topics-resources/physical-activity-guidelines</x:v>
      </x:c>
      <x:c r="T51" s="24" t="str">
        <x:v>Anatomy-based mapping</x:v>
      </x:c>
    </x:row>
    <x:row r="52" ht="54" customHeight="1">
      <x:c r="A52" s="24" t="str">
        <x:v>EX0069</x:v>
      </x:c>
      <x:c r="B52" s="24" t="str">
        <x:v>Wrist extensor stretch</x:v>
      </x:c>
      <x:c r="C52" s="24" t="str">
        <x:v>Arm</x:v>
      </x:c>
      <x:c r="D52" s="24" t="str">
        <x:v>Home</x:v>
      </x:c>
      <x:c r="E52" s="24" t="str">
        <x:v>Passive stretch</x:v>
      </x:c>
      <x:c r="F52" s="24" t="str">
        <x:v>—</x:v>
      </x:c>
      <x:c r="G52" s="24" t="str">
        <x:v>—</x:v>
      </x:c>
      <x:c r="H52" s="24" t="str">
        <x:v>—</x:v>
      </x:c>
      <x:c r="I52" s="24" t="str">
        <x:v>Extensor carpi ulnaris; Extensor carpi radialis brevis; Extensor carpi radialis longus; Extensor digitorum; Extensor indicis; Extensor digiti minimi</x:v>
      </x:c>
      <x:c r="J52" s="24" t="str">
        <x:v>Extensor carpi ulnaris; Extensor carpi radialis brevis; Extensor carpi radialis longus; Extensor digitorum; Extensor indicis; Extensor digiti minimi</x:v>
      </x:c>
      <x:c r="K52" s="24" t="str">
        <x:v>Common extensor tendon; finger extensor tendons</x:v>
      </x:c>
      <x:c r="L52" s="24" t="str">
        <x:v>Elbow collateral ligaments stabilize elbow; NOT a stretch target</x:v>
      </x:c>
      <x:c r="M52" s="24" t="str">
        <x:v>Muscles: Extensor carpi ulnaris; Extensor carpi radialis brevis; Extensor carpi radialis longus; Extensor digitorum; Extensor indicis; Extensor digiti minimi | Tendons/fascia: Common extensor tendon; finger extensor tendons | Ligament context only: Elbow collateral ligaments stabilize elbow; NOT a stretch target</x:v>
      </x:c>
      <x:c r="N52" s="24" t="str">
        <x:v>Usually none expected (stretch, mobility or relaxation; any active movers are low-load)</x:v>
      </x:c>
      <x:c r="O52" s="24" t="str">
        <x:v>Straight elbow, palm down; gently flex wrist and fingers.</x:v>
      </x:c>
      <x:c r="P52" s="24" t="str">
        <x:v>None</x:v>
      </x:c>
      <x:c r="Q52" s="24" t="str">
        <x:v>2–3 × 8–12 controlled reps</x:v>
      </x:c>
      <x:c r="R52" s="24" t="str">
        <x:v>Progress gradually; stop with sharp pain, dizziness, or numbness.</x:v>
      </x:c>
      <x:c r="S52" s="24" t="str">
        <x:v>https://www.acsm.org/education-resources/trending-topics-resources/physical-activity-guidelines</x:v>
      </x:c>
      <x:c r="T52" s="24" t="str">
        <x:v>Anatomy-based mapping</x:v>
      </x:c>
    </x:row>
    <x:row r="53" ht="54" customHeight="1">
      <x:c r="A53" s="24" t="str">
        <x:v>EX0070</x:v>
      </x:c>
      <x:c r="B53" s="24" t="str">
        <x:v>Prayer wrist extension stretch</x:v>
      </x:c>
      <x:c r="C53" s="24" t="str">
        <x:v>Arm</x:v>
      </x:c>
      <x:c r="D53" s="24" t="str">
        <x:v>Home</x:v>
      </x:c>
      <x:c r="E53" s="24" t="str">
        <x:v>Passive stretch</x:v>
      </x:c>
      <x:c r="F53" s="24" t="str">
        <x:v>—</x:v>
      </x:c>
      <x:c r="G53" s="24" t="str">
        <x:v>—</x:v>
      </x:c>
      <x:c r="H53" s="24" t="str">
        <x:v>—</x:v>
      </x:c>
      <x:c r="I53" s="24" t="str">
        <x:v>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</x:v>
      </x:c>
      <x:c r="J53" s="24" t="str">
        <x:v>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</x:v>
      </x:c>
      <x:c r="K53" s="24" t="str">
        <x:v>Atlas-listed tendon/aponeurosis examples: FCR tendon through own fibro-osseous tunnel; FCU tendon; pisohamate and pisometacarpal fibrous extensions; FCU tendon via pisiform; Long palmaris longus tendon; palmar aponeurosis; additional listed attachments</x:v>
      </x:c>
      <x:c r="L53" s="24" t="str">
        <x:v>Elbow collateral ligaments stabilize elbow; NOT a stretch target</x:v>
      </x:c>
      <x:c r="M53" s="24" t="str">
        <x:v>Muscles: 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 | Tendons/fascia: Atlas-listed tendon/aponeurosis examples: FCR tendon through own fibro-osseous tunnel; FCU tendon; pisohamate and pisometacarpal fibrous extensions; FCU tendon via pisiform; Long palmaris longus tendon; palmar aponeurosis; additional listed attachments | Ligament context only: Elbow collateral ligaments stabilize elbow; NOT a stretch target</x:v>
      </x:c>
      <x:c r="N53" s="24" t="str">
        <x:v>Usually none expected (stretch, mobility or relaxation; any active movers are low-load)</x:v>
      </x:c>
      <x:c r="O53" s="24" t="str">
        <x:v>Palms together at chest, lower joined hands without separating palms.</x:v>
      </x:c>
      <x:c r="P53" s="24" t="str">
        <x:v>None</x:v>
      </x:c>
      <x:c r="Q53" s="24" t="str">
        <x:v>2–3 × 8–12 controlled reps</x:v>
      </x:c>
      <x:c r="R53" s="24" t="str">
        <x:v>Progress gradually; stop with sharp pain, dizziness, or numbness.</x:v>
      </x:c>
      <x:c r="S53" s="24" t="str">
        <x:v>https://www.acsm.org/education-resources/trending-topics-resources/physical-activity-guidelines</x:v>
      </x:c>
      <x:c r="T53" s="24" t="str">
        <x:v>Anatomy-based mapping</x:v>
      </x:c>
    </x:row>
    <x:row r="54" ht="54" customHeight="1">
      <x:c r="A54" s="24" t="str">
        <x:v>EX0071</x:v>
      </x:c>
      <x:c r="B54" s="24" t="str">
        <x:v>Reverse prayer flexor stretch (comfortable)</x:v>
      </x:c>
      <x:c r="C54" s="24" t="str">
        <x:v>Arm</x:v>
      </x:c>
      <x:c r="D54" s="24" t="str">
        <x:v>Home</x:v>
      </x:c>
      <x:c r="E54" s="24" t="str">
        <x:v>Active stretch</x:v>
      </x:c>
      <x:c r="F54" s="24" t="str">
        <x:v>Extensor carpi ulnaris; Extensor carpi radialis brevis; Extensor carpi radialis longus</x:v>
      </x:c>
      <x:c r="G54" s="24" t="str">
        <x:v>—</x:v>
      </x:c>
      <x:c r="H54" s="24" t="str">
        <x:v>—</x:v>
      </x:c>
      <x:c r="I54" s="24" t="str">
        <x:v>Flexor carpi radialis; Flexor carpi ulnaris humeral head; Flexor carpi ulnaris ulnar head; Palmaris longus</x:v>
      </x:c>
      <x:c r="J54" s="24" t="str">
        <x:v>Extensor carpi ulnaris; Extensor carpi radialis brevis; Extensor carpi radialis longus; Flexor carpi radialis; Flexor carpi ulnaris humeral head; Flexor carpi ulnaris ulnar head; Palmaris longus</x:v>
      </x:c>
      <x:c r="K54" s="24" t="str">
        <x:v>Atlas-listed tendon/aponeurosis examples: ECU tendon, sixth dorsal compartment; ECRB tendon, second dorsal compartment; ECRL tendon, second dorsal extensor compartment; FCR tendon through own fibro-osseous tunnel; additional listed attachments</x:v>
      </x:c>
      <x:c r="L54" s="24" t="str">
        <x:v>Elbow collateral ligaments stabilize elbow; NOT a stretch target</x:v>
      </x:c>
      <x:c r="M54" s="24" t="str">
        <x:v>Muscles: Extensor carpi ulnaris; Extensor carpi radialis brevis; Extensor carpi radialis longus; Flexor carpi radialis; Flexor carpi ulnaris humeral head; Flexor carpi ulnaris ulnar head; Palmaris longus | Tendons/fascia: Atlas-listed tendon/aponeurosis examples: ECU tendon, sixth dorsal compartment; ECRB tendon, second dorsal compartment; ECRL tendon, second dorsal extensor compartment; FCR tendon through own fibro-osseous tunnel; additional listed attachments | Ligament context only: Elbow collateral ligaments stabilize elbow; NOT a stretch target</x:v>
      </x:c>
      <x:c r="N54" s="24" t="str">
        <x:v>Usually none expected (stretch, mobility or relaxation; any active movers are low-load)</x:v>
      </x:c>
      <x:c r="O54" s="24" t="str">
        <x:v>Move hand toward comfortable wrist extension without pushing into sharp pressure.</x:v>
      </x:c>
      <x:c r="P54" s="24" t="str">
        <x:v>None</x:v>
      </x:c>
      <x:c r="Q54" s="24" t="str">
        <x:v>2–3 × 8–12 controlled reps</x:v>
      </x:c>
      <x:c r="R54" s="24" t="str">
        <x:v>Progress gradually; stop with sharp pain, dizziness, or numbness.</x:v>
      </x:c>
      <x:c r="S54" s="24" t="str">
        <x:v>https://www.acsm.org/education-resources/trending-topics-resources/physical-activity-guidelines</x:v>
      </x:c>
      <x:c r="T54" s="24" t="str">
        <x:v>Anatomy-based mapping</x:v>
      </x:c>
    </x:row>
    <x:row r="55" ht="54" customHeight="1">
      <x:c r="A55" s="24" t="str">
        <x:v>EX0072</x:v>
      </x:c>
      <x:c r="B55" s="24" t="str">
        <x:v>Biceps eccentric curl lowering</x:v>
      </x:c>
      <x:c r="C55" s="24" t="str">
        <x:v>Arm</x:v>
      </x:c>
      <x:c r="D55" s="24" t="str">
        <x:v>Home</x:v>
      </x:c>
      <x:c r="E55" s="24" t="str">
        <x:v>Eccentric strength</x:v>
      </x:c>
      <x:c r="F55" s="24" t="str">
        <x:v>Biceps brachii long head; Biceps brachii short head; Brachialis</x:v>
      </x:c>
      <x:c r="G55" s="24" t="str">
        <x:v>Brachioradialis</x:v>
      </x:c>
      <x:c r="H55" s="24" t="str">
        <x:v>Flexor carpi radialis; Flexor carpi ulnaris humeral head; Flexor carpi ulnaris ulnar head; Palmaris longus</x:v>
      </x:c>
      <x:c r="I55" s="24" t="str">
        <x:v>—</x:v>
      </x:c>
      <x:c r="J55" s="24" t="str">
        <x:v>Biceps brachii long head; Biceps brachii short head; Brachialis; Brachioradialis; Flexor carpi radialis; Flexor carpi ulnaris humeral head; Flexor carpi ulnaris ulnar head; Palmaris longus</x:v>
      </x:c>
      <x:c r="K55" s="24" t="str">
        <x:v>Biceps distal tendon</x:v>
      </x:c>
      <x:c r="L55" s="24" t="str">
        <x:v>Elbow collateral ligaments stabilize elbow; NOT a stretch target</x:v>
      </x:c>
      <x:c r="M55" s="24" t="str">
        <x:v>Muscles: Biceps brachii long head; Biceps brachii short head; Brachialis; Brachioradialis; Flexor carpi radialis; Flexor carpi ulnaris humeral head; Flexor carpi ulnaris ulnar head; Palmaris longus | Tendons/fascia: Biceps distal tendon | Ligament context only: Elbow collateral ligaments stabilize elbow; NOT a stretch target</x:v>
      </x:c>
      <x:c r="N55" s="24" t="str">
        <x:v>Biceps brachii long head; Biceps brachii short head; Brachialis; Brachioradialis</x:v>
      </x:c>
      <x:c r="O55" s="24" t="str">
        <x:v>Use both hands to raise moderate weight; lower with one hand slowly.</x:v>
      </x:c>
      <x:c r="P55" s="24" t="str">
        <x:v>Water bottle or dumbbell</x:v>
      </x:c>
      <x:c r="Q55" s="24" t="str">
        <x:v>2–3 × 8–12 controlled reps</x:v>
      </x:c>
      <x:c r="R55" s="24" t="str">
        <x:v>Progress gradually; stop with sharp pain, dizziness, or numbness.</x:v>
      </x:c>
      <x:c r="S55" s="24" t="str">
        <x:v>https://www.acsm.org/education-resources/trending-topics-resources/physical-activity-guidelines</x:v>
      </x:c>
      <x:c r="T55" s="24" t="str">
        <x:v>Anatomy-based mapping</x:v>
      </x:c>
    </x:row>
    <x:row r="56" ht="54" customHeight="1">
      <x:c r="A56" s="24" t="str">
        <x:v>EX0073</x:v>
      </x:c>
      <x:c r="B56" s="24" t="str">
        <x:v>Wrist extensor eccentric lowering</x:v>
      </x:c>
      <x:c r="C56" s="24" t="str">
        <x:v>Arm</x:v>
      </x:c>
      <x:c r="D56" s="24" t="str">
        <x:v>Home</x:v>
      </x:c>
      <x:c r="E56" s="24" t="str">
        <x:v>Eccentric strength</x:v>
      </x:c>
      <x:c r="F56" s="24" t="str">
        <x:v>Extensor carpi ulnaris; Extensor carpi radialis brevis; Extensor carpi radialis longus</x:v>
      </x:c>
      <x:c r="G56" s="24" t="str">
        <x:v>—</x:v>
      </x:c>
      <x:c r="H56" s="24" t="str">
        <x:v>—</x:v>
      </x:c>
      <x:c r="I56" s="24" t="str">
        <x:v>—</x:v>
      </x:c>
      <x:c r="J56" s="24" t="str">
        <x:v>Extensor carpi ulnaris; Extensor carpi radialis brevis; Extensor carpi radialis longus</x:v>
      </x:c>
      <x:c r="K56" s="24" t="str">
        <x:v>Common extensor tendon</x:v>
      </x:c>
      <x:c r="L56" s="24" t="str">
        <x:v>Elbow collateral ligaments stabilize elbow; NOT a stretch target</x:v>
      </x:c>
      <x:c r="M56" s="24" t="str">
        <x:v>Muscles: Extensor carpi ulnaris; Extensor carpi radialis brevis; Extensor carpi radialis longus | Tendons/fascia: Common extensor tendon | Ligament context only: Elbow collateral ligaments stabilize elbow; NOT a stretch target</x:v>
      </x:c>
      <x:c r="N56" s="24" t="str">
        <x:v>Extensor carpi ulnaris; Extensor carpi radialis brevis; Extensor carpi radialis longus</x:v>
      </x:c>
      <x:c r="O56" s="24" t="str">
        <x:v>Support forearm palm down; assist lift wrist, then lower under control.</x:v>
      </x:c>
      <x:c r="P56" s="24" t="str">
        <x:v>Water bottle</x:v>
      </x:c>
      <x:c r="Q56" s="24" t="str">
        <x:v>2–3 × 8–12 controlled reps</x:v>
      </x:c>
      <x:c r="R56" s="24" t="str">
        <x:v>Progress gradually; stop with sharp pain, dizziness, or numbness.</x:v>
      </x:c>
      <x:c r="S56" s="24" t="str">
        <x:v>https://www.acsm.org/education-resources/trending-topics-resources/physical-activity-guidelines</x:v>
      </x:c>
      <x:c r="T56" s="24" t="str">
        <x:v>Anatomy-based mapping</x:v>
      </x:c>
    </x:row>
    <x:row r="57" ht="54" customHeight="1">
      <x:c r="A57" s="24" t="str">
        <x:v>EX0074</x:v>
      </x:c>
      <x:c r="B57" s="24" t="str">
        <x:v>Wrist flexor eccentric lowering</x:v>
      </x:c>
      <x:c r="C57" s="24" t="str">
        <x:v>Arm</x:v>
      </x:c>
      <x:c r="D57" s="24" t="str">
        <x:v>Home</x:v>
      </x:c>
      <x:c r="E57" s="24" t="str">
        <x:v>Eccentric strength</x:v>
      </x:c>
      <x:c r="F57" s="24" t="str">
        <x:v>Flexor carpi radialis; Flexor carpi ulnaris humeral head; Flexor carpi ulnaris ulnar head; Palmaris longus</x:v>
      </x:c>
      <x:c r="G57" s="24" t="str">
        <x:v>—</x:v>
      </x:c>
      <x:c r="H57" s="24" t="str">
        <x:v>—</x:v>
      </x:c>
      <x:c r="I57" s="24" t="str">
        <x:v>—</x:v>
      </x:c>
      <x:c r="J57" s="24" t="str">
        <x:v>Flexor carpi radialis; Flexor carpi ulnaris humeral head; Flexor carpi ulnaris ulnar head; Palmaris longus</x:v>
      </x:c>
      <x:c r="K57" s="24" t="str">
        <x:v>Common flexor tendon</x:v>
      </x:c>
      <x:c r="L57" s="24" t="str">
        <x:v>Elbow collateral ligaments stabilize elbow; NOT a stretch target</x:v>
      </x:c>
      <x:c r="M57" s="24" t="str">
        <x:v>Muscles: Flexor carpi radialis; Flexor carpi ulnaris humeral head; Flexor carpi ulnaris ulnar head; Palmaris longus | Tendons/fascia: Common flexor tendon | Ligament context only: Elbow collateral ligaments stabilize elbow; NOT a stretch target</x:v>
      </x:c>
      <x:c r="N57" s="24" t="str">
        <x:v>Flexor carpi radialis; Flexor carpi ulnaris humeral head; Flexor carpi ulnaris ulnar head; Palmaris longus</x:v>
      </x:c>
      <x:c r="O57" s="24" t="str">
        <x:v>Support forearm palm up; assist lift, slowly lower against load.</x:v>
      </x:c>
      <x:c r="P57" s="24" t="str">
        <x:v>Water bottle</x:v>
      </x:c>
      <x:c r="Q57" s="24" t="str">
        <x:v>2–3 × 8–12 controlled reps</x:v>
      </x:c>
      <x:c r="R57" s="24" t="str">
        <x:v>Progress gradually; stop with sharp pain, dizziness, or numbness.</x:v>
      </x:c>
      <x:c r="S57" s="24" t="str">
        <x:v>https://www.acsm.org/education-resources/trending-topics-resources/physical-activity-guidelines</x:v>
      </x:c>
      <x:c r="T57" s="24" t="str">
        <x:v>Anatomy-based mapping</x:v>
      </x:c>
    </x:row>
    <x:row r="58" ht="54" customHeight="1">
      <x:c r="A58" s="24" t="str">
        <x:v>EX0075</x:v>
      </x:c>
      <x:c r="B58" s="24" t="str">
        <x:v>Towel squeeze</x:v>
      </x:c>
      <x:c r="C58" s="24" t="str">
        <x:v>Hand &amp; Fingers</x:v>
      </x:c>
      <x:c r="D58" s="24" t="str">
        <x:v>Home</x:v>
      </x:c>
      <x:c r="E58" s="24" t="str">
        <x:v>Isolation strength</x:v>
      </x:c>
      <x:c r="F58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G58" s="24" t="str">
        <x:v>—</x:v>
      </x:c>
      <x:c r="H58" s="24" t="str">
        <x:v>Flexor carpi radialis; Flexor carpi ulnaris humeral head; Flexor carpi ulnaris ulnar head; Palmaris longus; Extensor carpi ulnaris; Extensor carpi radialis brevis; Extensor carpi radialis longus</x:v>
      </x:c>
      <x:c r="I58" s="24" t="str">
        <x:v>—</x:v>
      </x:c>
      <x:c r="J58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carpi radialis; Flexor carpi ulnaris humeral head; Flexor carpi ulnaris ulnar head; Palmaris longus; Extensor carpi ulnaris; Extensor carpi radialis brevis; Extensor carpi radialis longus</x:v>
      </x:c>
      <x:c r="K58" s="24" t="str">
        <x:v>Flexor digitorum profundus/superficialis tendons; thenar aponeurosis</x:v>
      </x:c>
      <x:c r="L58" s="24" t="str">
        <x:v>Digital collateral ligaments, volar plates and flexor tendon pulleys protect joints/tendons; NOT stretch targets</x:v>
      </x:c>
      <x:c r="M58" s="24" t="str">
        <x:v>Muscles: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carpi radialis; Flexor carpi ulnaris humeral head; Flexor carpi ulnaris ulnar head; Palmaris longus; Extensor carpi ulnaris; Extensor carpi radialis brevis; Extensor carpi radialis longus | Tendons/fascia: Flexor digitorum profundus/superficialis tendons; thenar aponeurosis | Ligament context only: Digital collateral ligaments, volar plates and flexor tendon pulleys protect joints/tendons; NOT stretch targets</x:v>
      </x:c>
      <x:c r="N58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O58" s="24" t="str">
        <x:v>Squeeze rolled towel firmly but comfortably, then relax.</x:v>
      </x:c>
      <x:c r="P58" s="24" t="str">
        <x:v>Towel</x:v>
      </x:c>
      <x:c r="Q58" s="24" t="str">
        <x:v>2–3 × 8–12 controlled reps</x:v>
      </x:c>
      <x:c r="R58" s="24" t="str">
        <x:v>Progress gradually; stop with sharp pain, dizziness, or numbness.</x:v>
      </x:c>
      <x:c r="S58" s="24" t="str">
        <x:v>https://www.acsm.org/education-resources/trending-topics-resources/physical-activity-guidelines</x:v>
      </x:c>
      <x:c r="T58" s="24" t="str">
        <x:v>Anatomy-based mapping</x:v>
      </x:c>
    </x:row>
    <x:row r="59" ht="54" customHeight="1">
      <x:c r="A59" s="24" t="str">
        <x:v>EX0076</x:v>
      </x:c>
      <x:c r="B59" s="24" t="str">
        <x:v>Soft therapy-putty grip</x:v>
      </x:c>
      <x:c r="C59" s="24" t="str">
        <x:v>Hand &amp; Fingers</x:v>
      </x:c>
      <x:c r="D59" s="24" t="str">
        <x:v>Home</x:v>
      </x:c>
      <x:c r="E59" s="24" t="str">
        <x:v>Isolation strength</x:v>
      </x:c>
      <x:c r="F59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G59" s="24" t="str">
        <x:v>—</x:v>
      </x:c>
      <x:c r="H59" s="24" t="str">
        <x:v>Extensor carpi ulnaris; Extensor carpi radialis brevis; Extensor carpi radialis longus</x:v>
      </x:c>
      <x:c r="I59" s="24" t="str">
        <x:v>—</x:v>
      </x:c>
      <x:c r="J59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carpi ulnaris; Extensor carpi radialis brevis; Extensor carpi radialis longus</x:v>
      </x:c>
      <x:c r="K59" s="24" t="str">
        <x:v>Flexor finger tendons</x:v>
      </x:c>
      <x:c r="L59" s="24" t="str">
        <x:v>Digital collateral ligaments, volar plates and flexor tendon pulleys protect joints/tendons; NOT stretch targets</x:v>
      </x:c>
      <x:c r="M59" s="24" t="str">
        <x:v>Muscles: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carpi ulnaris; Extensor carpi radialis brevis; Extensor carpi radialis longus | Tendons/fascia: Flexor finger tendons | Ligament context only: Digital collateral ligaments, volar plates and flexor tendon pulleys protect joints/tendons; NOT stretch targets</x:v>
      </x:c>
      <x:c r="N59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O59" s="24" t="str">
        <x:v>Squeeze soft putty and release fingers fully.</x:v>
      </x:c>
      <x:c r="P59" s="24" t="str">
        <x:v>Putty</x:v>
      </x:c>
      <x:c r="Q59" s="24" t="str">
        <x:v>2–3 × 8–12 controlled reps</x:v>
      </x:c>
      <x:c r="R59" s="24" t="str">
        <x:v>Progress gradually; stop with sharp pain, dizziness, or numbness.</x:v>
      </x:c>
      <x:c r="S59" s="24" t="str">
        <x:v>https://www.acsm.org/education-resources/trending-topics-resources/physical-activity-guidelines</x:v>
      </x:c>
      <x:c r="T59" s="24" t="str">
        <x:v>Anatomy-based mapping</x:v>
      </x:c>
    </x:row>
    <x:row r="60" ht="54" customHeight="1">
      <x:c r="A60" s="24" t="str">
        <x:v>EX0077</x:v>
      </x:c>
      <x:c r="B60" s="24" t="str">
        <x:v>Rubber-band finger opening</x:v>
      </x:c>
      <x:c r="C60" s="24" t="str">
        <x:v>Hand &amp; Fingers</x:v>
      </x:c>
      <x:c r="D60" s="24" t="str">
        <x:v>Home</x:v>
      </x:c>
      <x:c r="E60" s="24" t="str">
        <x:v>Band strength</x:v>
      </x:c>
      <x:c r="F60" s="24" t="str">
        <x:v>Extensor digitorum; Extensor indicis; Extensor digiti minimi;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G60" s="24" t="str">
        <x:v>—</x:v>
      </x:c>
      <x:c r="H60" s="24" t="str">
        <x:v>Extensor carpi ulnaris; Extensor carpi radialis brevis; Extensor carpi radialis longus</x:v>
      </x:c>
      <x:c r="I60" s="24" t="str">
        <x:v>—</x:v>
      </x:c>
      <x:c r="J60" s="24" t="str">
        <x:v>Extensor digitorum; Extensor indicis; Extensor digiti minimi;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carpi ulnaris; Extensor carpi radialis brevis; Extensor carpi radialis longus</x:v>
      </x:c>
      <x:c r="K60" s="24" t="str">
        <x:v>Extensor digitorum and extensor expansion</x:v>
      </x:c>
      <x:c r="L60" s="24" t="str">
        <x:v>Digital collateral ligaments, volar plates and flexor tendon pulleys protect joints/tendons; NOT stretch targets</x:v>
      </x:c>
      <x:c r="M60" s="24" t="str">
        <x:v>Muscles: Extensor digitorum; Extensor indicis; Extensor digiti minimi;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carpi ulnaris; Extensor carpi radialis brevis; Extensor carpi radialis longus | Tendons/fascia: Extensor digitorum and extensor expansion | Ligament context only: Digital collateral ligaments, volar plates and flexor tendon pulleys protect joints/tendons; NOT stretch targets</x:v>
      </x:c>
      <x:c r="N60" s="24" t="str">
        <x:v>Extensor digitorum; Extensor indicis; Extensor digiti minimi;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O60" s="24" t="str">
        <x:v>Loop elastic around fingers and spread/extend fingers slowly.</x:v>
      </x:c>
      <x:c r="P60" s="24" t="str">
        <x:v>Light elastic</x:v>
      </x:c>
      <x:c r="Q60" s="24" t="str">
        <x:v>2–3 × 8–12 controlled reps</x:v>
      </x:c>
      <x:c r="R60" s="24" t="str">
        <x:v>Progress gradually; stop with sharp pain, dizziness, or numbness.</x:v>
      </x:c>
      <x:c r="S60" s="24" t="str">
        <x:v>https://www.acsm.org/education-resources/trending-topics-resources/physical-activity-guidelines</x:v>
      </x:c>
      <x:c r="T60" s="24" t="str">
        <x:v>Anatomy-based mapping</x:v>
      </x:c>
    </x:row>
    <x:row r="61" ht="54" customHeight="1">
      <x:c r="A61" s="24" t="str">
        <x:v>EX0078</x:v>
      </x:c>
      <x:c r="B61" s="24" t="str">
        <x:v>Tabletop intrinsic-plus hand position</x:v>
      </x:c>
      <x:c r="C61" s="24" t="str">
        <x:v>Hand &amp; Fingers</x:v>
      </x:c>
      <x:c r="D61" s="24" t="str">
        <x:v>Home</x:v>
      </x:c>
      <x:c r="E61" s="24" t="str">
        <x:v>Motor control</x:v>
      </x:c>
      <x:c r="F61" s="24" t="str">
        <x:v>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G61" s="24" t="str">
        <x:v>Extensor digitorum; Extensor indicis; Extensor digiti minimi</x:v>
      </x:c>
      <x:c r="H61" s="24" t="str">
        <x:v>—</x:v>
      </x:c>
      <x:c r="I61" s="24" t="str">
        <x:v>—</x:v>
      </x:c>
      <x:c r="J61" s="24" t="str">
        <x:v>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digitorum; Extensor indicis; Extensor digiti minimi</x:v>
      </x:c>
      <x:c r="K61" s="24" t="str">
        <x:v>Dorsal extensor expansions; lumbrical tendinous origins</x:v>
      </x:c>
      <x:c r="L61" s="24" t="str">
        <x:v>Digital collateral ligaments, volar plates and flexor tendon pulleys protect joints/tendons; NOT stretch targets</x:v>
      </x:c>
      <x:c r="M61" s="24" t="str">
        <x:v>Muscles: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digitorum; Extensor indicis; Extensor digiti minimi | Tendons/fascia: Dorsal extensor expansions; lumbrical tendinous origins | Ligament context only: Digital collateral ligaments, volar plates and flexor tendon pulleys protect joints/tendons; NOT stretch targets</x:v>
      </x:c>
      <x:c r="N61" s="24" t="str">
        <x:v>Low-load activation, not ordinarily to fatigue: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O61" s="24" t="str">
        <x:v>Flex knuckles while keeping interphalangeal joints extended; relax fully.</x:v>
      </x:c>
      <x:c r="P61" s="24" t="str">
        <x:v>Table</x:v>
      </x:c>
      <x:c r="Q61" s="24" t="str">
        <x:v>1–2 × 5–10 controlled reps</x:v>
      </x:c>
      <x:c r="R61" s="24" t="str">
        <x:v>Progress gradually; stop with sharp pain, dizziness, or numbness.</x:v>
      </x:c>
      <x:c r="S61" s="24" t="str">
        <x:v>https://www.acsm.org/education-resources/trending-topics-resources/physical-activity-guidelines</x:v>
      </x:c>
      <x:c r="T61" s="24" t="str">
        <x:v>Anatomy-based mapping</x:v>
      </x:c>
    </x:row>
    <x:row r="62" ht="54" customHeight="1">
      <x:c r="A62" s="24" t="str">
        <x:v>EX0079</x:v>
      </x:c>
      <x:c r="B62" s="24" t="str">
        <x:v>Individual finger lift from table</x:v>
      </x:c>
      <x:c r="C62" s="24" t="str">
        <x:v>Hand &amp; Fingers</x:v>
      </x:c>
      <x:c r="D62" s="24" t="str">
        <x:v>Home</x:v>
      </x:c>
      <x:c r="E62" s="24" t="str">
        <x:v>Motor control</x:v>
      </x:c>
      <x:c r="F62" s="24" t="str">
        <x:v>Extensor digitorum; Extensor indicis; Extensor digiti minimi; Lumbrical 1 (index); Lumbrical 2 (middle); Lumbrical 3 (ring); Lumbrical 4 (little)</x:v>
      </x:c>
      <x:c r="G62" s="24" t="str">
        <x:v>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H62" s="24" t="str">
        <x:v>—</x:v>
      </x:c>
      <x:c r="I62" s="24" t="str">
        <x:v>—</x:v>
      </x:c>
      <x:c r="J62" s="24" t="str">
        <x:v>Extensor digitorum; Extensor indicis; Extensor digiti minimi;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K62" s="24" t="str">
        <x:v>Extensor tendon hood</x:v>
      </x:c>
      <x:c r="L62" s="24" t="str">
        <x:v>Digital collateral ligaments, volar plates and flexor tendon pulleys protect joints/tendons; NOT stretch targets</x:v>
      </x:c>
      <x:c r="M62" s="24" t="str">
        <x:v>Muscles: Extensor digitorum; Extensor indicis; Extensor digiti minimi;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 | Tendons/fascia: Extensor tendon hood | Ligament context only: Digital collateral ligaments, volar plates and flexor tendon pulleys protect joints/tendons; NOT stretch targets</x:v>
      </x:c>
      <x:c r="N62" s="24" t="str">
        <x:v>Low-load activation, not ordinarily to fatigue: Extensor digitorum; Extensor indicis; Extensor digiti minimi; Lumbrical 1 (index); Lumbrical 2 (middle); Lumbrical 3 (ring); Lumbrical 4 (little)</x:v>
      </x:c>
      <x:c r="O62" s="24" t="str">
        <x:v>Palm flat; raise one finger at a time without forcing joints.</x:v>
      </x:c>
      <x:c r="P62" s="24" t="str">
        <x:v>Table</x:v>
      </x:c>
      <x:c r="Q62" s="24" t="str">
        <x:v>1–2 × 5–10 controlled reps</x:v>
      </x:c>
      <x:c r="R62" s="24" t="str">
        <x:v>Progress gradually; stop with sharp pain, dizziness, or numbness.</x:v>
      </x:c>
      <x:c r="S62" s="24" t="str">
        <x:v>https://www.acsm.org/education-resources/trending-topics-resources/physical-activity-guidelines</x:v>
      </x:c>
      <x:c r="T62" s="24" t="str">
        <x:v>Anatomy-based mapping</x:v>
      </x:c>
    </x:row>
    <x:row r="63" ht="54" customHeight="1">
      <x:c r="A63" s="24" t="str">
        <x:v>EX0080</x:v>
      </x:c>
      <x:c r="B63" s="24" t="str">
        <x:v>Index finger extension with rubber band</x:v>
      </x:c>
      <x:c r="C63" s="24" t="str">
        <x:v>Hand &amp; Fingers</x:v>
      </x:c>
      <x:c r="D63" s="24" t="str">
        <x:v>Home</x:v>
      </x:c>
      <x:c r="E63" s="24" t="str">
        <x:v>Band strength</x:v>
      </x:c>
      <x:c r="F63" s="24" t="str">
        <x:v>Extensor indicis; Extensor digitorum</x:v>
      </x:c>
      <x:c r="G63" s="24" t="str">
        <x:v>—</x:v>
      </x:c>
      <x:c r="H63" s="24" t="str">
        <x:v>Extensor carpi ulnaris; Extensor carpi radialis brevis; Extensor carpi radialis longus</x:v>
      </x:c>
      <x:c r="I63" s="24" t="str">
        <x:v>—</x:v>
      </x:c>
      <x:c r="J63" s="24" t="str">
        <x:v>Extensor indicis; Extensor digitorum; Extensor carpi ulnaris; Extensor carpi radialis brevis; Extensor carpi radialis longus</x:v>
      </x:c>
      <x:c r="K63" s="24" t="str">
        <x:v>Extensor indicis tendon</x:v>
      </x:c>
      <x:c r="L63" s="24" t="str">
        <x:v>Digital collateral ligaments, volar plates and flexor tendon pulleys protect joints/tendons; NOT stretch targets</x:v>
      </x:c>
      <x:c r="M63" s="24" t="str">
        <x:v>Muscles: Extensor indicis; Extensor digitorum; Extensor carpi ulnaris; Extensor carpi radialis brevis; Extensor carpi radialis longus | Tendons/fascia: Extensor indicis tendon | Ligament context only: Digital collateral ligaments, volar plates and flexor tendon pulleys protect joints/tendons; NOT stretch targets</x:v>
      </x:c>
      <x:c r="N63" s="24" t="str">
        <x:v>Extensor indicis; Extensor digitorum</x:v>
      </x:c>
      <x:c r="O63" s="24" t="str">
        <x:v>Extend index MCP joint against light elastic.</x:v>
      </x:c>
      <x:c r="P63" s="24" t="str">
        <x:v>Light elastic</x:v>
      </x:c>
      <x:c r="Q63" s="24" t="str">
        <x:v>2–3 × 8–12 controlled reps</x:v>
      </x:c>
      <x:c r="R63" s="24" t="str">
        <x:v>Progress gradually; stop with sharp pain, dizziness, or numbness.</x:v>
      </x:c>
      <x:c r="S63" s="24" t="str">
        <x:v>https://www.acsm.org/education-resources/trending-topics-resources/physical-activity-guidelines</x:v>
      </x:c>
      <x:c r="T63" s="24" t="str">
        <x:v>Anatomy-based mapping</x:v>
      </x:c>
    </x:row>
    <x:row r="64" ht="54" customHeight="1">
      <x:c r="A64" s="24" t="str">
        <x:v>EX0081</x:v>
      </x:c>
      <x:c r="B64" s="24" t="str">
        <x:v>Little-finger extension with rubber band</x:v>
      </x:c>
      <x:c r="C64" s="24" t="str">
        <x:v>Hand &amp; Fingers</x:v>
      </x:c>
      <x:c r="D64" s="24" t="str">
        <x:v>Home</x:v>
      </x:c>
      <x:c r="E64" s="24" t="str">
        <x:v>Band strength</x:v>
      </x:c>
      <x:c r="F64" s="24" t="str">
        <x:v>Extensor digiti minimi; Extensor digitorum</x:v>
      </x:c>
      <x:c r="G64" s="24" t="str">
        <x:v>—</x:v>
      </x:c>
      <x:c r="H64" s="24" t="str">
        <x:v>Extensor carpi ulnaris; Extensor carpi radialis brevis; Extensor carpi radialis longus</x:v>
      </x:c>
      <x:c r="I64" s="24" t="str">
        <x:v>—</x:v>
      </x:c>
      <x:c r="J64" s="24" t="str">
        <x:v>Extensor digiti minimi; Extensor digitorum; Extensor carpi ulnaris; Extensor carpi radialis brevis; Extensor carpi radialis longus</x:v>
      </x:c>
      <x:c r="K64" s="24" t="str">
        <x:v>Extensor digiti minimi tendon</x:v>
      </x:c>
      <x:c r="L64" s="24" t="str">
        <x:v>Digital collateral ligaments, volar plates and flexor tendon pulleys protect joints/tendons; NOT stretch targets</x:v>
      </x:c>
      <x:c r="M64" s="24" t="str">
        <x:v>Muscles: Extensor digiti minimi; Extensor digitorum; Extensor carpi ulnaris; Extensor carpi radialis brevis; Extensor carpi radialis longus | Tendons/fascia: Extensor digiti minimi tendon | Ligament context only: Digital collateral ligaments, volar plates and flexor tendon pulleys protect joints/tendons; NOT stretch targets</x:v>
      </x:c>
      <x:c r="N64" s="24" t="str">
        <x:v>Extensor digiti minimi; Extensor digitorum</x:v>
      </x:c>
      <x:c r="O64" s="24" t="str">
        <x:v>Extend little finger against light elastic.</x:v>
      </x:c>
      <x:c r="P64" s="24" t="str">
        <x:v>Light elastic</x:v>
      </x:c>
      <x:c r="Q64" s="24" t="str">
        <x:v>2–3 × 8–12 controlled reps</x:v>
      </x:c>
      <x:c r="R64" s="24" t="str">
        <x:v>Progress gradually; stop with sharp pain, dizziness, or numbness.</x:v>
      </x:c>
      <x:c r="S64" s="24" t="str">
        <x:v>https://www.acsm.org/education-resources/trending-topics-resources/physical-activity-guidelines</x:v>
      </x:c>
      <x:c r="T64" s="24" t="str">
        <x:v>Anatomy-based mapping</x:v>
      </x:c>
    </x:row>
    <x:row r="65" ht="54" customHeight="1">
      <x:c r="A65" s="24" t="str">
        <x:v>EX0082</x:v>
      </x:c>
      <x:c r="B65" s="24" t="str">
        <x:v>Finger abduction against hair elastic</x:v>
      </x:c>
      <x:c r="C65" s="24" t="str">
        <x:v>Hand &amp; Fingers</x:v>
      </x:c>
      <x:c r="D65" s="24" t="str">
        <x:v>Home</x:v>
      </x:c>
      <x:c r="E65" s="24" t="str">
        <x:v>Band strength</x:v>
      </x:c>
      <x:c r="F65" s="24" t="str">
        <x:v>Dorsal interosseous 1 (index); Dorsal interosseous 2 (middle radial); Dorsal interosseous 3 (middle ulnar); Dorsal interosseous 4 (ring); Dorsal interosseous 1 (foot); Dorsal interosseous 2 (foot); Dorsal interosseous 3 (foot); Dorsal interosseous 4 (foot)</x:v>
      </x:c>
      <x:c r="G65" s="24" t="str">
        <x:v>Abductor digiti minimi (hand); Flexor digiti minimi brevis (hand); Opponens digiti minimi; Palmaris brevis</x:v>
      </x:c>
      <x:c r="H65" s="24" t="str">
        <x:v>—</x:v>
      </x:c>
      <x:c r="I65" s="24" t="str">
        <x:v>—</x:v>
      </x:c>
      <x:c r="J65" s="24" t="str">
        <x:v>Dorsal interosseous 1 (index); Dorsal interosseous 2 (middle radial); Dorsal interosseous 3 (middle ulnar); Dorsal interosseous 4 (ring); Dorsal interosseous 1 (foot); Dorsal interosseous 2 (foot); Dorsal interosseous 3 (foot); Dorsal interosseous 4 (foot); Abductor digiti minimi (hand); Flexor digiti minimi brevis (hand); Opponens digiti minimi; Palmaris brevis</x:v>
      </x:c>
      <x:c r="K65" s="24" t="str">
        <x:v>Dorsal interossei tendons/extensor hoods</x:v>
      </x:c>
      <x:c r="L65" s="24" t="str">
        <x:v>Digital collateral ligaments, volar plates and flexor tendon pulleys protect joints/tendons; NOT stretch targets</x:v>
      </x:c>
      <x:c r="M65" s="24" t="str">
        <x:v>Muscles: Dorsal interosseous 1 (index); Dorsal interosseous 2 (middle radial); Dorsal interosseous 3 (middle ulnar); Dorsal interosseous 4 (ring); Dorsal interosseous 1 (foot); Dorsal interosseous 2 (foot); Dorsal interosseous 3 (foot); Dorsal interosseous 4 (foot); Abductor digiti minimi (hand); Flexor digiti minimi brevis (hand); Opponens digiti minimi; Palmaris brevis | Tendons/fascia: Dorsal interossei tendons/extensor hoods | Ligament context only: Digital collateral ligaments, volar plates and flexor tendon pulleys protect joints/tendons; NOT stretch targets</x:v>
      </x:c>
      <x:c r="N65" s="24" t="str">
        <x:v>Dorsal interosseous 1 (index); Dorsal interosseous 2 (middle radial); Dorsal interosseous 3 (middle ulnar); Dorsal interosseous 4 (ring); Dorsal interosseous 1 (foot); Dorsal interosseous 2 (foot); Dorsal interosseous 3 (foot); Dorsal interosseous 4 (foot); Abductor digiti minimi (hand); Flexor digiti minimi brevis (hand); Opponens digiti minimi; Palmaris brevis</x:v>
      </x:c>
      <x:c r="O65" s="24" t="str">
        <x:v>Spread fingers apart against very light elastic; release.</x:v>
      </x:c>
      <x:c r="P65" s="24" t="str">
        <x:v>Soft elastic</x:v>
      </x:c>
      <x:c r="Q65" s="24" t="str">
        <x:v>2–3 × 8–12 controlled reps</x:v>
      </x:c>
      <x:c r="R65" s="24" t="str">
        <x:v>Progress gradually; stop with sharp pain, dizziness, or numbness.</x:v>
      </x:c>
      <x:c r="S65" s="24" t="str">
        <x:v>https://www.acsm.org/education-resources/trending-topics-resources/physical-activity-guidelines</x:v>
      </x:c>
      <x:c r="T65" s="24" t="str">
        <x:v>Anatomy-based mapping</x:v>
      </x:c>
    </x:row>
    <x:row r="66" ht="54" customHeight="1">
      <x:c r="A66" s="24" t="str">
        <x:v>EX0083</x:v>
      </x:c>
      <x:c r="B66" s="24" t="str">
        <x:v>Finger adduction with folded paper</x:v>
      </x:c>
      <x:c r="C66" s="24" t="str">
        <x:v>Hand &amp; Fingers</x:v>
      </x:c>
      <x:c r="D66" s="24" t="str">
        <x:v>Home</x:v>
      </x:c>
      <x:c r="E66" s="24" t="str">
        <x:v>Isometric strength</x:v>
      </x:c>
      <x:c r="F66" s="24" t="str">
        <x:v>Palmar interosseous 1 (index); Palmar interosseous 2 (ring); Palmar interosseous 3 (little)</x:v>
      </x:c>
      <x:c r="G66" s="24" t="str">
        <x:v>Lumbrical 1 (index); Lumbrical 2 (middle); Lumbrical 3 (ring); Lumbrical 4 (little)</x:v>
      </x:c>
      <x:c r="H66" s="24" t="str">
        <x:v>—</x:v>
      </x:c>
      <x:c r="I66" s="24" t="str">
        <x:v>—</x:v>
      </x:c>
      <x:c r="J66" s="24" t="str">
        <x:v>Palmar interosseous 1 (index); Palmar interosseous 2 (ring); Palmar interosseous 3 (little); Lumbrical 1 (index); Lumbrical 2 (middle); Lumbrical 3 (ring); Lumbrical 4 (little)</x:v>
      </x:c>
      <x:c r="K66" s="24" t="str">
        <x:v>Palmar interossei/extensor expansion</x:v>
      </x:c>
      <x:c r="L66" s="24" t="str">
        <x:v>Digital collateral ligaments, volar plates and flexor tendon pulleys protect joints/tendons; NOT stretch targets</x:v>
      </x:c>
      <x:c r="M66" s="24" t="str">
        <x:v>Muscles: Palmar interosseous 1 (index); Palmar interosseous 2 (ring); Palmar interosseous 3 (little); Lumbrical 1 (index); Lumbrical 2 (middle); Lumbrical 3 (ring); Lumbrical 4 (little) | Tendons/fascia: Palmar interossei/extensor expansion | Ligament context only: Digital collateral ligaments, volar plates and flexor tendon pulleys protect joints/tendons; NOT stretch targets</x:v>
      </x:c>
      <x:c r="N66" s="24" t="str">
        <x:v>Palmar interosseous 1 (index); Palmar interosseous 2 (ring); Palmar interosseous 3 (little); Lumbrical 1 (index); Lumbrical 2 (middle); Lumbrical 3 (ring); Lumbrical 4 (little)</x:v>
      </x:c>
      <x:c r="O66" s="24" t="str">
        <x:v>Hold slip of paper between two fingers without crushing or pain.</x:v>
      </x:c>
      <x:c r="P66" s="24" t="str">
        <x:v>Paper</x:v>
      </x:c>
      <x:c r="Q66" s="24" t="str">
        <x:v>2–3 × 8–12 controlled reps</x:v>
      </x:c>
      <x:c r="R66" s="24" t="str">
        <x:v>Progress gradually; stop with sharp pain, dizziness, or numbness.</x:v>
      </x:c>
      <x:c r="S66" s="24" t="str">
        <x:v>https://www.acsm.org/education-resources/trending-topics-resources/physical-activity-guidelines</x:v>
      </x:c>
      <x:c r="T66" s="24" t="str">
        <x:v>Anatomy-based mapping</x:v>
      </x:c>
    </x:row>
    <x:row r="67" ht="54" customHeight="1">
      <x:c r="A67" s="24" t="str">
        <x:v>EX0084</x:v>
      </x:c>
      <x:c r="B67" s="24" t="str">
        <x:v>Thumb opposition to every fingertip</x:v>
      </x:c>
      <x:c r="C67" s="24" t="str">
        <x:v>Hand &amp; Fingers</x:v>
      </x:c>
      <x:c r="D67" s="24" t="str">
        <x:v>Home</x:v>
      </x:c>
      <x:c r="E67" s="24" t="str">
        <x:v>Motor control</x:v>
      </x:c>
      <x:c r="F67" s="24" t="str">
        <x:v>Opponens pollicis; Abductor pollicis brevis; Flexor pollicis brevis deep head; Flexor pollicis brevis superficial head</x:v>
      </x:c>
      <x:c r="G67" s="24" t="str">
        <x:v>Adductor pollicis oblique head; Adductor pollicis transverse head</x:v>
      </x:c>
      <x:c r="H67" s="24" t="str">
        <x:v>—</x:v>
      </x:c>
      <x:c r="I67" s="24" t="str">
        <x:v>—</x:v>
      </x:c>
      <x:c r="J67" s="24" t="str">
        <x:v>Opponens pollicis; Abductor pollicis brevis; Flexor pollicis brevis deep head; Flexor pollicis brevis superficial head; Adductor pollicis oblique head; Adductor pollicis transverse head</x:v>
      </x:c>
      <x:c r="K67" s="24" t="str">
        <x:v>Thenar tendons; flexor pollicis brevis</x:v>
      </x:c>
      <x:c r="L67" s="24" t="str">
        <x:v>Digital collateral ligaments, volar plates and flexor tendon pulleys protect joints/tendons; NOT stretch targets</x:v>
      </x:c>
      <x:c r="M67" s="24" t="str">
        <x:v>Muscles: Opponens pollicis; Abductor pollicis brevis; Flexor pollicis brevis deep head; Flexor pollicis brevis superficial head; Adductor pollicis oblique head; Adductor pollicis transverse head | Tendons/fascia: Thenar tendons; flexor pollicis brevis | Ligament context only: Digital collateral ligaments, volar plates and flexor tendon pulleys protect joints/tendons; NOT stretch targets</x:v>
      </x:c>
      <x:c r="N67" s="24" t="str">
        <x:v>Low-load activation, not ordinarily to fatigue: Opponens pollicis; Abductor pollicis brevis; Flexor pollicis brevis deep head; Flexor pollicis brevis superficial head</x:v>
      </x:c>
      <x:c r="O67" s="24" t="str">
        <x:v>Touch thumb to each fingertip and base of little finger without collapse.</x:v>
      </x:c>
      <x:c r="P67" s="24" t="str">
        <x:v>None</x:v>
      </x:c>
      <x:c r="Q67" s="24" t="str">
        <x:v>1–2 × 5–10 controlled reps</x:v>
      </x:c>
      <x:c r="R67" s="24" t="str">
        <x:v>Progress gradually; stop with sharp pain, dizziness, or numbness.</x:v>
      </x:c>
      <x:c r="S67" s="24" t="str">
        <x:v>https://www.acsm.org/education-resources/trending-topics-resources/physical-activity-guidelines</x:v>
      </x:c>
      <x:c r="T67" s="24" t="str">
        <x:v>Anatomy-based mapping</x:v>
      </x:c>
    </x:row>
    <x:row r="68" ht="54" customHeight="1">
      <x:c r="A68" s="24" t="str">
        <x:v>EX0085</x:v>
      </x:c>
      <x:c r="B68" s="24" t="str">
        <x:v>Rubber-band thumb abduction</x:v>
      </x:c>
      <x:c r="C68" s="24" t="str">
        <x:v>Hand &amp; Fingers</x:v>
      </x:c>
      <x:c r="D68" s="24" t="str">
        <x:v>Home</x:v>
      </x:c>
      <x:c r="E68" s="24" t="str">
        <x:v>Band strength</x:v>
      </x:c>
      <x:c r="F68" s="24" t="str">
        <x:v>Abductor pollicis brevis; Abductor pollicis longus</x:v>
      </x:c>
      <x:c r="G68" s="24" t="str">
        <x:v>Opponens pollicis</x:v>
      </x:c>
      <x:c r="H68" s="24" t="str">
        <x:v>—</x:v>
      </x:c>
      <x:c r="I68" s="24" t="str">
        <x:v>—</x:v>
      </x:c>
      <x:c r="J68" s="24" t="str">
        <x:v>Abductor pollicis brevis; Abductor pollicis longus; Opponens pollicis</x:v>
      </x:c>
      <x:c r="K68" s="24" t="str">
        <x:v>APL and APB tendons</x:v>
      </x:c>
      <x:c r="L68" s="24" t="str">
        <x:v>Digital collateral ligaments, volar plates and flexor tendon pulleys protect joints/tendons; NOT stretch targets</x:v>
      </x:c>
      <x:c r="M68" s="24" t="str">
        <x:v>Muscles: Abductor pollicis brevis; Abductor pollicis longus; Opponens pollicis | Tendons/fascia: APL and APB tendons | Ligament context only: Digital collateral ligaments, volar plates and flexor tendon pulleys protect joints/tendons; NOT stretch targets</x:v>
      </x:c>
      <x:c r="N68" s="24" t="str">
        <x:v>Abductor pollicis brevis; Abductor pollicis longus; Opponens pollicis</x:v>
      </x:c>
      <x:c r="O68" s="24" t="str">
        <x:v>Gently move thumb away from palm against band.</x:v>
      </x:c>
      <x:c r="P68" s="24" t="str">
        <x:v>Light elastic</x:v>
      </x:c>
      <x:c r="Q68" s="24" t="str">
        <x:v>2–3 × 8–12 controlled reps</x:v>
      </x:c>
      <x:c r="R68" s="24" t="str">
        <x:v>Progress gradually; stop with sharp pain, dizziness, or numbness.</x:v>
      </x:c>
      <x:c r="S68" s="24" t="str">
        <x:v>https://www.acsm.org/education-resources/trending-topics-resources/physical-activity-guidelines</x:v>
      </x:c>
      <x:c r="T68" s="24" t="str">
        <x:v>Anatomy-based mapping</x:v>
      </x:c>
    </x:row>
    <x:row r="69" ht="54" customHeight="1">
      <x:c r="A69" s="24" t="str">
        <x:v>EX0086</x:v>
      </x:c>
      <x:c r="B69" s="24" t="str">
        <x:v>Thumb adduction paper pinch</x:v>
      </x:c>
      <x:c r="C69" s="24" t="str">
        <x:v>Hand &amp; Fingers</x:v>
      </x:c>
      <x:c r="D69" s="24" t="str">
        <x:v>Home</x:v>
      </x:c>
      <x:c r="E69" s="24" t="str">
        <x:v>Isometric strength</x:v>
      </x:c>
      <x:c r="F69" s="24" t="str">
        <x:v>Adductor pollicis oblique head; Adductor pollicis transverse head</x:v>
      </x:c>
      <x:c r="G69" s="24" t="str">
        <x:v>Flexor pollicis brevis deep head; Flexor pollicis brevis superficial head</x:v>
      </x:c>
      <x:c r="H69" s="24" t="str">
        <x:v>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I69" s="24" t="str">
        <x:v>—</x:v>
      </x:c>
      <x:c r="J69" s="24" t="str">
        <x:v>Adductor pollicis oblique head; Adductor pollicis transverse head; Flexor pollicis brevis deep head; Flexor pollicis brevis superficial head;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K69" s="24" t="str">
        <x:v>Adductor pollicis tendinous insertion</x:v>
      </x:c>
      <x:c r="L69" s="24" t="str">
        <x:v>Digital collateral ligaments, volar plates and flexor tendon pulleys protect joints/tendons; NOT stretch targets</x:v>
      </x:c>
      <x:c r="M69" s="24" t="str">
        <x:v>Muscles: Adductor pollicis oblique head; Adductor pollicis transverse head; Flexor pollicis brevis deep head; Flexor pollicis brevis superficial head;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 | Tendons/fascia: Adductor pollicis tendinous insertion | Ligament context only: Digital collateral ligaments, volar plates and flexor tendon pulleys protect joints/tendons; NOT stretch targets</x:v>
      </x:c>
      <x:c r="N69" s="24" t="str">
        <x:v>Adductor pollicis oblique head; Adductor pollicis transverse head; Flexor pollicis brevis deep head; Flexor pollicis brevis superficial head</x:v>
      </x:c>
      <x:c r="O69" s="24" t="str">
        <x:v>Hold paper between thumb and index without overflexing thumb IP joint.</x:v>
      </x:c>
      <x:c r="P69" s="24" t="str">
        <x:v>Paper</x:v>
      </x:c>
      <x:c r="Q69" s="24" t="str">
        <x:v>2–3 × 8–12 controlled reps</x:v>
      </x:c>
      <x:c r="R69" s="24" t="str">
        <x:v>Progress gradually; stop with sharp pain, dizziness, or numbness.</x:v>
      </x:c>
      <x:c r="S69" s="24" t="str">
        <x:v>https://www.acsm.org/education-resources/trending-topics-resources/physical-activity-guidelines</x:v>
      </x:c>
      <x:c r="T69" s="24" t="str">
        <x:v>Anatomy-based mapping</x:v>
      </x:c>
    </x:row>
    <x:row r="70" ht="54" customHeight="1">
      <x:c r="A70" s="24" t="str">
        <x:v>EX0087</x:v>
      </x:c>
      <x:c r="B70" s="24" t="str">
        <x:v>Key pinch with therapy putty</x:v>
      </x:c>
      <x:c r="C70" s="24" t="str">
        <x:v>Hand &amp; Fingers</x:v>
      </x:c>
      <x:c r="D70" s="24" t="str">
        <x:v>Home</x:v>
      </x:c>
      <x:c r="E70" s="24" t="str">
        <x:v>Isolation strength</x:v>
      </x:c>
      <x:c r="F70" s="24" t="str">
        <x:v>Adductor pollicis oblique head; Adductor pollicis transverse head; Flexor pollicis brevis deep head; Flexor pollicis brevis superficial head</x:v>
      </x:c>
      <x:c r="G70" s="24" t="str">
        <x:v>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H70" s="24" t="str">
        <x:v>Flexor carpi radialis; Flexor carpi ulnaris humeral head; Flexor carpi ulnaris ulnar head; Palmaris longus</x:v>
      </x:c>
      <x:c r="I70" s="24" t="str">
        <x:v>—</x:v>
      </x:c>
      <x:c r="J70" s="24" t="str">
        <x:v>Adductor pollicis oblique head; Adductor pollicis transverse head; Flexor pollicis brevis deep head; Flexor pollicis brevis superficial head;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carpi radialis; Flexor carpi ulnaris humeral head; Flexor carpi ulnaris ulnar head; Palmaris longus</x:v>
      </x:c>
      <x:c r="K70" s="24" t="str">
        <x:v>Adductor pollicis tendon; FPL tendon</x:v>
      </x:c>
      <x:c r="L70" s="24" t="str">
        <x:v>Digital collateral ligaments, volar plates and flexor tendon pulleys protect joints/tendons; NOT stretch targets</x:v>
      </x:c>
      <x:c r="M70" s="24" t="str">
        <x:v>Muscles: Adductor pollicis oblique head; Adductor pollicis transverse head; Flexor pollicis brevis deep head; Flexor pollicis brevis superficial head;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carpi radialis; Flexor carpi ulnaris humeral head; Flexor carpi ulnaris ulnar head; Palmaris longus | Tendons/fascia: Adductor pollicis tendon; FPL tendon | Ligament context only: Digital collateral ligaments, volar plates and flexor tendon pulleys protect joints/tendons; NOT stretch targets</x:v>
      </x:c>
      <x:c r="N70" s="24" t="str">
        <x:v>Adductor pollicis oblique head; Adductor pollicis transverse head; Flexor pollicis brevis deep head; Flexor pollicis brevis superficial head;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O70" s="24" t="str">
        <x:v>Pinch putty between thumb pad/side and index finger.</x:v>
      </x:c>
      <x:c r="P70" s="24" t="str">
        <x:v>Soft putty</x:v>
      </x:c>
      <x:c r="Q70" s="24" t="str">
        <x:v>2–3 × 8–12 controlled reps</x:v>
      </x:c>
      <x:c r="R70" s="24" t="str">
        <x:v>Progress gradually; stop with sharp pain, dizziness, or numbness.</x:v>
      </x:c>
      <x:c r="S70" s="24" t="str">
        <x:v>https://www.acsm.org/education-resources/trending-topics-resources/physical-activity-guidelines</x:v>
      </x:c>
      <x:c r="T70" s="24" t="str">
        <x:v>Anatomy-based mapping</x:v>
      </x:c>
    </x:row>
    <x:row r="71" ht="54" customHeight="1">
      <x:c r="A71" s="24" t="str">
        <x:v>EX0088</x:v>
      </x:c>
      <x:c r="B71" s="24" t="str">
        <x:v>Thumb IP flexion with light band</x:v>
      </x:c>
      <x:c r="C71" s="24" t="str">
        <x:v>Hand &amp; Fingers</x:v>
      </x:c>
      <x:c r="D71" s="24" t="str">
        <x:v>Home</x:v>
      </x:c>
      <x:c r="E71" s="24" t="str">
        <x:v>Band strength</x:v>
      </x:c>
      <x:c r="F71" s="24" t="str">
        <x:v>Flexor pollicis longus</x:v>
      </x:c>
      <x:c r="G71" s="24" t="str">
        <x:v>Flexor pollicis brevis deep head; Flexor pollicis brevis superficial head</x:v>
      </x:c>
      <x:c r="H71" s="24" t="str">
        <x:v>—</x:v>
      </x:c>
      <x:c r="I71" s="24" t="str">
        <x:v>—</x:v>
      </x:c>
      <x:c r="J71" s="24" t="str">
        <x:v>Flexor pollicis longus; Flexor pollicis brevis deep head; Flexor pollicis brevis superficial head</x:v>
      </x:c>
      <x:c r="K71" s="24" t="str">
        <x:v>Flexor pollicis longus tendon</x:v>
      </x:c>
      <x:c r="L71" s="24" t="str">
        <x:v>Digital collateral ligaments, volar plates and flexor tendon pulleys protect joints/tendons; NOT stretch targets</x:v>
      </x:c>
      <x:c r="M71" s="24" t="str">
        <x:v>Muscles: Flexor pollicis longus; Flexor pollicis brevis deep head; Flexor pollicis brevis superficial head | Tendons/fascia: Flexor pollicis longus tendon | Ligament context only: Digital collateral ligaments, volar plates and flexor tendon pulleys protect joints/tendons; NOT stretch targets</x:v>
      </x:c>
      <x:c r="N71" s="24" t="str">
        <x:v>Flexor pollicis longus; Flexor pollicis brevis deep head; Flexor pollicis brevis superficial head</x:v>
      </x:c>
      <x:c r="O71" s="24" t="str">
        <x:v>Hold thumb MCP steady; bend distal thumb joint against light band.</x:v>
      </x:c>
      <x:c r="P71" s="24" t="str">
        <x:v>Light elastic</x:v>
      </x:c>
      <x:c r="Q71" s="24" t="str">
        <x:v>2–3 × 8–12 controlled reps</x:v>
      </x:c>
      <x:c r="R71" s="24" t="str">
        <x:v>Progress gradually; stop with sharp pain, dizziness, or numbness.</x:v>
      </x:c>
      <x:c r="S71" s="24" t="str">
        <x:v>https://www.acsm.org/education-resources/trending-topics-resources/physical-activity-guidelines</x:v>
      </x:c>
      <x:c r="T71" s="24" t="str">
        <x:v>Anatomy-based mapping</x:v>
      </x:c>
    </x:row>
    <x:row r="72" ht="54" customHeight="1">
      <x:c r="A72" s="24" t="str">
        <x:v>EX0089</x:v>
      </x:c>
      <x:c r="B72" s="24" t="str">
        <x:v>Thumb extension with light band</x:v>
      </x:c>
      <x:c r="C72" s="24" t="str">
        <x:v>Hand &amp; Fingers</x:v>
      </x:c>
      <x:c r="D72" s="24" t="str">
        <x:v>Home</x:v>
      </x:c>
      <x:c r="E72" s="24" t="str">
        <x:v>Band strength</x:v>
      </x:c>
      <x:c r="F72" s="24" t="str">
        <x:v>Extensor pollicis brevis; Extensor pollicis longus; Abductor pollicis longus</x:v>
      </x:c>
      <x:c r="G72" s="24" t="str">
        <x:v>—</x:v>
      </x:c>
      <x:c r="H72" s="24" t="str">
        <x:v>Extensor carpi ulnaris; Extensor carpi radialis brevis; Extensor carpi radialis longus</x:v>
      </x:c>
      <x:c r="I72" s="24" t="str">
        <x:v>—</x:v>
      </x:c>
      <x:c r="J72" s="24" t="str">
        <x:v>Extensor pollicis brevis; Extensor pollicis longus; Abductor pollicis longus; Extensor carpi ulnaris; Extensor carpi radialis brevis; Extensor carpi radialis longus</x:v>
      </x:c>
      <x:c r="K72" s="24" t="str">
        <x:v>EPL, EPB, APL tendons</x:v>
      </x:c>
      <x:c r="L72" s="24" t="str">
        <x:v>Digital collateral ligaments, volar plates and flexor tendon pulleys protect joints/tendons; NOT stretch targets</x:v>
      </x:c>
      <x:c r="M72" s="24" t="str">
        <x:v>Muscles: Extensor pollicis brevis; Extensor pollicis longus; Abductor pollicis longus; Extensor carpi ulnaris; Extensor carpi radialis brevis; Extensor carpi radialis longus | Tendons/fascia: EPL, EPB, APL tendons | Ligament context only: Digital collateral ligaments, volar plates and flexor tendon pulleys protect joints/tendons; NOT stretch targets</x:v>
      </x:c>
      <x:c r="N72" s="24" t="str">
        <x:v>Extensor pollicis brevis; Extensor pollicis longus; Abductor pollicis longus</x:v>
      </x:c>
      <x:c r="O72" s="24" t="str">
        <x:v>Move thumb back/outward against light elastic; avoid hyperextension.</x:v>
      </x:c>
      <x:c r="P72" s="24" t="str">
        <x:v>Light elastic</x:v>
      </x:c>
      <x:c r="Q72" s="24" t="str">
        <x:v>2–3 × 8–12 controlled reps</x:v>
      </x:c>
      <x:c r="R72" s="24" t="str">
        <x:v>Progress gradually; stop with sharp pain, dizziness, or numbness.</x:v>
      </x:c>
      <x:c r="S72" s="24" t="str">
        <x:v>https://www.acsm.org/education-resources/trending-topics-resources/physical-activity-guidelines</x:v>
      </x:c>
      <x:c r="T72" s="24" t="str">
        <x:v>Anatomy-based mapping</x:v>
      </x:c>
    </x:row>
    <x:row r="73" ht="54" customHeight="1">
      <x:c r="A73" s="24" t="str">
        <x:v>EX0090</x:v>
      </x:c>
      <x:c r="B73" s="24" t="str">
        <x:v>Little finger opposition</x:v>
      </x:c>
      <x:c r="C73" s="24" t="str">
        <x:v>Hand &amp; Fingers</x:v>
      </x:c>
      <x:c r="D73" s="24" t="str">
        <x:v>Home</x:v>
      </x:c>
      <x:c r="E73" s="24" t="str">
        <x:v>Motor control</x:v>
      </x:c>
      <x:c r="F73" s="24" t="str">
        <x:v>Opponens digiti minimi; Abductor digiti minimi (hand)</x:v>
      </x:c>
      <x:c r="G73" s="24" t="str">
        <x:v>Flexor digiti minimi brevis (hand)</x:v>
      </x:c>
      <x:c r="H73" s="24" t="str">
        <x:v>—</x:v>
      </x:c>
      <x:c r="I73" s="24" t="str">
        <x:v>—</x:v>
      </x:c>
      <x:c r="J73" s="24" t="str">
        <x:v>Opponens digiti minimi; Abductor digiti minimi (hand); Flexor digiti minimi brevis (hand)</x:v>
      </x:c>
      <x:c r="K73" s="24" t="str">
        <x:v>Hypothenar tendinous insertions</x:v>
      </x:c>
      <x:c r="L73" s="24" t="str">
        <x:v>Digital collateral ligaments, volar plates and flexor tendon pulleys protect joints/tendons; NOT stretch targets</x:v>
      </x:c>
      <x:c r="M73" s="24" t="str">
        <x:v>Muscles: Opponens digiti minimi; Abductor digiti minimi (hand); Flexor digiti minimi brevis (hand) | Tendons/fascia: Hypothenar tendinous insertions | Ligament context only: Digital collateral ligaments, volar plates and flexor tendon pulleys protect joints/tendons; NOT stretch targets</x:v>
      </x:c>
      <x:c r="N73" s="24" t="str">
        <x:v>Low-load activation, not ordinarily to fatigue: Opponens digiti minimi; Abductor digiti minimi (hand)</x:v>
      </x:c>
      <x:c r="O73" s="24" t="str">
        <x:v>Cup palm by moving fifth metacarpal toward thumb.</x:v>
      </x:c>
      <x:c r="P73" s="24" t="str">
        <x:v>None</x:v>
      </x:c>
      <x:c r="Q73" s="24" t="str">
        <x:v>1–2 × 5–10 controlled reps</x:v>
      </x:c>
      <x:c r="R73" s="24" t="str">
        <x:v>Progress gradually; stop with sharp pain, dizziness, or numbness.</x:v>
      </x:c>
      <x:c r="S73" s="24" t="str">
        <x:v>https://www.acsm.org/education-resources/trending-topics-resources/physical-activity-guidelines</x:v>
      </x:c>
      <x:c r="T73" s="24" t="str">
        <x:v>Anatomy-based mapping</x:v>
      </x:c>
    </x:row>
    <x:row r="74" ht="54" customHeight="1">
      <x:c r="A74" s="24" t="str">
        <x:v>EX0091</x:v>
      </x:c>
      <x:c r="B74" s="24" t="str">
        <x:v>Little finger abduction with elastic</x:v>
      </x:c>
      <x:c r="C74" s="24" t="str">
        <x:v>Hand &amp; Fingers</x:v>
      </x:c>
      <x:c r="D74" s="24" t="str">
        <x:v>Home</x:v>
      </x:c>
      <x:c r="E74" s="24" t="str">
        <x:v>Band strength</x:v>
      </x:c>
      <x:c r="F74" s="24" t="str">
        <x:v>Abductor digiti minimi (hand)</x:v>
      </x:c>
      <x:c r="G74" s="24" t="str">
        <x:v>Dorsal interosseous 1 (index); Dorsal interosseous 2 (middle radial); Dorsal interosseous 3 (middle ulnar); Dorsal interosseous 4 (ring); Dorsal interosseous 1 (foot); Dorsal interosseous 2 (foot); Dorsal interosseous 3 (foot); Dorsal interosseous 4 (foot)</x:v>
      </x:c>
      <x:c r="H74" s="24" t="str">
        <x:v>—</x:v>
      </x:c>
      <x:c r="I74" s="24" t="str">
        <x:v>—</x:v>
      </x:c>
      <x:c r="J74" s="24" t="str">
        <x:v>Abductor digiti minimi (hand); Dorsal interosseous 1 (index); Dorsal interosseous 2 (middle radial); Dorsal interosseous 3 (middle ulnar); Dorsal interosseous 4 (ring); Dorsal interosseous 1 (foot); Dorsal interosseous 2 (foot); Dorsal interosseous 3 (foot); Dorsal interosseous 4 (foot)</x:v>
      </x:c>
      <x:c r="K74" s="24" t="str">
        <x:v>Abductor digiti minimi tendon</x:v>
      </x:c>
      <x:c r="L74" s="24" t="str">
        <x:v>Digital collateral ligaments, volar plates and flexor tendon pulleys protect joints/tendons; NOT stretch targets</x:v>
      </x:c>
      <x:c r="M74" s="24" t="str">
        <x:v>Muscles: Abductor digiti minimi (hand); Dorsal interosseous 1 (index); Dorsal interosseous 2 (middle radial); Dorsal interosseous 3 (middle ulnar); Dorsal interosseous 4 (ring); Dorsal interosseous 1 (foot); Dorsal interosseous 2 (foot); Dorsal interosseous 3 (foot); Dorsal interosseous 4 (foot) | Tendons/fascia: Abductor digiti minimi tendon | Ligament context only: Digital collateral ligaments, volar plates and flexor tendon pulleys protect joints/tendons; NOT stretch targets</x:v>
      </x:c>
      <x:c r="N74" s="24" t="str">
        <x:v>Abductor digiti minimi (hand); Dorsal interosseous 1 (index); Dorsal interosseous 2 (middle radial); Dorsal interosseous 3 (middle ulnar); Dorsal interosseous 4 (ring); Dorsal interosseous 1 (foot); Dorsal interosseous 2 (foot); Dorsal interosseous 3 (foot); Dorsal interosseous 4 (foot)</x:v>
      </x:c>
      <x:c r="O74" s="24" t="str">
        <x:v>Move fifth digit sideways against gentle loop.</x:v>
      </x:c>
      <x:c r="P74" s="24" t="str">
        <x:v>Light elastic</x:v>
      </x:c>
      <x:c r="Q74" s="24" t="str">
        <x:v>2–3 × 8–12 controlled reps</x:v>
      </x:c>
      <x:c r="R74" s="24" t="str">
        <x:v>Progress gradually; stop with sharp pain, dizziness, or numbness.</x:v>
      </x:c>
      <x:c r="S74" s="24" t="str">
        <x:v>https://www.acsm.org/education-resources/trending-topics-resources/physical-activity-guidelines</x:v>
      </x:c>
      <x:c r="T74" s="24" t="str">
        <x:v>Anatomy-based mapping</x:v>
      </x:c>
    </x:row>
    <x:row r="75" ht="54" customHeight="1">
      <x:c r="A75" s="24" t="str">
        <x:v>EX0092</x:v>
      </x:c>
      <x:c r="B75" s="24" t="str">
        <x:v>Palmaris brevis hypothenar skin tension</x:v>
      </x:c>
      <x:c r="C75" s="24" t="str">
        <x:v>Hand &amp; Fingers</x:v>
      </x:c>
      <x:c r="D75" s="24" t="str">
        <x:v>Home</x:v>
      </x:c>
      <x:c r="E75" s="24" t="str">
        <x:v>Motor control</x:v>
      </x:c>
      <x:c r="F75" s="24" t="str">
        <x:v>Palmaris brevis</x:v>
      </x:c>
      <x:c r="G75" s="24" t="str">
        <x:v>Abductor digiti minimi (hand); Flexor digiti minimi brevis (hand); Opponens digiti minimi</x:v>
      </x:c>
      <x:c r="H75" s="24" t="str">
        <x:v>—</x:v>
      </x:c>
      <x:c r="I75" s="24" t="str">
        <x:v>—</x:v>
      </x:c>
      <x:c r="J75" s="24" t="str">
        <x:v>Palmaris brevis; Abductor digiti minimi (hand); Flexor digiti minimi brevis (hand); Opponens digiti minimi</x:v>
      </x:c>
      <x:c r="K75" s="24" t="str">
        <x:v>Palmar aponeurosis</x:v>
      </x:c>
      <x:c r="L75" s="24" t="str">
        <x:v>Digital collateral ligaments, volar plates and flexor tendon pulleys protect joints/tendons; NOT stretch targets</x:v>
      </x:c>
      <x:c r="M75" s="24" t="str">
        <x:v>Muscles: Palmaris brevis; Abductor digiti minimi (hand); Flexor digiti minimi brevis (hand); Opponens digiti minimi | Tendons/fascia: Palmar aponeurosis | Ligament context only: Digital collateral ligaments, volar plates and flexor tendon pulleys protect joints/tendons; NOT stretch targets</x:v>
      </x:c>
      <x:c r="N75" s="24" t="str">
        <x:v>Low-load activation, not ordinarily to fatigue: Palmaris brevis</x:v>
      </x:c>
      <x:c r="O75" s="24" t="str">
        <x:v>Gently cup ulnar palm and wrinkle skin of hypothenar pad.</x:v>
      </x:c>
      <x:c r="P75" s="24" t="str">
        <x:v>None</x:v>
      </x:c>
      <x:c r="Q75" s="24" t="str">
        <x:v>1–2 × 5–10 controlled reps</x:v>
      </x:c>
      <x:c r="R75" s="24" t="str">
        <x:v>Progress gradually; stop with sharp pain, dizziness, or numbness.</x:v>
      </x:c>
      <x:c r="S75" s="24" t="str">
        <x:v>https://www.acsm.org/education-resources/trending-topics-resources/physical-activity-guidelines</x:v>
      </x:c>
      <x:c r="T75" s="24" t="str">
        <x:v>Anatomy-based mapping</x:v>
      </x:c>
    </x:row>
    <x:row r="76" ht="54" customHeight="1">
      <x:c r="A76" s="24" t="str">
        <x:v>EX0093</x:v>
      </x:c>
      <x:c r="B76" s="24" t="str">
        <x:v>Finger flexor tendon glide series</x:v>
      </x:c>
      <x:c r="C76" s="24" t="str">
        <x:v>Hand &amp; Fingers</x:v>
      </x:c>
      <x:c r="D76" s="24" t="str">
        <x:v>Home</x:v>
      </x:c>
      <x:c r="E76" s="24" t="str">
        <x:v>Mobility</x:v>
      </x:c>
      <x:c r="F76" s="24" t="str">
        <x:v>Flexor digitorum superficialis humeroulnar head; Flexor digitorum superficialis radial head; Flexor digitorum profundus lateral portion (digits 2-3); Flexor digitorum profundus medial portion (digits 4-5); Lumbrical 1 (index); Lumbrical 2 (middle); Lumbrical 3 (ring); Lumbrical 4 (little)</x:v>
      </x:c>
      <x:c r="G76" s="24" t="str">
        <x:v>Extensor digitorum; Extensor indicis; Extensor digiti minimi</x:v>
      </x:c>
      <x:c r="H76" s="24" t="str">
        <x:v>—</x:v>
      </x:c>
      <x:c r="I76" s="24" t="str">
        <x:v>Flexor digitorum superficialis humeroulnar head; Flexor digitorum superficialis radial head; Flexor digitorum profundus lateral portion (digits 2-3); Flexor digitorum profundus medial portion (digits 4-5)</x:v>
      </x:c>
      <x:c r="J76" s="24" t="str">
        <x:v>Flexor digitorum superficialis humeroulnar head; Flexor digitorum superficialis radial head; Flexor digitorum profundus lateral portion (digits 2-3); Flexor digitorum profundus medial portion (digits 4-5); Lumbrical 1 (index); Lumbrical 2 (middle); Lumbrical 3 (ring); Lumbrical 4 (little); Extensor digitorum; Extensor indicis; Extensor digiti minimi</x:v>
      </x:c>
      <x:c r="K76" s="24" t="str">
        <x:v>FDS/FDP tendon glide under annular pulleys</x:v>
      </x:c>
      <x:c r="L76" s="24" t="str">
        <x:v>A1–A5 annular pulleys retain tendons; do not forcibly stretch</x:v>
      </x:c>
      <x:c r="M76" s="24" t="str">
        <x:v>Muscles: Flexor digitorum superficialis humeroulnar head; Flexor digitorum superficialis radial head; Flexor digitorum profundus lateral portion (digits 2-3); Flexor digitorum profundus medial portion (digits 4-5); Lumbrical 1 (index); Lumbrical 2 (middle); Lumbrical 3 (ring); Lumbrical 4 (little); Extensor digitorum; Extensor indicis; Extensor digiti minimi | Tendons/fascia: FDS/FDP tendon glide under annular pulleys | Ligament context only: A1–A5 annular pulleys retain tendons; do not forcibly stretch</x:v>
      </x:c>
      <x:c r="N76" s="24" t="str">
        <x:v>Usually none expected (stretch, mobility or relaxation; any active movers are low-load)</x:v>
      </x:c>
      <x:c r="O76" s="24" t="str">
        <x:v>Cycle straight hand, hook fist, tabletop, full fist, straight fist without pain.</x:v>
      </x:c>
      <x:c r="P76" s="24" t="str">
        <x:v>None</x:v>
      </x:c>
      <x:c r="Q76" s="24" t="str">
        <x:v>1–2 × 5–10 controlled reps</x:v>
      </x:c>
      <x:c r="R76" s="24" t="str">
        <x:v>Progress gradually; stop with sharp pain, dizziness, or numbness.</x:v>
      </x:c>
      <x:c r="S76" s="24" t="str">
        <x:v>https://www.acsm.org/education-resources/trending-topics-resources/physical-activity-guidelines</x:v>
      </x:c>
      <x:c r="T76" s="24" t="str">
        <x:v>Anatomy-based mapping</x:v>
      </x:c>
    </x:row>
    <x:row r="77" ht="54" customHeight="1">
      <x:c r="A77" s="24" t="str">
        <x:v>EX0094</x:v>
      </x:c>
      <x:c r="B77" s="24" t="str">
        <x:v>Gentle finger extension stretch</x:v>
      </x:c>
      <x:c r="C77" s="24" t="str">
        <x:v>Hand &amp; Fingers</x:v>
      </x:c>
      <x:c r="D77" s="24" t="str">
        <x:v>Home</x:v>
      </x:c>
      <x:c r="E77" s="24" t="str">
        <x:v>Passive stretch</x:v>
      </x:c>
      <x:c r="F77" s="24" t="str">
        <x:v>—</x:v>
      </x:c>
      <x:c r="G77" s="24" t="str">
        <x:v>—</x:v>
      </x:c>
      <x:c r="H77" s="24" t="str">
        <x:v>—</x:v>
      </x:c>
      <x:c r="I77" s="24" t="str">
        <x:v>Flexor digitorum superficialis humeroulnar head; Flexor digitorum superficialis radial head; Flexor digitorum profundus lateral portion (digits 2-3); Flexor digitorum profundus medial portion (digits 4-5); Lumbrical 1 (index); Lumbrical 2 (middle); Lumbrical 3 (ring); Lumbrical 4 (little)</x:v>
      </x:c>
      <x:c r="J77" s="24" t="str">
        <x:v>Flexor digitorum superficialis humeroulnar head; Flexor digitorum superficialis radial head; Flexor digitorum profundus lateral portion (digits 2-3); Flexor digitorum profundus medial portion (digits 4-5); Lumbrical 1 (index); Lumbrical 2 (middle); Lumbrical 3 (ring); Lumbrical 4 (little)</x:v>
      </x:c>
      <x:c r="K77" s="24" t="str">
        <x:v>FDS/FDP tendon stretch</x:v>
      </x:c>
      <x:c r="L77" s="24" t="str">
        <x:v>Avoid intentional collateral or volar plate stretching</x:v>
      </x:c>
      <x:c r="M77" s="24" t="str">
        <x:v>Muscles: Flexor digitorum superficialis humeroulnar head; Flexor digitorum superficialis radial head; Flexor digitorum profundus lateral portion (digits 2-3); Flexor digitorum profundus medial portion (digits 4-5); Lumbrical 1 (index); Lumbrical 2 (middle); Lumbrical 3 (ring); Lumbrical 4 (little) | Tendons/fascia: FDS/FDP tendon stretch | Ligament context only: Avoid intentional collateral or volar plate stretching</x:v>
      </x:c>
      <x:c r="N77" s="24" t="str">
        <x:v>Usually none expected (stretch, mobility or relaxation; any active movers are low-load)</x:v>
      </x:c>
      <x:c r="O77" s="24" t="str">
        <x:v>Extend digits gently with the other hand; stop before joint hyperextension.</x:v>
      </x:c>
      <x:c r="P77" s="24" t="str">
        <x:v>None</x:v>
      </x:c>
      <x:c r="Q77" s="24" t="str">
        <x:v>2–3 × 8–12 controlled reps</x:v>
      </x:c>
      <x:c r="R77" s="24" t="str">
        <x:v>Progress gradually; stop with sharp pain, dizziness, or numbness.</x:v>
      </x:c>
      <x:c r="S77" s="24" t="str">
        <x:v>https://www.acsm.org/education-resources/trending-topics-resources/physical-activity-guidelines</x:v>
      </x:c>
      <x:c r="T77" s="24" t="str">
        <x:v>Anatomy-based mapping</x:v>
      </x:c>
    </x:row>
    <x:row r="78" ht="54" customHeight="1">
      <x:c r="A78" s="24" t="str">
        <x:v>EX0095</x:v>
      </x:c>
      <x:c r="B78" s="24" t="str">
        <x:v>Thumb web-space stretch</x:v>
      </x:c>
      <x:c r="C78" s="24" t="str">
        <x:v>Hand &amp; Fingers</x:v>
      </x:c>
      <x:c r="D78" s="24" t="str">
        <x:v>Home</x:v>
      </x:c>
      <x:c r="E78" s="24" t="str">
        <x:v>Passive stretch</x:v>
      </x:c>
      <x:c r="F78" s="24" t="str">
        <x:v>—</x:v>
      </x:c>
      <x:c r="G78" s="24" t="str">
        <x:v>—</x:v>
      </x:c>
      <x:c r="H78" s="24" t="str">
        <x:v>—</x:v>
      </x:c>
      <x:c r="I78" s="24" t="str">
        <x:v>Adductor pollicis oblique head; Adductor pollicis transverse head; Opponens pollicis</x:v>
      </x:c>
      <x:c r="J78" s="24" t="str">
        <x:v>Adductor pollicis oblique head; Adductor pollicis transverse head; Opponens pollicis</x:v>
      </x:c>
      <x:c r="K78" s="24" t="str">
        <x:v>Adductor pollicis tendon</x:v>
      </x:c>
      <x:c r="L78" s="24" t="str">
        <x:v>Thumb MCP collateral ligaments should not be stressed</x:v>
      </x:c>
      <x:c r="M78" s="24" t="str">
        <x:v>Muscles: Adductor pollicis oblique head; Adductor pollicis transverse head; Opponens pollicis | Tendons/fascia: Adductor pollicis tendon | Ligament context only: Thumb MCP collateral ligaments should not be stressed</x:v>
      </x:c>
      <x:c r="N78" s="24" t="str">
        <x:v>Usually none expected (stretch, mobility or relaxation; any active movers are low-load)</x:v>
      </x:c>
      <x:c r="O78" s="24" t="str">
        <x:v>Open thumb–index web-space gently; avoid pushing thumb joint sideways.</x:v>
      </x:c>
      <x:c r="P78" s="24" t="str">
        <x:v>None</x:v>
      </x:c>
      <x:c r="Q78" s="24" t="str">
        <x:v>2–3 × 8–12 controlled reps</x:v>
      </x:c>
      <x:c r="R78" s="24" t="str">
        <x:v>Progress gradually; stop with sharp pain, dizziness, or numbness.</x:v>
      </x:c>
      <x:c r="S78" s="24" t="str">
        <x:v>https://www.acsm.org/education-resources/trending-topics-resources/physical-activity-guidelines</x:v>
      </x:c>
      <x:c r="T78" s="24" t="str">
        <x:v>Anatomy-based mapping</x:v>
      </x:c>
    </x:row>
    <x:row r="79" ht="54" customHeight="1">
      <x:c r="A79" s="24" t="str">
        <x:v>EX0099</x:v>
      </x:c>
      <x:c r="B79" s="24" t="str">
        <x:v>Rice-bucket finger extension / spread</x:v>
      </x:c>
      <x:c r="C79" s="24" t="str">
        <x:v>Hand &amp; Fingers</x:v>
      </x:c>
      <x:c r="D79" s="24" t="str">
        <x:v>Home</x:v>
      </x:c>
      <x:c r="E79" s="24" t="str">
        <x:v>Isolation strength</x:v>
      </x:c>
      <x:c r="F79" s="24" t="str">
        <x:v>Extensor digitorum; Extensor indicis; Extensor digiti minimi;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Abductor digiti minimi (hand); Flexor digiti minimi brevis (hand); Opponens digiti minimi; Palmaris brevis</x:v>
      </x:c>
      <x:c r="G79" s="24" t="str">
        <x:v>Abductor pollicis brevis; Flexor pollicis brevis deep head; Flexor pollicis brevis superficial head; Opponens pollicis; Adductor pollicis oblique head; Adductor pollicis transverse head</x:v>
      </x:c>
      <x:c r="H79" s="24" t="str">
        <x:v>Extensor carpi ulnaris; Extensor carpi radialis brevis; Extensor carpi radialis longus</x:v>
      </x:c>
      <x:c r="I79" s="24" t="str">
        <x:v>—</x:v>
      </x:c>
      <x:c r="J79" s="24" t="str">
        <x:v>Extensor digitorum; Extensor indicis; Extensor digiti minimi;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Abductor digiti minimi (hand); Flexor digiti minimi brevis (hand); Opponens digiti minimi; Palmaris brevis; Abductor pollicis brevis; Flexor pollicis brevis deep head; Flexor pollicis brevis superficial head; Opponens pollicis; Adductor pollicis oblique head; Adductor pollicis transverse head; Extensor carpi ulnaris; Extensor carpi radialis brevis; Extensor carpi radialis longus</x:v>
      </x:c>
      <x:c r="K79" s="24" t="str">
        <x:v>Finger extensor tendons</x:v>
      </x:c>
      <x:c r="L79" s="24" t="str">
        <x:v>Digital collateral ligaments, volar plates and flexor tendon pulleys protect joints/tendons; NOT stretch targets</x:v>
      </x:c>
      <x:c r="M79" s="24" t="str">
        <x:v>Muscles: Extensor digitorum; Extensor indicis; Extensor digiti minimi;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Abductor digiti minimi (hand); Flexor digiti minimi brevis (hand); Opponens digiti minimi; Palmaris brevis; Abductor pollicis brevis; Flexor pollicis brevis deep head; Flexor pollicis brevis superficial head; Opponens pollicis; Adductor pollicis oblique head; Adductor pollicis transverse head; Extensor carpi ulnaris; Extensor carpi radialis brevis; Extensor carpi radialis longus | Tendons/fascia: Finger extensor tendons | Ligament context only: Digital collateral ligaments, volar plates and flexor tendon pulleys protect joints/tendons; NOT stretch targets</x:v>
      </x:c>
      <x:c r="N79" s="24" t="str">
        <x:v>Extensor digitorum; Extensor indicis; Extensor digiti minimi;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Abductor digiti minimi (hand); Flexor digiti minimi brevis (hand); Opponens digiti minimi; Palmaris brevis; Abductor pollicis brevis; Flexor pollicis brevis deep head; Flexor pollicis brevis superficial head; Opponens pollicis; Adductor pollicis oblique head; Adductor pollicis transverse head</x:v>
      </x:c>
      <x:c r="O79" s="24" t="str">
        <x:v>Open/spread hand slowly within rice against comfortable resistance.</x:v>
      </x:c>
      <x:c r="P79" s="24" t="str">
        <x:v>Container of dry rice</x:v>
      </x:c>
      <x:c r="Q79" s="24" t="str">
        <x:v>2–3 × 8–12 controlled reps</x:v>
      </x:c>
      <x:c r="R79" s="24" t="str">
        <x:v>Progress gradually; stop with sharp pain, dizziness, or numbness.</x:v>
      </x:c>
      <x:c r="S79" s="24" t="str">
        <x:v>https://www.acsm.org/education-resources/trending-topics-resources/physical-activity-guidelines</x:v>
      </x:c>
      <x:c r="T79" s="24" t="str">
        <x:v>Anatomy-based mapping</x:v>
      </x:c>
    </x:row>
    <x:row r="80" ht="54" customHeight="1">
      <x:c r="A80" s="24" t="str">
        <x:v>EX0100</x:v>
      </x:c>
      <x:c r="B80" s="24" t="str">
        <x:v>Rice-bucket finger flexion / grip</x:v>
      </x:c>
      <x:c r="C80" s="24" t="str">
        <x:v>Hand &amp; Fingers</x:v>
      </x:c>
      <x:c r="D80" s="24" t="str">
        <x:v>Home</x:v>
      </x:c>
      <x:c r="E80" s="24" t="str">
        <x:v>Isolation strength</x:v>
      </x:c>
      <x:c r="F80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G80" s="24" t="str">
        <x:v>—</x:v>
      </x:c>
      <x:c r="H80" s="24" t="str">
        <x:v>Extensor carpi ulnaris; Extensor carpi radialis brevis; Extensor carpi radialis longus</x:v>
      </x:c>
      <x:c r="I80" s="24" t="str">
        <x:v>—</x:v>
      </x:c>
      <x:c r="J80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carpi ulnaris; Extensor carpi radialis brevis; Extensor carpi radialis longus</x:v>
      </x:c>
      <x:c r="K80" s="24" t="str">
        <x:v>FDS/FDP tendons</x:v>
      </x:c>
      <x:c r="L80" s="24" t="str">
        <x:v>Digital collateral ligaments, volar plates and flexor tendon pulleys protect joints/tendons; NOT stretch targets</x:v>
      </x:c>
      <x:c r="M80" s="24" t="str">
        <x:v>Muscles: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carpi ulnaris; Extensor carpi radialis brevis; Extensor carpi radialis longus | Tendons/fascia: FDS/FDP tendons | Ligament context only: Digital collateral ligaments, volar plates and flexor tendon pulleys protect joints/tendons; NOT stretch targets</x:v>
      </x:c>
      <x:c r="N80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O80" s="24" t="str">
        <x:v>Close hand into rice and open with control.</x:v>
      </x:c>
      <x:c r="P80" s="24" t="str">
        <x:v>Container of dry rice</x:v>
      </x:c>
      <x:c r="Q80" s="24" t="str">
        <x:v>2–3 × 8–12 controlled reps</x:v>
      </x:c>
      <x:c r="R80" s="24" t="str">
        <x:v>Progress gradually; stop with sharp pain, dizziness, or numbness.</x:v>
      </x:c>
      <x:c r="S80" s="24" t="str">
        <x:v>https://www.acsm.org/education-resources/trending-topics-resources/physical-activity-guidelines</x:v>
      </x:c>
      <x:c r="T80" s="24" t="str">
        <x:v>Anatomy-based mapping</x:v>
      </x:c>
    </x:row>
    <x:row r="81" ht="54" customHeight="1">
      <x:c r="A81" s="24" t="str">
        <x:v>EX0101</x:v>
      </x:c>
      <x:c r="B81" s="24" t="str">
        <x:v>Digit-by-digit towel drag</x:v>
      </x:c>
      <x:c r="C81" s="24" t="str">
        <x:v>Hand &amp; Fingers</x:v>
      </x:c>
      <x:c r="D81" s="24" t="str">
        <x:v>Home</x:v>
      </x:c>
      <x:c r="E81" s="24" t="str">
        <x:v>Motor control</x:v>
      </x:c>
      <x:c r="F81" s="24" t="str">
        <x:v>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digitorum superficialis humeroulnar head; Flexor digitorum superficialis radial head; Flexor digitorum profundus lateral portion (digits 2-3); Flexor digitorum profundus medial portion (digits 4-5)</x:v>
      </x:c>
      <x:c r="G81" s="24" t="str">
        <x:v>—</x:v>
      </x:c>
      <x:c r="H81" s="24" t="str">
        <x:v>Flexor carpi radialis; Flexor carpi ulnaris humeral head; Flexor carpi ulnaris ulnar head; Palmaris longus</x:v>
      </x:c>
      <x:c r="I81" s="24" t="str">
        <x:v>—</x:v>
      </x:c>
      <x:c r="J81" s="24" t="str">
        <x:v>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digitorum superficialis humeroulnar head; Flexor digitorum superficialis radial head; Flexor digitorum profundus lateral portion (digits 2-3); Flexor digitorum profundus medial portion (digits 4-5); Flexor carpi radialis; Flexor carpi ulnaris humeral head; Flexor carpi ulnaris ulnar head; Palmaris longus</x:v>
      </x:c>
      <x:c r="K81" s="24" t="str">
        <x:v>Digital flexor tendons</x:v>
      </x:c>
      <x:c r="L81" s="24" t="str">
        <x:v>Digital collateral ligaments, volar plates and flexor tendon pulleys protect joints/tendons; NOT stretch targets</x:v>
      </x:c>
      <x:c r="M81" s="24" t="str">
        <x:v>Muscles: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digitorum superficialis humeroulnar head; Flexor digitorum superficialis radial head; Flexor digitorum profundus lateral portion (digits 2-3); Flexor digitorum profundus medial portion (digits 4-5); Flexor carpi radialis; Flexor carpi ulnaris humeral head; Flexor carpi ulnaris ulnar head; Palmaris longus | Tendons/fascia: Digital flexor tendons | Ligament context only: Digital collateral ligaments, volar plates and flexor tendon pulleys protect joints/tendons; NOT stretch targets</x:v>
      </x:c>
      <x:c r="N81" s="24" t="str">
        <x:v>Low-load activation, not ordinarily to fatigue: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digitorum superficialis humeroulnar head; Flexor digitorum superficialis radial head; Flexor digitorum profundus lateral portion (digits 2-3); Flexor digitorum profundus medial portion (digits 4-5)</x:v>
      </x:c>
      <x:c r="O81" s="24" t="str">
        <x:v>Use individual fingers to gather cloth, keeping wrist relaxed.</x:v>
      </x:c>
      <x:c r="P81" s="24" t="str">
        <x:v>Towel</x:v>
      </x:c>
      <x:c r="Q81" s="24" t="str">
        <x:v>1–2 × 5–10 controlled reps</x:v>
      </x:c>
      <x:c r="R81" s="24" t="str">
        <x:v>Progress gradually; stop with sharp pain, dizziness, or numbness.</x:v>
      </x:c>
      <x:c r="S81" s="24" t="str">
        <x:v>https://www.acsm.org/education-resources/trending-topics-resources/physical-activity-guidelines</x:v>
      </x:c>
      <x:c r="T81" s="24" t="str">
        <x:v>Anatomy-based mapping</x:v>
      </x:c>
    </x:row>
    <x:row r="82" ht="54" customHeight="1">
      <x:c r="A82" s="24" t="str">
        <x:v>EX0102</x:v>
      </x:c>
      <x:c r="B82" s="24" t="str">
        <x:v>Bodyweight glute bridge</x:v>
      </x:c>
      <x:c r="C82" s="24" t="str">
        <x:v>Hip &amp; Gluteal</x:v>
      </x:c>
      <x:c r="D82" s="24" t="str">
        <x:v>Home</x:v>
      </x:c>
      <x:c r="E82" s="24" t="str">
        <x:v>Compound strength</x:v>
      </x:c>
      <x:c r="F82" s="24" t="str">
        <x:v>Gluteus maximus</x:v>
      </x:c>
      <x:c r="G82" s="24" t="str">
        <x:v>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82" s="24" t="str">
        <x:v>Rectus abdominis; External oblique; Internal oblique; Transversus abdominis; Gluteus medius; Gluteus minimus; Tensor fasciae latae</x:v>
      </x:c>
      <x:c r="I82" s="24" t="str">
        <x:v>—</x:v>
      </x:c>
      <x:c r="J82" s="24" t="str">
        <x:v>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Gluteus medius; Gluteus minimus; Tensor fasciae latae</x:v>
      </x:c>
      <x:c r="K82" s="24" t="str">
        <x:v>Gluteus maximus tendon; proximal hamstring origin</x:v>
      </x:c>
      <x:c r="L82" s="24" t="str">
        <x:v>Iliofemoral, ischiofemoral, pubofemoral ligaments stabilize hip passively; NOT stretched deliberately</x:v>
      </x:c>
      <x:c r="M82" s="24" t="str">
        <x:v>Muscles: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Gluteus medius; Gluteus minimus; Tensor fasciae latae | Tendons/fascia: Gluteus maximus tendon; proximal hamstring origin | Ligament context only: Iliofemoral, ischiofemoral, pubofemoral ligaments stabilize hip passively; NOT stretched deliberately</x:v>
      </x:c>
      <x:c r="N82" s="24" t="str">
        <x:v>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82" s="24" t="str">
        <x:v>Feet flat; drive hips up without arching lumbar spine.</x:v>
      </x:c>
      <x:c r="P82" s="24" t="str">
        <x:v>Mat</x:v>
      </x:c>
      <x:c r="Q82" s="24" t="str">
        <x:v>2–3 × 8–12 controlled reps</x:v>
      </x:c>
      <x:c r="R82" s="24" t="str">
        <x:v>Progress gradually; stop with sharp pain, dizziness, or numbness.</x:v>
      </x:c>
      <x:c r="S82" s="24" t="str">
        <x:v>https://orthoinfo.aaos.org/globalassets/pdfs/hip-conditioning-rehab-program-2025.pdf</x:v>
      </x:c>
      <x:c r="T82" s="24" t="str">
        <x:v>Anatomy-based mapping</x:v>
      </x:c>
    </x:row>
    <x:row r="83" ht="54" customHeight="1">
      <x:c r="A83" s="24" t="str">
        <x:v>EX0103</x:v>
      </x:c>
      <x:c r="B83" s="24" t="str">
        <x:v>Single-leg glute bridge</x:v>
      </x:c>
      <x:c r="C83" s="24" t="str">
        <x:v>Hip &amp; Gluteal</x:v>
      </x:c>
      <x:c r="D83" s="24" t="str">
        <x:v>Home</x:v>
      </x:c>
      <x:c r="E83" s="24" t="str">
        <x:v>Compound strength</x:v>
      </x:c>
      <x:c r="F83" s="24" t="str">
        <x:v>Gluteus maximus</x:v>
      </x:c>
      <x:c r="G83" s="24" t="str">
        <x:v>Biceps femoris long head; Biceps femoris short head; Semimembranosus; Semitendinosus</x:v>
      </x:c>
      <x:c r="H83" s="24" t="str">
        <x:v>Rectus abdominis; External oblique; Internal oblique; Transversus abdominis; Gluteus medius; Gluteus minimus; Tensor fasciae latae</x:v>
      </x:c>
      <x:c r="I83" s="24" t="str">
        <x:v>—</x:v>
      </x:c>
      <x:c r="J83" s="24" t="str">
        <x:v>Gluteus maximus; Biceps femoris long head; Biceps femoris short head; Semimembranosus; Semitendinosus; Rectus abdominis; External oblique; Internal oblique; Transversus abdominis; Gluteus medius; Gluteus minimus; Tensor fasciae latae</x:v>
      </x:c>
      <x:c r="K83" s="24" t="str">
        <x:v>Atlas-listed tendon/aponeurosis examples: Iliotibial tract aponeurosis and gluteal tendon; Common hamstring proximal tendon; distal biceps tendon; Common biceps femoris distal tendon; Broad proximal membrane; distal semimembranosus tendon; additional listed attachments</x:v>
      </x:c>
      <x:c r="L83" s="24" t="str">
        <x:v>Iliofemoral, ischiofemoral, pubofemoral ligaments stabilize hip passively; NOT stretched deliberately</x:v>
      </x:c>
      <x:c r="M83" s="24" t="str">
        <x:v>Muscles: Gluteus maximus; Biceps femoris long head; Biceps femoris short head; Semimembranosus; Semitendinosus; Rectus abdominis; External oblique; Internal oblique; Transversus abdominis; Gluteus medius; Gluteus minimus; Tensor fasciae latae | Tendons/fascia: Atlas-listed tendon/aponeurosis examples: Iliotibial tract aponeurosis and gluteal tendon; Common hamstring proximal tendon; distal biceps tendon; Common biceps femoris distal tendon; Broad proximal membrane; distal semimembranosus tendon; additional listed attachments | Ligament context only: Iliofemoral, ischiofemoral, pubofemoral ligaments stabilize hip passively; NOT stretched deliberately</x:v>
      </x:c>
      <x:c r="N83" s="24" t="str">
        <x:v>Gluteus maximus; Biceps femoris long head; Biceps femoris short head; Semimembranosus; Semitendinosus</x:v>
      </x:c>
      <x:c r="O83" s="24" t="str">
        <x:v>One foot grounded; lift hips evenly without pelvic twist.</x:v>
      </x:c>
      <x:c r="P83" s="24" t="str">
        <x:v>Mat</x:v>
      </x:c>
      <x:c r="Q83" s="24" t="str">
        <x:v>2–3 × 8–12 controlled reps</x:v>
      </x:c>
      <x:c r="R83" s="24" t="str">
        <x:v>Progress gradually; stop with sharp pain, dizziness, or numbness.</x:v>
      </x:c>
      <x:c r="S83" s="24" t="str">
        <x:v>https://orthoinfo.aaos.org/globalassets/pdfs/hip-conditioning-rehab-program-2025.pdf</x:v>
      </x:c>
      <x:c r="T83" s="24" t="str">
        <x:v>Anatomy-based mapping</x:v>
      </x:c>
    </x:row>
    <x:row r="84" ht="54" customHeight="1">
      <x:c r="A84" s="24" t="str">
        <x:v>EX0104</x:v>
      </x:c>
      <x:c r="B84" s="24" t="str">
        <x:v>Banded glute bridge with abduction</x:v>
      </x:c>
      <x:c r="C84" s="24" t="str">
        <x:v>Hip &amp; Gluteal</x:v>
      </x:c>
      <x:c r="D84" s="24" t="str">
        <x:v>Home</x:v>
      </x:c>
      <x:c r="E84" s="24" t="str">
        <x:v>Band strength</x:v>
      </x:c>
      <x:c r="F84" s="24" t="str">
        <x:v>Gluteus maximus; Gluteus medius; Gluteus minimus; Tensor fasciae latae</x:v>
      </x:c>
      <x:c r="G84" s="24" t="str">
        <x:v>Biceps femoris long head; Biceps femoris short head; Semimembranosus; Semitendinosus</x:v>
      </x:c>
      <x:c r="H84" s="24" t="str">
        <x:v>Rectus abdominis; External oblique; Internal oblique; Transversus abdominis</x:v>
      </x:c>
      <x:c r="I84" s="24" t="str">
        <x:v>—</x:v>
      </x:c>
      <x:c r="J84" s="24" t="str">
        <x:v>Gluteus maximus; Gluteus medius; Gluteus minimus; Tensor fasciae latae; Biceps femoris long head; Biceps femoris short head; Semimembranosus; Semitendinosus; Rectus abdominis; External oblique; Internal oblique; Transversus abdominis</x:v>
      </x:c>
      <x:c r="K84" s="24" t="str">
        <x:v>Atlas-listed tendon/aponeurosis examples: Iliotibial tract aponeurosis and gluteal tendon; Gluteus medius tendon; Gluteus minimus tendon and joint-capsule expansions; Iliotibial tract (fascial thickening); additional listed attachments</x:v>
      </x:c>
      <x:c r="L84" s="24" t="str">
        <x:v>Iliofemoral, ischiofemoral, pubofemoral ligaments stabilize hip passively; NOT stretched deliberately</x:v>
      </x:c>
      <x:c r="M84" s="24" t="str">
        <x:v>Muscles: Gluteus maximus; Gluteus medius; Gluteus minimus; Tensor fasciae latae; Biceps femoris long head; Biceps femoris short head; Semimembranosus; Semitendinosus; Rectus abdominis; External oblique; Internal oblique; Transversus abdominis | Tendons/fascia: Atlas-listed tendon/aponeurosis examples: Iliotibial tract aponeurosis and gluteal tendon; Gluteus medius tendon; Gluteus minimus tendon and joint-capsule expansions; Iliotibial tract (fascial thickening); additional listed attachments | Ligament context only: Iliofemoral, ischiofemoral, pubofemoral ligaments stabilize hip passively; NOT stretched deliberately</x:v>
      </x:c>
      <x:c r="N84" s="24" t="str">
        <x:v>Gluteus maximus; Gluteus medius; Gluteus minimus; Tensor fasciae latae; Biceps femoris long head; Biceps femoris short head; Semimembranosus; Semitendinosus</x:v>
      </x:c>
      <x:c r="O84" s="24" t="str">
        <x:v>Band above knees; bridge while keeping knees aligned against elastic.</x:v>
      </x:c>
      <x:c r="P84" s="24" t="str">
        <x:v>Miniband</x:v>
      </x:c>
      <x:c r="Q84" s="24" t="str">
        <x:v>2–3 × 8–12 controlled reps</x:v>
      </x:c>
      <x:c r="R84" s="24" t="str">
        <x:v>Progress gradually; stop with sharp pain, dizziness, or numbness.</x:v>
      </x:c>
      <x:c r="S84" s="24" t="str">
        <x:v>https://orthoinfo.aaos.org/globalassets/pdfs/hip-conditioning-rehab-program-2025.pdf</x:v>
      </x:c>
      <x:c r="T84" s="24" t="str">
        <x:v>Anatomy-based mapping</x:v>
      </x:c>
    </x:row>
    <x:row r="85" ht="54" customHeight="1">
      <x:c r="A85" s="24" t="str">
        <x:v>EX0107</x:v>
      </x:c>
      <x:c r="B85" s="24" t="str">
        <x:v>Quadruped bent-knee donkey kick</x:v>
      </x:c>
      <x:c r="C85" s="24" t="str">
        <x:v>Hip &amp; Gluteal</x:v>
      </x:c>
      <x:c r="D85" s="24" t="str">
        <x:v>Home</x:v>
      </x:c>
      <x:c r="E85" s="24" t="str">
        <x:v>Isolation strength</x:v>
      </x:c>
      <x:c r="F85" s="24" t="str">
        <x:v>Gluteus maximus</x:v>
      </x:c>
      <x:c r="G85" s="24" t="str">
        <x:v>Biceps femoris long head; Biceps femoris short head; Semimembranosus; Semitendinosus</x:v>
      </x:c>
      <x:c r="H85" s="24" t="str">
        <x:v>Rectus abdominis; External oblique; Internal oblique; Transversus abdominis; Gluteus medius; Gluteus minimus; Tensor fasciae latae</x:v>
      </x:c>
      <x:c r="I85" s="24" t="str">
        <x:v>—</x:v>
      </x:c>
      <x:c r="J85" s="24" t="str">
        <x:v>Gluteus maximus; Biceps femoris long head; Biceps femoris short head; Semimembranosus; Semitendinosus; Rectus abdominis; External oblique; Internal oblique; Transversus abdominis; Gluteus medius; Gluteus minimus; Tensor fasciae latae</x:v>
      </x:c>
      <x:c r="K85" s="24" t="str">
        <x:v>Atlas-listed tendon/aponeurosis examples: Iliotibial tract aponeurosis and gluteal tendon; Common hamstring proximal tendon; distal biceps tendon; Common biceps femoris distal tendon; Broad proximal membrane; distal semimembranosus tendon; additional listed attachments</x:v>
      </x:c>
      <x:c r="L85" s="24" t="str">
        <x:v>Iliofemoral, ischiofemoral, pubofemoral ligaments stabilize hip passively; NOT stretched deliberately</x:v>
      </x:c>
      <x:c r="M85" s="24" t="str">
        <x:v>Muscles: Gluteus maximus; Biceps femoris long head; Biceps femoris short head; Semimembranosus; Semitendinosus; Rectus abdominis; External oblique; Internal oblique; Transversus abdominis; Gluteus medius; Gluteus minimus; Tensor fasciae latae | Tendons/fascia: Atlas-listed tendon/aponeurosis examples: Iliotibial tract aponeurosis and gluteal tendon; Common hamstring proximal tendon; distal biceps tendon; Common biceps femoris distal tendon; Broad proximal membrane; distal semimembranosus tendon; additional listed attachments | Ligament context only: Iliofemoral, ischiofemoral, pubofemoral ligaments stabilize hip passively; NOT stretched deliberately</x:v>
      </x:c>
      <x:c r="N85" s="24" t="str">
        <x:v>Gluteus maximus; Biceps femoris long head; Biceps femoris short head; Semimembranosus; Semitendinosus</x:v>
      </x:c>
      <x:c r="O85" s="24" t="str">
        <x:v>With knee bent, press heel upward keeping pelvis level.</x:v>
      </x:c>
      <x:c r="P85" s="24" t="str">
        <x:v>Mat</x:v>
      </x:c>
      <x:c r="Q85" s="24" t="str">
        <x:v>2–3 × 8–12 controlled reps</x:v>
      </x:c>
      <x:c r="R85" s="24" t="str">
        <x:v>Progress gradually; stop with sharp pain, dizziness, or numbness.</x:v>
      </x:c>
      <x:c r="S85" s="24" t="str">
        <x:v>https://orthoinfo.aaos.org/globalassets/pdfs/hip-conditioning-rehab-program-2025.pdf</x:v>
      </x:c>
      <x:c r="T85" s="24" t="str">
        <x:v>Anatomy-based mapping</x:v>
      </x:c>
    </x:row>
    <x:row r="86" ht="54" customHeight="1">
      <x:c r="A86" s="24" t="str">
        <x:v>EX0108</x:v>
      </x:c>
      <x:c r="B86" s="24" t="str">
        <x:v>Side-lying hip abduction</x:v>
      </x:c>
      <x:c r="C86" s="24" t="str">
        <x:v>Hip &amp; Gluteal</x:v>
      </x:c>
      <x:c r="D86" s="24" t="str">
        <x:v>Home</x:v>
      </x:c>
      <x:c r="E86" s="24" t="str">
        <x:v>Isolation strength</x:v>
      </x:c>
      <x:c r="F86" s="24" t="str">
        <x:v>Gluteus medius; Gluteus minimus; Tensor fasciae latae</x:v>
      </x:c>
      <x:c r="G86" s="24" t="str">
        <x:v>—</x:v>
      </x:c>
      <x:c r="H86" s="24" t="str">
        <x:v>Rectus abdominis; External oblique; Internal oblique; Transversus abdominis</x:v>
      </x:c>
      <x:c r="I86" s="24" t="str">
        <x:v>—</x:v>
      </x:c>
      <x:c r="J86" s="24" t="str">
        <x:v>Gluteus medius; Gluteus minimus; Tensor fasciae latae; Rectus abdominis; External oblique; Internal oblique; Transversus abdominis</x:v>
      </x:c>
      <x:c r="K86" s="24" t="str">
        <x:v>Gluteus medius/minimus tendons</x:v>
      </x:c>
      <x:c r="L86" s="24" t="str">
        <x:v>Iliofemoral, ischiofemoral, pubofemoral ligaments stabilize hip passively; NOT stretched deliberately</x:v>
      </x:c>
      <x:c r="M86" s="24" t="str">
        <x:v>Muscles: Gluteus medius; Gluteus minimus; Tensor fasciae latae; Rectus abdominis; External oblique; Internal oblique; Transversus abdominis | Tendons/fascia: Gluteus medius/minimus tendons | Ligament context only: Iliofemoral, ischiofemoral, pubofemoral ligaments stabilize hip passively; NOT stretched deliberately</x:v>
      </x:c>
      <x:c r="N86" s="24" t="str">
        <x:v>Gluteus medius; Gluteus minimus; Tensor fasciae latae</x:v>
      </x:c>
      <x:c r="O86" s="24" t="str">
        <x:v>Top leg straight slightly behind body; raise without rotating hip upward.</x:v>
      </x:c>
      <x:c r="P86" s="24" t="str">
        <x:v>Mat</x:v>
      </x:c>
      <x:c r="Q86" s="24" t="str">
        <x:v>2–3 × 8–12 controlled reps</x:v>
      </x:c>
      <x:c r="R86" s="24" t="str">
        <x:v>Progress gradually; stop with sharp pain, dizziness, or numbness.</x:v>
      </x:c>
      <x:c r="S86" s="24" t="str">
        <x:v>https://orthoinfo.aaos.org/globalassets/pdfs/hip-conditioning-rehab-program-2025.pdf</x:v>
      </x:c>
      <x:c r="T86" s="24" t="str">
        <x:v>Anatomy-based mapping</x:v>
      </x:c>
    </x:row>
    <x:row r="87" ht="54" customHeight="1">
      <x:c r="A87" s="24" t="str">
        <x:v>EX0109</x:v>
      </x:c>
      <x:c r="B87" s="24" t="str">
        <x:v>Standing band lateral walk</x:v>
      </x:c>
      <x:c r="C87" s="24" t="str">
        <x:v>Hip &amp; Gluteal</x:v>
      </x:c>
      <x:c r="D87" s="24" t="str">
        <x:v>Home</x:v>
      </x:c>
      <x:c r="E87" s="24" t="str">
        <x:v>Band strength</x:v>
      </x:c>
      <x:c r="F87" s="24" t="str">
        <x:v>Gluteus medius; Gluteus minimus; Tensor fasciae latae</x:v>
      </x:c>
      <x:c r="G87" s="24" t="str">
        <x:v>Gluteus maximus</x:v>
      </x:c>
      <x:c r="H87" s="24" t="str">
        <x:v>Rectus abdominis; External oblique; Internal oblique; Transversus abdominis; Vastus intermedius; Vastus lateralis; Vastus medialis; Rectus femoris reflected head; Rectus femoris straight head</x:v>
      </x:c>
      <x:c r="I87" s="24" t="str">
        <x:v>—</x:v>
      </x:c>
      <x:c r="J87" s="24" t="str">
        <x:v>Gluteus medius; Gluteus minimus; Tensor fasciae latae; Gluteus maximus; Rectus abdominis; External oblique; Internal oblique; Transversus abdominis; Vastus intermedius; Vastus lateralis; Vastus medialis; Rectus femoris reflected head; Rectus femoris straight head</x:v>
      </x:c>
      <x:c r="K87" s="24" t="str">
        <x:v>Gluteus medius/minimus insertion tendons</x:v>
      </x:c>
      <x:c r="L87" s="24" t="str">
        <x:v>Iliofemoral, ischiofemoral, pubofemoral ligaments stabilize hip passively; NOT stretched deliberately</x:v>
      </x:c>
      <x:c r="M87" s="24" t="str">
        <x:v>Muscles: Gluteus medius; Gluteus minimus; Tensor fasciae latae; Gluteus maximus; Rectus abdominis; External oblique; Internal oblique; Transversus abdominis; Vastus intermedius; Vastus lateralis; Vastus medialis; Rectus femoris reflected head; Rectus femoris straight head | Tendons/fascia: Gluteus medius/minimus insertion tendons | Ligament context only: Iliofemoral, ischiofemoral, pubofemoral ligaments stabilize hip passively; NOT stretched deliberately</x:v>
      </x:c>
      <x:c r="N87" s="24" t="str">
        <x:v>Gluteus medius; Gluteus minimus; Tensor fasciae latae; Gluteus maximus</x:v>
      </x:c>
      <x:c r="O87" s="24" t="str">
        <x:v>Band around knees/ankles; take small controlled side steps.</x:v>
      </x:c>
      <x:c r="P87" s="24" t="str">
        <x:v>Miniband</x:v>
      </x:c>
      <x:c r="Q87" s="24" t="str">
        <x:v>2–3 × 8–12 controlled reps</x:v>
      </x:c>
      <x:c r="R87" s="24" t="str">
        <x:v>Progress gradually; stop with sharp pain, dizziness, or numbness.</x:v>
      </x:c>
      <x:c r="S87" s="24" t="str">
        <x:v>https://orthoinfo.aaos.org/globalassets/pdfs/hip-conditioning-rehab-program-2025.pdf</x:v>
      </x:c>
      <x:c r="T87" s="24" t="str">
        <x:v>Anatomy-based mapping</x:v>
      </x:c>
    </x:row>
    <x:row r="88" ht="54" customHeight="1">
      <x:c r="A88" s="24" t="str">
        <x:v>EX0110</x:v>
      </x:c>
      <x:c r="B88" s="24" t="str">
        <x:v>Monster walk with resistance band</x:v>
      </x:c>
      <x:c r="C88" s="24" t="str">
        <x:v>Hip &amp; Gluteal</x:v>
      </x:c>
      <x:c r="D88" s="24" t="str">
        <x:v>Home</x:v>
      </x:c>
      <x:c r="E88" s="24" t="str">
        <x:v>Band strength</x:v>
      </x:c>
      <x:c r="F88" s="24" t="str">
        <x:v>Gluteus medius; Gluteus minimus; Tensor fasciae latae; Gluteus maximus</x:v>
      </x:c>
      <x:c r="G88" s="24" t="str">
        <x:v>Vastus intermedius; Vastus lateralis; Vastus medialis; Rectus femoris reflected head; Rectus femoris straight head</x:v>
      </x:c>
      <x:c r="H88" s="24" t="str">
        <x:v>Rectus abdominis; External oblique; Internal oblique; Transversus abdominis</x:v>
      </x:c>
      <x:c r="I88" s="24" t="str">
        <x:v>—</x:v>
      </x:c>
      <x:c r="J88" s="24" t="str">
        <x:v>Gluteus medius; Gluteus minimus; Tensor fasciae latae; Gluteus maximus; Vastus intermedius; Vastus lateralis; Vastus medialis; Rectus femoris reflected head; Rectus femoris straight head; Rectus abdominis; External oblique; Internal oblique; Transversus abdominis</x:v>
      </x:c>
      <x:c r="K88" s="24" t="str">
        <x:v>Atlas-listed tendon/aponeurosis examples: Gluteus medius tendon; Gluteus minimus tendon and joint-capsule expansions; Iliotibial tract (fascial thickening); Iliotibial tract aponeurosis and gluteal tendon; additional listed attachments</x:v>
      </x:c>
      <x:c r="L88" s="24" t="str">
        <x:v>Iliofemoral, ischiofemoral, pubofemoral ligaments stabilize hip passively; NOT stretched deliberately</x:v>
      </x:c>
      <x:c r="M88" s="24" t="str">
        <x:v>Muscles: Gluteus medius; Gluteus minimus; Tensor fasciae latae; Gluteus maximus; Vastus intermedius; Vastus lateralis; Vastus medialis; Rectus femoris reflected head; Rectus femoris straight head; Rectus abdominis; External oblique; Internal oblique; Transversus abdominis | Tendons/fascia: Atlas-listed tendon/aponeurosis examples: Gluteus medius tendon; Gluteus minimus tendon and joint-capsule expansions; Iliotibial tract (fascial thickening); Iliotibial tract aponeurosis and gluteal tendon; additional listed attachments | Ligament context only: Iliofemoral, ischiofemoral, pubofemoral ligaments stabilize hip passively; NOT stretched deliberately</x:v>
      </x:c>
      <x:c r="N88" s="24" t="str">
        <x:v>Gluteus medius; Gluteus minimus; Tensor fasciae latae; Gluteus maximus; Vastus intermedius; Vastus lateralis; Vastus medialis; Rectus femoris reflected head; Rectus femoris straight head</x:v>
      </x:c>
      <x:c r="O88" s="24" t="str">
        <x:v>Maintain small squat, step diagonally forward and backward.</x:v>
      </x:c>
      <x:c r="P88" s="24" t="str">
        <x:v>Miniband</x:v>
      </x:c>
      <x:c r="Q88" s="24" t="str">
        <x:v>2–3 × 8–12 controlled reps</x:v>
      </x:c>
      <x:c r="R88" s="24" t="str">
        <x:v>Progress gradually; stop with sharp pain, dizziness, or numbness.</x:v>
      </x:c>
      <x:c r="S88" s="24" t="str">
        <x:v>https://orthoinfo.aaos.org/globalassets/pdfs/hip-conditioning-rehab-program-2025.pdf</x:v>
      </x:c>
      <x:c r="T88" s="24" t="str">
        <x:v>Anatomy-based mapping</x:v>
      </x:c>
    </x:row>
    <x:row r="89" ht="54" customHeight="1">
      <x:c r="A89" s="24" t="str">
        <x:v>EX0113</x:v>
      </x:c>
      <x:c r="B89" s="24" t="str">
        <x:v>Clamshell with resistance band</x:v>
      </x:c>
      <x:c r="C89" s="24" t="str">
        <x:v>Hip &amp; Gluteal</x:v>
      </x:c>
      <x:c r="D89" s="24" t="str">
        <x:v>Home</x:v>
      </x:c>
      <x:c r="E89" s="24" t="str">
        <x:v>Band strength</x:v>
      </x:c>
      <x:c r="F89" s="24" t="str">
        <x:v>Gluteus medius; Gluteus minimus; Tensor fasciae latae; Piriformis; Obturator internus; Obturator externus; Superior gemellus; Inferior gemellus; Quadratus femoris</x:v>
      </x:c>
      <x:c r="G89" s="24" t="str">
        <x:v>—</x:v>
      </x:c>
      <x:c r="H89" s="24" t="str">
        <x:v>Rectus abdominis; External oblique; Internal oblique; Transversus abdominis</x:v>
      </x:c>
      <x:c r="I89" s="24" t="str">
        <x:v>—</x:v>
      </x:c>
      <x:c r="J89" s="24" t="str">
        <x:v>Gluteus medius; Gluteus minimus; Tensor fasciae latae; Piriformis; Obturator internus; Obturator externus; Superior gemellus; Inferior gemellus; Quadratus femoris; Rectus abdominis; External oblique; Internal oblique; Transversus abdominis</x:v>
      </x:c>
      <x:c r="K89" s="24" t="str">
        <x:v>Gluteus medius and deep rotator tendons</x:v>
      </x:c>
      <x:c r="L89" s="24" t="str">
        <x:v>Iliofemoral, ischiofemoral, pubofemoral ligaments stabilize hip passively; NOT stretched deliberately</x:v>
      </x:c>
      <x:c r="M89" s="24" t="str">
        <x:v>Muscles: Gluteus medius; Gluteus minimus; Tensor fasciae latae; Piriformis; Obturator internus; Obturator externus; Superior gemellus; Inferior gemellus; Quadratus femoris; Rectus abdominis; External oblique; Internal oblique; Transversus abdominis | Tendons/fascia: Gluteus medius and deep rotator tendons | Ligament context only: Iliofemoral, ischiofemoral, pubofemoral ligaments stabilize hip passively; NOT stretched deliberately</x:v>
      </x:c>
      <x:c r="N89" s="24" t="str">
        <x:v>Gluteus medius; Gluteus minimus; Tensor fasciae latae; Piriformis; Obturator internus; Obturator externus; Superior gemellus; Inferior gemellus; Quadratus femoris</x:v>
      </x:c>
      <x:c r="O89" s="24" t="str">
        <x:v>Lie on side hips/knees bent; open top knee without rolling pelvis.</x:v>
      </x:c>
      <x:c r="P89" s="24" t="str">
        <x:v>Miniband</x:v>
      </x:c>
      <x:c r="Q89" s="24" t="str">
        <x:v>2–3 × 8–12 controlled reps</x:v>
      </x:c>
      <x:c r="R89" s="24" t="str">
        <x:v>Progress gradually; stop with sharp pain, dizziness, or numbness.</x:v>
      </x:c>
      <x:c r="S89" s="24" t="str">
        <x:v>https://orthoinfo.aaos.org/globalassets/pdfs/hip-conditioning-rehab-program-2025.pdf</x:v>
      </x:c>
      <x:c r="T89" s="24" t="str">
        <x:v>Anatomy-based mapping</x:v>
      </x:c>
    </x:row>
    <x:row r="90" ht="54" customHeight="1">
      <x:c r="A90" s="24" t="str">
        <x:v>EX0114</x:v>
      </x:c>
      <x:c r="B90" s="24" t="str">
        <x:v>Side plank hip abduction</x:v>
      </x:c>
      <x:c r="C90" s="24" t="str">
        <x:v>Hip &amp; Gluteal</x:v>
      </x:c>
      <x:c r="D90" s="24" t="str">
        <x:v>Home</x:v>
      </x:c>
      <x:c r="E90" s="24" t="str">
        <x:v>Compound strength</x:v>
      </x:c>
      <x:c r="F90" s="24" t="str">
        <x:v>Gluteus medius; Gluteus minimus; Tensor fasciae latae</x:v>
      </x:c>
      <x:c r="G90" s="24" t="str">
        <x:v>External oblique; Internal oblique; Transversus abdominis</x:v>
      </x:c>
      <x:c r="H90" s="24" t="str">
        <x:v>Rectus abdominis</x:v>
      </x:c>
      <x:c r="I90" s="24" t="str">
        <x:v>—</x:v>
      </x:c>
      <x:c r="J90" s="24" t="str">
        <x:v>Gluteus medius; Gluteus minimus; Tensor fasciae latae; External oblique; Internal oblique; Transversus abdominis; Rectus abdominis</x:v>
      </x:c>
      <x:c r="K90" s="24" t="str">
        <x:v>Atlas-listed tendon/aponeurosis examples: Gluteus medius tendon; Gluteus minimus tendon and joint-capsule expansions; Iliotibial tract (fascial thickening); Broad external oblique aponeurosis; additional listed attachments</x:v>
      </x:c>
      <x:c r="L90" s="24" t="str">
        <x:v>Iliofemoral, ischiofemoral, pubofemoral ligaments stabilize hip passively; NOT stretched deliberately</x:v>
      </x:c>
      <x:c r="M90" s="24" t="str">
        <x:v>Muscles: Gluteus medius; Gluteus minimus; Tensor fasciae latae; External oblique; Internal oblique; Transversus abdominis; Rectus abdominis | Tendons/fascia: Atlas-listed tendon/aponeurosis examples: Gluteus medius tendon; Gluteus minimus tendon and joint-capsule expansions; Iliotibial tract (fascial thickening); Broad external oblique aponeurosis; additional listed attachments | Ligament context only: Iliofemoral, ischiofemoral, pubofemoral ligaments stabilize hip passively; NOT stretched deliberately</x:v>
      </x:c>
      <x:c r="N90" s="24" t="str">
        <x:v>Gluteus medius; Gluteus minimus; Tensor fasciae latae; External oblique; Internal oblique; Transversus abdominis</x:v>
      </x:c>
      <x:c r="O90" s="24" t="str">
        <x:v>In side plank, lift top leg a short distance without losing line.</x:v>
      </x:c>
      <x:c r="P90" s="24" t="str">
        <x:v>Mat</x:v>
      </x:c>
      <x:c r="Q90" s="24" t="str">
        <x:v>2–3 × 8–12 controlled reps</x:v>
      </x:c>
      <x:c r="R90" s="24" t="str">
        <x:v>Progress gradually; stop with sharp pain, dizziness, or numbness.</x:v>
      </x:c>
      <x:c r="S90" s="24" t="str">
        <x:v>https://orthoinfo.aaos.org/globalassets/pdfs/hip-conditioning-rehab-program-2025.pdf</x:v>
      </x:c>
      <x:c r="T90" s="24" t="str">
        <x:v>Anatomy-based mapping</x:v>
      </x:c>
    </x:row>
    <x:row r="91" ht="54" customHeight="1">
      <x:c r="A91" s="24" t="str">
        <x:v>EX0115</x:v>
      </x:c>
      <x:c r="B91" s="24" t="str">
        <x:v>Supported standing hip external rotation</x:v>
      </x:c>
      <x:c r="C91" s="24" t="str">
        <x:v>Hip &amp; Gluteal</x:v>
      </x:c>
      <x:c r="D91" s="24" t="str">
        <x:v>Home</x:v>
      </x:c>
      <x:c r="E91" s="24" t="str">
        <x:v>Band strength</x:v>
      </x:c>
      <x:c r="F91" s="24" t="str">
        <x:v>Piriformis; Obturator internus; Obturator externus; Superior gemellus; Inferior gemellus; Quadratus femoris</x:v>
      </x:c>
      <x:c r="G91" s="24" t="str">
        <x:v>Gluteus maximus</x:v>
      </x:c>
      <x:c r="H91" s="24" t="str">
        <x:v>Gluteus medius; Gluteus minimus; Tensor fasciae latae</x:v>
      </x:c>
      <x:c r="I91" s="24" t="str">
        <x:v>—</x:v>
      </x:c>
      <x:c r="J91" s="24" t="str">
        <x:v>Piriformis; Obturator internus; Obturator externus; Superior gemellus; Inferior gemellus; Quadratus femoris; Gluteus maximus; Gluteus medius; Gluteus minimus; Tensor fasciae latae</x:v>
      </x:c>
      <x:c r="K91" s="24" t="str">
        <x:v>Piriformis/obturator/gemelli/quadratus femoris tendons</x:v>
      </x:c>
      <x:c r="L91" s="24" t="str">
        <x:v>Iliofemoral, ischiofemoral, pubofemoral ligaments stabilize hip passively; NOT stretched deliberately</x:v>
      </x:c>
      <x:c r="M91" s="24" t="str">
        <x:v>Muscles: Piriformis; Obturator internus; Obturator externus; Superior gemellus; Inferior gemellus; Quadratus femoris; Gluteus maximus; Gluteus medius; Gluteus minimus; Tensor fasciae latae | Tendons/fascia: Piriformis/obturator/gemelli/quadratus femoris tendons | Ligament context only: Iliofemoral, ischiofemoral, pubofemoral ligaments stabilize hip passively; NOT stretched deliberately</x:v>
      </x:c>
      <x:c r="N91" s="24" t="str">
        <x:v>Piriformis; Obturator internus; Obturator externus; Superior gemellus; Inferior gemellus; Quadratus femoris; Gluteus maximus</x:v>
      </x:c>
      <x:c r="O91" s="24" t="str">
        <x:v>With hip stable, rotate thigh outward against light elastic.</x:v>
      </x:c>
      <x:c r="P91" s="24" t="str">
        <x:v>Light band</x:v>
      </x:c>
      <x:c r="Q91" s="24" t="str">
        <x:v>2–3 × 8–12 controlled reps</x:v>
      </x:c>
      <x:c r="R91" s="24" t="str">
        <x:v>Progress gradually; stop with sharp pain, dizziness, or numbness.</x:v>
      </x:c>
      <x:c r="S91" s="24" t="str">
        <x:v>https://orthoinfo.aaos.org/globalassets/pdfs/hip-conditioning-rehab-program-2025.pdf</x:v>
      </x:c>
      <x:c r="T91" s="24" t="str">
        <x:v>Anatomy-based mapping</x:v>
      </x:c>
    </x:row>
    <x:row r="92" ht="54" customHeight="1">
      <x:c r="A92" s="24" t="str">
        <x:v>EX0116</x:v>
      </x:c>
      <x:c r="B92" s="24" t="str">
        <x:v>Seated hip external rotation with light band</x:v>
      </x:c>
      <x:c r="C92" s="24" t="str">
        <x:v>Hip &amp; Gluteal</x:v>
      </x:c>
      <x:c r="D92" s="24" t="str">
        <x:v>Home</x:v>
      </x:c>
      <x:c r="E92" s="24" t="str">
        <x:v>Band strength</x:v>
      </x:c>
      <x:c r="F92" s="24" t="str">
        <x:v>Piriformis; Obturator internus; Obturator externus; Superior gemellus; Inferior gemellus; Quadratus femoris</x:v>
      </x:c>
      <x:c r="G92" s="24" t="str">
        <x:v>Gluteus maximus</x:v>
      </x:c>
      <x:c r="H92" s="24" t="str">
        <x:v>Gluteus medius; Gluteus minimus; Tensor fasciae latae</x:v>
      </x:c>
      <x:c r="I92" s="24" t="str">
        <x:v>—</x:v>
      </x:c>
      <x:c r="J92" s="24" t="str">
        <x:v>Piriformis; Obturator internus; Obturator externus; Superior gemellus; Inferior gemellus; Quadratus femoris; Gluteus maximus; Gluteus medius; Gluteus minimus; Tensor fasciae latae</x:v>
      </x:c>
      <x:c r="K92" s="24" t="str">
        <x:v>Atlas-listed tendon/aponeurosis examples: Piriformis insertion tendon; Tendon bends around lesser sciatic notch; Obturator externus tendon; Common tendon with obturator internus; additional listed attachments</x:v>
      </x:c>
      <x:c r="L92" s="24" t="str">
        <x:v>Iliofemoral, ischiofemoral, pubofemoral ligaments stabilize hip passively; NOT stretched deliberately</x:v>
      </x:c>
      <x:c r="M92" s="24" t="str">
        <x:v>Muscles: Piriformis; Obturator internus; Obturator externus; Superior gemellus; Inferior gemellus; Quadratus femoris; Gluteus maximus; Gluteus medius; Gluteus minimus; Tensor fasciae latae | Tendons/fascia: Atlas-listed tendon/aponeurosis examples: Piriformis insertion tendon; Tendon bends around lesser sciatic notch; Obturator externus tendon; Common tendon with obturator internus; additional listed attachments | Ligament context only: Iliofemoral, ischiofemoral, pubofemoral ligaments stabilize hip passively; NOT stretched deliberately</x:v>
      </x:c>
      <x:c r="N92" s="24" t="str">
        <x:v>Piriformis; Obturator internus; Obturator externus; Superior gemellus; Inferior gemellus; Quadratus femoris; Gluteus maximus</x:v>
      </x:c>
      <x:c r="O92" s="24" t="str">
        <x:v>Knee at 90°, move lower leg inward to externally rotate femur against band.</x:v>
      </x:c>
      <x:c r="P92" s="24" t="str">
        <x:v>Light band</x:v>
      </x:c>
      <x:c r="Q92" s="24" t="str">
        <x:v>2–3 × 8–12 controlled reps</x:v>
      </x:c>
      <x:c r="R92" s="24" t="str">
        <x:v>Progress gradually; stop with sharp pain, dizziness, or numbness.</x:v>
      </x:c>
      <x:c r="S92" s="24" t="str">
        <x:v>https://orthoinfo.aaos.org/globalassets/pdfs/hip-conditioning-rehab-program-2025.pdf</x:v>
      </x:c>
      <x:c r="T92" s="24" t="str">
        <x:v>Anatomy-based mapping</x:v>
      </x:c>
    </x:row>
    <x:row r="93" ht="54" customHeight="1">
      <x:c r="A93" s="24" t="str">
        <x:v>EX0117</x:v>
      </x:c>
      <x:c r="B93" s="24" t="str">
        <x:v>Hip internal rotation with band (seated)</x:v>
      </x:c>
      <x:c r="C93" s="24" t="str">
        <x:v>Hip &amp; Gluteal</x:v>
      </x:c>
      <x:c r="D93" s="24" t="str">
        <x:v>Home</x:v>
      </x:c>
      <x:c r="E93" s="24" t="str">
        <x:v>Band strength</x:v>
      </x:c>
      <x:c r="F93" s="24" t="str">
        <x:v>Gluteus minimus; Tensor fasciae latae; Gluteus medius</x:v>
      </x:c>
      <x:c r="G93" s="24" t="str">
        <x:v>—</x:v>
      </x:c>
      <x:c r="H93" s="24" t="str">
        <x:v>Piriformis; Obturator internus; Obturator externus; Superior gemellus; Inferior gemellus; Quadratus femoris</x:v>
      </x:c>
      <x:c r="I93" s="24" t="str">
        <x:v>—</x:v>
      </x:c>
      <x:c r="J93" s="24" t="str">
        <x:v>Gluteus minimus; Tensor fasciae latae; Gluteus medius; Piriformis; Obturator internus; Obturator externus; Superior gemellus; Inferior gemellus; Quadratus femoris</x:v>
      </x:c>
      <x:c r="K93" s="24" t="str">
        <x:v>Atlas-listed tendon/aponeurosis examples: Gluteus minimus tendon and joint-capsule expansions; Iliotibial tract (fascial thickening); Gluteus medius tendon</x:v>
      </x:c>
      <x:c r="L93" s="24" t="str">
        <x:v>Iliofemoral, ischiofemoral, pubofemoral ligaments stabilize hip passively; NOT stretched deliberately</x:v>
      </x:c>
      <x:c r="M93" s="24" t="str">
        <x:v>Muscles: Gluteus minimus; Tensor fasciae latae; Gluteus medius; Piriformis; Obturator internus; Obturator externus; Superior gemellus; Inferior gemellus; Quadratus femoris | Tendons/fascia: Atlas-listed tendon/aponeurosis examples: Gluteus minimus tendon and joint-capsule expansions; Iliotibial tract (fascial thickening); Gluteus medius tendon | Ligament context only: Iliofemoral, ischiofemoral, pubofemoral ligaments stabilize hip passively; NOT stretched deliberately</x:v>
      </x:c>
      <x:c r="N93" s="24" t="str">
        <x:v>Gluteus minimus; Tensor fasciae latae; Gluteus medius</x:v>
      </x:c>
      <x:c r="O93" s="24" t="str">
        <x:v>Keeping knee still, move foot outward to internally rotate femur.</x:v>
      </x:c>
      <x:c r="P93" s="24" t="str">
        <x:v>Light band</x:v>
      </x:c>
      <x:c r="Q93" s="24" t="str">
        <x:v>2–3 × 8–12 controlled reps</x:v>
      </x:c>
      <x:c r="R93" s="24" t="str">
        <x:v>Progress gradually; stop with sharp pain, dizziness, or numbness.</x:v>
      </x:c>
      <x:c r="S93" s="24" t="str">
        <x:v>https://orthoinfo.aaos.org/globalassets/pdfs/hip-conditioning-rehab-program-2025.pdf</x:v>
      </x:c>
      <x:c r="T93" s="24" t="str">
        <x:v>Anatomy-based mapping</x:v>
      </x:c>
    </x:row>
    <x:row r="94" ht="54" customHeight="1">
      <x:c r="A94" s="24" t="str">
        <x:v>EX0119</x:v>
      </x:c>
      <x:c r="B94" s="24" t="str">
        <x:v>Standing band hip flexion march</x:v>
      </x:c>
      <x:c r="C94" s="24" t="str">
        <x:v>Hip &amp; Gluteal</x:v>
      </x:c>
      <x:c r="D94" s="24" t="str">
        <x:v>Home</x:v>
      </x:c>
      <x:c r="E94" s="24" t="str">
        <x:v>Band strength</x:v>
      </x:c>
      <x:c r="F94" s="24" t="str">
        <x:v>Iliacus; Psoas major; Sartorius; Tensor fasciae latae; Rectus femoris reflected head; Rectus femoris straight head; Pectineus</x:v>
      </x:c>
      <x:c r="G94" s="24" t="str">
        <x:v>Rectus abdominis; External oblique; Internal oblique; Transversus abdominis</x:v>
      </x:c>
      <x:c r="H94" s="24" t="str">
        <x:v>Gluteus medius; Gluteus minimus</x:v>
      </x:c>
      <x:c r="I94" s="24" t="str">
        <x:v>—</x:v>
      </x:c>
      <x:c r="J94" s="24" t="str">
        <x:v>Iliacus; Psoas major; Sartorius; Tensor fasciae latae; Rectus femoris reflected head; Rectus femoris straight head; Pectineus; Rectus abdominis; External oblique; Internal oblique; Transversus abdominis; Gluteus medius; Gluteus minimus</x:v>
      </x:c>
      <x:c r="K94" s="24" t="str">
        <x:v>Atlas-listed tendon/aponeurosis examples: Iliopsoas shared tendon; Pes anserinus superficial tendon; Iliotibial tract (fascial thickening); Reflected proximal tendon; quadriceps tendon; additional listed attachments</x:v>
      </x:c>
      <x:c r="L94" s="24" t="str">
        <x:v>Iliofemoral, ischiofemoral, pubofemoral ligaments stabilize hip passively; NOT stretched deliberately</x:v>
      </x:c>
      <x:c r="M94" s="24" t="str">
        <x:v>Muscles: Iliacus; Psoas major; Sartorius; Tensor fasciae latae; Rectus femoris reflected head; Rectus femoris straight head; Pectineus; Rectus abdominis; External oblique; Internal oblique; Transversus abdominis; Gluteus medius; Gluteus minimus | Tendons/fascia: Atlas-listed tendon/aponeurosis examples: Iliopsoas shared tendon; Pes anserinus superficial tendon; Iliotibial tract (fascial thickening); Reflected proximal tendon; quadriceps tendon; additional listed attachments | Ligament context only: Iliofemoral, ischiofemoral, pubofemoral ligaments stabilize hip passively; NOT stretched deliberately</x:v>
      </x:c>
      <x:c r="N94" s="24" t="str">
        <x:v>Iliacus; Psoas major; Sartorius; Tensor fasciae latae; Rectus femoris reflected head; Rectus femoris straight head; Pectineus; Rectus abdominis; External oblique; Internal oblique; Transversus abdominis</x:v>
      </x:c>
      <x:c r="O94" s="24" t="str">
        <x:v>Anchor band behind ankle; drive knee upward without leaning back.</x:v>
      </x:c>
      <x:c r="P94" s="24" t="str">
        <x:v>Resistance band</x:v>
      </x:c>
      <x:c r="Q94" s="24" t="str">
        <x:v>2–3 × 8–12 controlled reps</x:v>
      </x:c>
      <x:c r="R94" s="24" t="str">
        <x:v>Progress gradually; stop with sharp pain, dizziness, or numbness.</x:v>
      </x:c>
      <x:c r="S94" s="24" t="str">
        <x:v>https://orthoinfo.aaos.org/globalassets/pdfs/hip-conditioning-rehab-program-2025.pdf</x:v>
      </x:c>
      <x:c r="T94" s="24" t="str">
        <x:v>Anatomy-based mapping</x:v>
      </x:c>
    </x:row>
    <x:row r="95" ht="54" customHeight="1">
      <x:c r="A95" s="24" t="str">
        <x:v>EX0120</x:v>
      </x:c>
      <x:c r="B95" s="24" t="str">
        <x:v>Supine straight-leg raise</x:v>
      </x:c>
      <x:c r="C95" s="24" t="str">
        <x:v>Hip &amp; Gluteal</x:v>
      </x:c>
      <x:c r="D95" s="24" t="str">
        <x:v>Home</x:v>
      </x:c>
      <x:c r="E95" s="24" t="str">
        <x:v>Isolation strength</x:v>
      </x:c>
      <x:c r="F95" s="24" t="str">
        <x:v>Iliacus; Psoas major; Sartorius; Tensor fasciae latae; Rectus femoris reflected head; Rectus femoris straight head; Pectineus; Vastus intermedius; Vastus lateralis; Vastus medialis</x:v>
      </x:c>
      <x:c r="G95" s="24" t="str">
        <x:v>—</x:v>
      </x:c>
      <x:c r="H95" s="24" t="str">
        <x:v>Rectus abdominis; External oblique; Internal oblique; Transversus abdominis</x:v>
      </x:c>
      <x:c r="I95" s="24" t="str">
        <x:v>—</x:v>
      </x:c>
      <x:c r="J95" s="24" t="str">
        <x:v>Iliacus; Psoas major; Sartorius; Tensor fasciae latae; Rectus femoris reflected head; Rectus femoris straight head; Pectineus; Vastus intermedius; Vastus lateralis; Vastus medialis; Rectus abdominis; External oblique; Internal oblique; Transversus abdominis</x:v>
      </x:c>
      <x:c r="K95" s="24" t="str">
        <x:v>Iliopsoas tendons; quadriceps tendon</x:v>
      </x:c>
      <x:c r="L95" s="24" t="str">
        <x:v>Iliofemoral, ischiofemoral, pubofemoral ligaments stabilize hip passively; NOT stretched deliberately</x:v>
      </x:c>
      <x:c r="M95" s="24" t="str">
        <x:v>Muscles: Iliacus; Psoas major; Sartorius; Tensor fasciae latae; Rectus femoris reflected head; Rectus femoris straight head; Pectineus; Vastus intermedius; Vastus lateralis; Vastus medialis; Rectus abdominis; External oblique; Internal oblique; Transversus abdominis | Tendons/fascia: Iliopsoas tendons; quadriceps tendon | Ligament context only: Iliofemoral, ischiofemoral, pubofemoral ligaments stabilize hip passively; NOT stretched deliberately</x:v>
      </x:c>
      <x:c r="N95" s="24" t="str">
        <x:v>Iliacus; Psoas major; Sartorius; Tensor fasciae latae; Rectus femoris reflected head; Rectus femoris straight head; Pectineus; Vastus intermedius; Vastus lateralis; Vastus medialis</x:v>
      </x:c>
      <x:c r="O95" s="24" t="str">
        <x:v>With knee straight and opposite knee bent, lift leg slowly to 45°.</x:v>
      </x:c>
      <x:c r="P95" s="24" t="str">
        <x:v>Mat</x:v>
      </x:c>
      <x:c r="Q95" s="24" t="str">
        <x:v>2–3 × 8–12 controlled reps</x:v>
      </x:c>
      <x:c r="R95" s="24" t="str">
        <x:v>Progress gradually; stop with sharp pain, dizziness, or numbness.</x:v>
      </x:c>
      <x:c r="S95" s="24" t="str">
        <x:v>https://orthoinfo.aaos.org/globalassets/pdfs/hip-conditioning-rehab-program-2025.pdf</x:v>
      </x:c>
      <x:c r="T95" s="24" t="str">
        <x:v>Anatomy-based mapping</x:v>
      </x:c>
    </x:row>
    <x:row r="96" ht="54" customHeight="1">
      <x:c r="A96" s="24" t="str">
        <x:v>EX0122</x:v>
      </x:c>
      <x:c r="B96" s="24" t="str">
        <x:v>Seated resisted hip flexion with band</x:v>
      </x:c>
      <x:c r="C96" s="24" t="str">
        <x:v>Hip &amp; Gluteal</x:v>
      </x:c>
      <x:c r="D96" s="24" t="str">
        <x:v>Home</x:v>
      </x:c>
      <x:c r="E96" s="24" t="str">
        <x:v>Band strength</x:v>
      </x:c>
      <x:c r="F96" s="24" t="str">
        <x:v>Iliacus; Psoas major; Sartorius</x:v>
      </x:c>
      <x:c r="G96" s="24" t="str">
        <x:v>Rectus femoris reflected head; Rectus femoris straight head</x:v>
      </x:c>
      <x:c r="H96" s="24" t="str">
        <x:v>Rectus abdominis; External oblique; Internal oblique; Transversus abdominis</x:v>
      </x:c>
      <x:c r="I96" s="24" t="str">
        <x:v>—</x:v>
      </x:c>
      <x:c r="J96" s="24" t="str">
        <x:v>Iliacus; Psoas major; Sartorius; Rectus femoris reflected head; Rectus femoris straight head; Rectus abdominis; External oblique; Internal oblique; Transversus abdominis</x:v>
      </x:c>
      <x:c r="K96" s="24" t="str">
        <x:v>Atlas-listed tendon/aponeurosis examples: Iliopsoas shared tendon; Pes anserinus superficial tendon; Reflected proximal tendon; quadriceps tendon; Quadriceps tendon; patellar ligament continuation</x:v>
      </x:c>
      <x:c r="L96" s="24" t="str">
        <x:v>Iliofemoral, ischiofemoral, pubofemoral ligaments stabilize hip passively; NOT stretched deliberately</x:v>
      </x:c>
      <x:c r="M96" s="24" t="str">
        <x:v>Muscles: Iliacus; Psoas major; Sartorius; Rectus femoris reflected head; Rectus femoris straight head; Rectus abdominis; External oblique; Internal oblique; Transversus abdominis | Tendons/fascia: Atlas-listed tendon/aponeurosis examples: Iliopsoas shared tendon; Pes anserinus superficial tendon; Reflected proximal tendon; quadriceps tendon; Quadriceps tendon; patellar ligament continuation | Ligament context only: Iliofemoral, ischiofemoral, pubofemoral ligaments stabilize hip passively; NOT stretched deliberately</x:v>
      </x:c>
      <x:c r="N96" s="24" t="str">
        <x:v>Iliacus; Psoas major; Sartorius; Rectus femoris reflected head; Rectus femoris straight head</x:v>
      </x:c>
      <x:c r="O96" s="24" t="str">
        <x:v>Lift bent knee from sitting against a low band gently.</x:v>
      </x:c>
      <x:c r="P96" s="24" t="str">
        <x:v>Band</x:v>
      </x:c>
      <x:c r="Q96" s="24" t="str">
        <x:v>2–3 × 8–12 controlled reps</x:v>
      </x:c>
      <x:c r="R96" s="24" t="str">
        <x:v>Progress gradually; stop with sharp pain, dizziness, or numbness.</x:v>
      </x:c>
      <x:c r="S96" s="24" t="str">
        <x:v>https://orthoinfo.aaos.org/globalassets/pdfs/hip-conditioning-rehab-program-2025.pdf</x:v>
      </x:c>
      <x:c r="T96" s="24" t="str">
        <x:v>Anatomy-based mapping</x:v>
      </x:c>
    </x:row>
    <x:row r="97" ht="54" customHeight="1">
      <x:c r="A97" s="24" t="str">
        <x:v>EX0123</x:v>
      </x:c>
      <x:c r="B97" s="24" t="str">
        <x:v>Standing hip hike on step</x:v>
      </x:c>
      <x:c r="C97" s="24" t="str">
        <x:v>Hip &amp; Gluteal</x:v>
      </x:c>
      <x:c r="D97" s="24" t="str">
        <x:v>Home</x:v>
      </x:c>
      <x:c r="E97" s="24" t="str">
        <x:v>Isolation strength</x:v>
      </x:c>
      <x:c r="F97" s="24" t="str">
        <x:v>Gluteus medius; Gluteus minimus; Quadratus lumborum</x:v>
      </x:c>
      <x:c r="G97" s="24" t="str">
        <x:v>—</x:v>
      </x:c>
      <x:c r="H97" s="24" t="str">
        <x:v>Rectus abdominis; External oblique; Internal oblique; Transversus abdominis</x:v>
      </x:c>
      <x:c r="I97" s="24" t="str">
        <x:v>—</x:v>
      </x:c>
      <x:c r="J97" s="24" t="str">
        <x:v>Gluteus medius; Gluteus minimus; Quadratus lumborum; Rectus abdominis; External oblique; Internal oblique; Transversus abdominis</x:v>
      </x:c>
      <x:c r="K97" s="24" t="str">
        <x:v>Atlas-listed tendon/aponeurosis examples: Gluteus medius tendon; Gluteus minimus tendon and joint-capsule expansions; Short aponeuroses to lumbar transverse processes</x:v>
      </x:c>
      <x:c r="L97" s="24" t="str">
        <x:v>Iliofemoral, ischiofemoral, pubofemoral ligaments stabilize hip passively; NOT stretched deliberately</x:v>
      </x:c>
      <x:c r="M97" s="24" t="str">
        <x:v>Muscles: Gluteus medius; Gluteus minimus; Quadratus lumborum; Rectus abdominis; External oblique; Internal oblique; Transversus abdominis | Tendons/fascia: Atlas-listed tendon/aponeurosis examples: Gluteus medius tendon; Gluteus minimus tendon and joint-capsule expansions; Short aponeuroses to lumbar transverse processes | Ligament context only: Iliofemoral, ischiofemoral, pubofemoral ligaments stabilize hip passively; NOT stretched deliberately</x:v>
      </x:c>
      <x:c r="N97" s="24" t="str">
        <x:v>Gluteus medius; Gluteus minimus; Quadratus lumborum</x:v>
      </x:c>
      <x:c r="O97" s="24" t="str">
        <x:v>Stand on step, lower free-side pelvis then raise using stance hip.</x:v>
      </x:c>
      <x:c r="P97" s="24" t="str">
        <x:v>Low stable step</x:v>
      </x:c>
      <x:c r="Q97" s="24" t="str">
        <x:v>2–3 × 8–12 controlled reps</x:v>
      </x:c>
      <x:c r="R97" s="24" t="str">
        <x:v>Progress gradually; stop with sharp pain, dizziness, or numbness.</x:v>
      </x:c>
      <x:c r="S97" s="24" t="str">
        <x:v>https://orthoinfo.aaos.org/globalassets/pdfs/hip-conditioning-rehab-program-2025.pdf</x:v>
      </x:c>
      <x:c r="T97" s="24" t="str">
        <x:v>Anatomy-based mapping</x:v>
      </x:c>
    </x:row>
    <x:row r="98" ht="54" customHeight="1">
      <x:c r="A98" s="24" t="str">
        <x:v>EX0124</x:v>
      </x:c>
      <x:c r="B98" s="24" t="str">
        <x:v>Isometric wall hip abduction press</x:v>
      </x:c>
      <x:c r="C98" s="24" t="str">
        <x:v>Hip &amp; Gluteal</x:v>
      </x:c>
      <x:c r="D98" s="24" t="str">
        <x:v>Home</x:v>
      </x:c>
      <x:c r="E98" s="24" t="str">
        <x:v>Isometric strength</x:v>
      </x:c>
      <x:c r="F98" s="24" t="str">
        <x:v>Gluteus medius; Gluteus minimus; Tensor fasciae latae</x:v>
      </x:c>
      <x:c r="G98" s="24" t="str">
        <x:v>—</x:v>
      </x:c>
      <x:c r="H98" s="24" t="str">
        <x:v>Rectus abdominis; External oblique; Internal oblique; Transversus abdominis</x:v>
      </x:c>
      <x:c r="I98" s="24" t="str">
        <x:v>—</x:v>
      </x:c>
      <x:c r="J98" s="24" t="str">
        <x:v>Gluteus medius; Gluteus minimus; Tensor fasciae latae; Rectus abdominis; External oblique; Internal oblique; Transversus abdominis</x:v>
      </x:c>
      <x:c r="K98" s="24" t="str">
        <x:v>Atlas-listed tendon/aponeurosis examples: Gluteus medius tendon; Gluteus minimus tendon and joint-capsule expansions; Iliotibial tract (fascial thickening)</x:v>
      </x:c>
      <x:c r="L98" s="24" t="str">
        <x:v>Iliofemoral, ischiofemoral, pubofemoral ligaments stabilize hip passively; NOT stretched deliberately</x:v>
      </x:c>
      <x:c r="M98" s="24" t="str">
        <x:v>Muscles: Gluteus medius; Gluteus minimus; Tensor fasciae latae; Rectus abdominis; External oblique; Internal oblique; Transversus abdominis | Tendons/fascia: Atlas-listed tendon/aponeurosis examples: Gluteus medius tendon; Gluteus minimus tendon and joint-capsule expansions; Iliotibial tract (fascial thickening) | Ligament context only: Iliofemoral, ischiofemoral, pubofemoral ligaments stabilize hip passively; NOT stretched deliberately</x:v>
      </x:c>
      <x:c r="N98" s="24" t="str">
        <x:v>Gluteus medius; Gluteus minimus; Tensor fasciae latae</x:v>
      </x:c>
      <x:c r="O98" s="24" t="str">
        <x:v>Side-on to wall; press outside of bent knee into wall while pelvis level.</x:v>
      </x:c>
      <x:c r="P98" s="24" t="str">
        <x:v>Wall</x:v>
      </x:c>
      <x:c r="Q98" s="24" t="str">
        <x:v>2–3 × 8–12 controlled reps</x:v>
      </x:c>
      <x:c r="R98" s="24" t="str">
        <x:v>Progress gradually; stop with sharp pain, dizziness, or numbness.</x:v>
      </x:c>
      <x:c r="S98" s="24" t="str">
        <x:v>https://orthoinfo.aaos.org/globalassets/pdfs/hip-conditioning-rehab-program-2025.pdf</x:v>
      </x:c>
      <x:c r="T98" s="24" t="str">
        <x:v>Anatomy-based mapping</x:v>
      </x:c>
    </x:row>
    <x:row r="99" ht="54" customHeight="1">
      <x:c r="A99" s="24" t="str">
        <x:v>EX0125</x:v>
      </x:c>
      <x:c r="B99" s="24" t="str">
        <x:v>Adductor ball squeeze</x:v>
      </x:c>
      <x:c r="C99" s="24" t="str">
        <x:v>Hip &amp; Gluteal</x:v>
      </x:c>
      <x:c r="D99" s="24" t="str">
        <x:v>Home</x:v>
      </x:c>
      <x:c r="E99" s="24" t="str">
        <x:v>Isometric strength</x:v>
      </x:c>
      <x:c r="F99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G99" s="24" t="str">
        <x:v>—</x:v>
      </x:c>
      <x:c r="H99" s="24" t="str">
        <x:v>Rectus abdominis; External oblique; Internal oblique; Transversus abdominis</x:v>
      </x:c>
      <x:c r="I99" s="24" t="str">
        <x:v>—</x:v>
      </x:c>
      <x:c r="J99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</x:v>
      </x:c>
      <x:c r="K99" s="24" t="str">
        <x:v>Adductor tendon origins</x:v>
      </x:c>
      <x:c r="L99" s="24" t="str">
        <x:v>Iliofemoral, ischiofemoral, pubofemoral ligaments stabilize hip passively; NOT stretched deliberately</x:v>
      </x:c>
      <x:c r="M99" s="24" t="str">
        <x:v>Muscles: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 | Tendons/fascia: Adductor tendon origins | Ligament context only: Iliofemoral, ischiofemoral, pubofemoral ligaments stabilize hip passively; NOT stretched deliberately</x:v>
      </x:c>
      <x:c r="N99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99" s="24" t="str">
        <x:v>Squeeze soft ball/pillow between knees for short comfortable hold.</x:v>
      </x:c>
      <x:c r="P99" s="24" t="str">
        <x:v>Pillow</x:v>
      </x:c>
      <x:c r="Q99" s="24" t="str">
        <x:v>2–3 × 8–12 controlled reps</x:v>
      </x:c>
      <x:c r="R99" s="24" t="str">
        <x:v>Progress gradually; stop with sharp pain, dizziness, or numbness.</x:v>
      </x:c>
      <x:c r="S99" s="24" t="str">
        <x:v>https://orthoinfo.aaos.org/globalassets/pdfs/hip-conditioning-rehab-program-2025.pdf</x:v>
      </x:c>
      <x:c r="T99" s="24" t="str">
        <x:v>Anatomy-based mapping</x:v>
      </x:c>
    </x:row>
    <x:row r="100" ht="54" customHeight="1">
      <x:c r="A100" s="24" t="str">
        <x:v>EX0126</x:v>
      </x:c>
      <x:c r="B100" s="24" t="str">
        <x:v>Side-lying adductor raise</x:v>
      </x:c>
      <x:c r="C100" s="24" t="str">
        <x:v>Hip &amp; Gluteal</x:v>
      </x:c>
      <x:c r="D100" s="24" t="str">
        <x:v>Home</x:v>
      </x:c>
      <x:c r="E100" s="24" t="str">
        <x:v>Isolation strength</x:v>
      </x:c>
      <x:c r="F100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G100" s="24" t="str">
        <x:v>—</x:v>
      </x:c>
      <x:c r="H100" s="24" t="str">
        <x:v>Rectus abdominis; External oblique; Internal oblique; Transversus abdominis</x:v>
      </x:c>
      <x:c r="I100" s="24" t="str">
        <x:v>—</x:v>
      </x:c>
      <x:c r="J100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</x:v>
      </x:c>
      <x:c r="K100" s="24" t="str">
        <x:v>Atlas-listed tendon/aponeurosis examples: Adductor tendon through ulnar sesamoid; Common adductor tendon; Broad short insertion; Short proximal tendon; additional listed attachments</x:v>
      </x:c>
      <x:c r="L100" s="24" t="str">
        <x:v>Iliofemoral, ischiofemoral, pubofemoral ligaments stabilize hip passively; NOT stretched deliberately</x:v>
      </x:c>
      <x:c r="M100" s="24" t="str">
        <x:v>Muscles: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 | Tendons/fascia: Atlas-listed tendon/aponeurosis examples: Adductor tendon through ulnar sesamoid; Common adductor tendon; Broad short insertion; Short proximal tendon; additional listed attachments | Ligament context only: Iliofemoral, ischiofemoral, pubofemoral ligaments stabilize hip passively; NOT stretched deliberately</x:v>
      </x:c>
      <x:c r="N100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00" s="24" t="str">
        <x:v>Top foot planted in front; lift bottom straight leg slowly.</x:v>
      </x:c>
      <x:c r="P100" s="24" t="str">
        <x:v>Mat</x:v>
      </x:c>
      <x:c r="Q100" s="24" t="str">
        <x:v>2–3 × 8–12 controlled reps</x:v>
      </x:c>
      <x:c r="R100" s="24" t="str">
        <x:v>Progress gradually; stop with sharp pain, dizziness, or numbness.</x:v>
      </x:c>
      <x:c r="S100" s="24" t="str">
        <x:v>https://orthoinfo.aaos.org/globalassets/pdfs/hip-conditioning-rehab-program-2025.pdf</x:v>
      </x:c>
      <x:c r="T100" s="24" t="str">
        <x:v>Anatomy-based mapping</x:v>
      </x:c>
    </x:row>
    <x:row r="101" ht="54" customHeight="1">
      <x:c r="A101" s="24" t="str">
        <x:v>EX0128</x:v>
      </x:c>
      <x:c r="B101" s="24" t="str">
        <x:v>Copenhagen adduction (short lever)</x:v>
      </x:c>
      <x:c r="C101" s="24" t="str">
        <x:v>Hip &amp; Gluteal</x:v>
      </x:c>
      <x:c r="D101" s="24" t="str">
        <x:v>Home</x:v>
      </x:c>
      <x:c r="E101" s="24" t="str">
        <x:v>Compound strength</x:v>
      </x:c>
      <x:c r="F101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G101" s="24" t="str">
        <x:v>External oblique; Internal oblique; Transversus abdominis</x:v>
      </x:c>
      <x:c r="H101" s="24" t="str">
        <x:v>Rectus abdominis; Gluteus medius; Gluteus minimus; Tensor fasciae latae</x:v>
      </x:c>
      <x:c r="I101" s="24" t="str">
        <x:v>—</x:v>
      </x:c>
      <x:c r="J101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External oblique; Internal oblique; Transversus abdominis; Rectus abdominis; Gluteus medius; Gluteus minimus; Tensor fasciae latae</x:v>
      </x:c>
      <x:c r="K101" s="24" t="str">
        <x:v>Proximal adductor tendons</x:v>
      </x:c>
      <x:c r="L101" s="24" t="str">
        <x:v>Iliofemoral, ischiofemoral, pubofemoral ligaments stabilize hip passively; NOT stretched deliberately</x:v>
      </x:c>
      <x:c r="M101" s="24" t="str">
        <x:v>Muscles: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External oblique; Internal oblique; Transversus abdominis; Rectus abdominis; Gluteus medius; Gluteus minimus; Tensor fasciae latae | Tendons/fascia: Proximal adductor tendons | Ligament context only: Iliofemoral, ischiofemoral, pubofemoral ligaments stabilize hip passively; NOT stretched deliberately</x:v>
      </x:c>
      <x:c r="N101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External oblique; Internal oblique; Transversus abdominis</x:v>
      </x:c>
      <x:c r="O101" s="24" t="str">
        <x:v>Top knee supported on sturdy bench, bottom hip lifts; use short lever.</x:v>
      </x:c>
      <x:c r="P101" s="24" t="str">
        <x:v>Stable bench</x:v>
      </x:c>
      <x:c r="Q101" s="24" t="str">
        <x:v>2–3 × 8–12 controlled reps</x:v>
      </x:c>
      <x:c r="R101" s="24" t="str">
        <x:v>Advanced; increase very gradually with no groin pain.</x:v>
      </x:c>
      <x:c r="S101" s="24" t="str">
        <x:v>https://orthoinfo.aaos.org/globalassets/pdfs/hip-conditioning-rehab-program-2025.pdf</x:v>
      </x:c>
      <x:c r="T101" s="24" t="str">
        <x:v>Anatomy-based mapping</x:v>
      </x:c>
    </x:row>
    <x:row r="102" ht="54" customHeight="1">
      <x:c r="A102" s="24" t="str">
        <x:v>EX0130</x:v>
      </x:c>
      <x:c r="B102" s="24" t="str">
        <x:v>Single-leg hip hinge wall tap</x:v>
      </x:c>
      <x:c r="C102" s="24" t="str">
        <x:v>Hip &amp; Gluteal</x:v>
      </x:c>
      <x:c r="D102" s="24" t="str">
        <x:v>Home</x:v>
      </x:c>
      <x:c r="E102" s="24" t="str">
        <x:v>Compound strength</x:v>
      </x:c>
      <x:c r="F102" s="24" t="str">
        <x:v>Biceps femoris long head; Biceps femoris short head; Semimembranosus; Semitendinosus; Gluteus maximus</x:v>
      </x:c>
      <x:c r="G102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H102" s="24" t="str">
        <x:v>Gluteus medius; Gluteus minimus; Tensor fasciae latae; Rectus abdominis; External oblique; Internal oblique; Transversus abdominis</x:v>
      </x:c>
      <x:c r="I102" s="24" t="str">
        <x:v>—</x:v>
      </x:c>
      <x:c r="J102" s="24" t="str">
        <x:v>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latae; Rectus abdominis; External oblique; Internal oblique; Transversus abdominis</x:v>
      </x:c>
      <x:c r="K102" s="24" t="str">
        <x:v>Atlas-listed tendon/aponeurosis examples: Common hamstring proximal tendon; distal biceps tendon; Common biceps femoris distal tendon; Broad proximal membrane; distal semimembranosus tendon; Long distal pes anserinus tendon; additional listed attachments</x:v>
      </x:c>
      <x:c r="L102" s="24" t="str">
        <x:v>Iliofemoral, ischiofemoral, pubofemoral ligaments stabilize hip passively; NOT stretched deliberately</x:v>
      </x:c>
      <x:c r="M102" s="24" t="str">
        <x:v>Muscles: 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latae; Rectus abdominis; External oblique; Internal oblique; Transversus abdominis | Tendons/fascia: Atlas-listed tendon/aponeurosis examples: Common hamstring proximal tendon; distal biceps tendon; Common biceps femoris distal tendon; Broad proximal membrane; distal semimembranosus tendon; Long distal pes anserinus tendon; additional listed attachments | Ligament context only: Iliofemoral, ischiofemoral, pubofemoral ligaments stabilize hip passively; NOT stretched deliberately</x:v>
      </x:c>
      <x:c r="N102" s="24" t="str">
        <x:v>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O102" s="24" t="str">
        <x:v>Balance on one leg and hinge until free foot lightly taps wall behind.</x:v>
      </x:c>
      <x:c r="P102" s="24" t="str">
        <x:v>Wall</x:v>
      </x:c>
      <x:c r="Q102" s="24" t="str">
        <x:v>2–3 × 8–12 controlled reps</x:v>
      </x:c>
      <x:c r="R102" s="24" t="str">
        <x:v>Progress gradually; stop with sharp pain, dizziness, or numbness.</x:v>
      </x:c>
      <x:c r="S102" s="24" t="str">
        <x:v>https://orthoinfo.aaos.org/globalassets/pdfs/hip-conditioning-rehab-program-2025.pdf</x:v>
      </x:c>
      <x:c r="T102" s="24" t="str">
        <x:v>Anatomy-based mapping</x:v>
      </x:c>
    </x:row>
    <x:row r="103" ht="54" customHeight="1">
      <x:c r="A103" s="24" t="str">
        <x:v>EX0131</x:v>
      </x:c>
      <x:c r="B103" s="24" t="str">
        <x:v>Resistance-band good morning</x:v>
      </x:c>
      <x:c r="C103" s="24" t="str">
        <x:v>Hip &amp; Gluteal</x:v>
      </x:c>
      <x:c r="D103" s="24" t="str">
        <x:v>Home</x:v>
      </x:c>
      <x:c r="E103" s="24" t="str">
        <x:v>Band strength</x:v>
      </x:c>
      <x:c r="F103" s="24" t="str">
        <x:v>Biceps femoris long head; Biceps femoris short head; Semimembranosus; Semitendinosus; Gluteus maximus</x:v>
      </x:c>
      <x:c r="G103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H103" s="24" t="str">
        <x:v>Rectus abdominis; External oblique; Internal oblique; Transversus abdominis</x:v>
      </x:c>
      <x:c r="I103" s="24" t="str">
        <x:v>—</x:v>
      </x:c>
      <x:c r="J103" s="24" t="str">
        <x:v>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103" s="24" t="str">
        <x:v>Atlas-listed tendon/aponeurosis examples: Common hamstring proximal tendon; distal biceps tendon; Common biceps femoris distal tendon; Broad proximal membrane; distal semimembranosus tendon; Long distal pes anserinus tendon; additional listed attachments</x:v>
      </x:c>
      <x:c r="L103" s="24" t="str">
        <x:v>Iliofemoral, ischiofemoral, pubofemoral ligaments stabilize hip passively; NOT stretched deliberately</x:v>
      </x:c>
      <x:c r="M103" s="24" t="str">
        <x:v>Muscles: 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Atlas-listed tendon/aponeurosis examples: Common hamstring proximal tendon; distal biceps tendon; Common biceps femoris distal tendon; Broad proximal membrane; distal semimembranosus tendon; Long distal pes anserinus tendon; additional listed attachments | Ligament context only: Iliofemoral, ischiofemoral, pubofemoral ligaments stabilize hip passively; NOT stretched deliberately</x:v>
      </x:c>
      <x:c r="N103" s="24" t="str">
        <x:v>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O103" s="24" t="str">
        <x:v>Band under feet and over shoulders; hinge hips back with neutral spine.</x:v>
      </x:c>
      <x:c r="P103" s="24" t="str">
        <x:v>Long band</x:v>
      </x:c>
      <x:c r="Q103" s="24" t="str">
        <x:v>2–3 × 8–12 controlled reps</x:v>
      </x:c>
      <x:c r="R103" s="24" t="str">
        <x:v>Progress gradually; stop with sharp pain, dizziness, or numbness.</x:v>
      </x:c>
      <x:c r="S103" s="24" t="str">
        <x:v>https://orthoinfo.aaos.org/globalassets/pdfs/hip-conditioning-rehab-program-2025.pdf</x:v>
      </x:c>
      <x:c r="T103" s="24" t="str">
        <x:v>Anatomy-based mapping</x:v>
      </x:c>
    </x:row>
    <x:row r="104" ht="54" customHeight="1">
      <x:c r="A104" s="24" t="str">
        <x:v>EX0132</x:v>
      </x:c>
      <x:c r="B104" s="24" t="str">
        <x:v>Figure-4 glute stretch supine</x:v>
      </x:c>
      <x:c r="C104" s="24" t="str">
        <x:v>Hip &amp; Gluteal</x:v>
      </x:c>
      <x:c r="D104" s="24" t="str">
        <x:v>Home</x:v>
      </x:c>
      <x:c r="E104" s="24" t="str">
        <x:v>Passive stretch</x:v>
      </x:c>
      <x:c r="F104" s="24" t="str">
        <x:v>—</x:v>
      </x:c>
      <x:c r="G104" s="24" t="str">
        <x:v>—</x:v>
      </x:c>
      <x:c r="H104" s="24" t="str">
        <x:v>—</x:v>
      </x:c>
      <x:c r="I104" s="24" t="str">
        <x:v>Gluteus maximus; Piriformis; Obturator internus; Obturator externus; Superior gemellus; Inferior gemellus; Quadratus femoris</x:v>
      </x:c>
      <x:c r="J104" s="24" t="str">
        <x:v>Gluteus maximus; Piriformis; Obturator internus; Obturator externus; Superior gemellus; Inferior gemellus; Quadratus femoris</x:v>
      </x:c>
      <x:c r="K104" s="24" t="str">
        <x:v>Piriformis tendon</x:v>
      </x:c>
      <x:c r="L104" s="24" t="str">
        <x:v>Iliofemoral, ischiofemoral, pubofemoral ligaments stabilize hip passively; NOT stretched deliberately</x:v>
      </x:c>
      <x:c r="M104" s="24" t="str">
        <x:v>Muscles: Gluteus maximus; Piriformis; Obturator internus; Obturator externus; Superior gemellus; Inferior gemellus; Quadratus femoris | Tendons/fascia: Piriformis tendon | Ligament context only: Iliofemoral, ischiofemoral, pubofemoral ligaments stabilize hip passively; NOT stretched deliberately</x:v>
      </x:c>
      <x:c r="N104" s="24" t="str">
        <x:v>Usually none expected (stretch, mobility or relaxation; any active movers are low-load)</x:v>
      </x:c>
      <x:c r="O104" s="24" t="str">
        <x:v>Cross ankle over opposite knee and draw thigh gently toward chest.</x:v>
      </x:c>
      <x:c r="P104" s="24" t="str">
        <x:v>Mat</x:v>
      </x:c>
      <x:c r="Q104" s="24" t="str">
        <x:v>2–3 × 8–12 controlled reps</x:v>
      </x:c>
      <x:c r="R104" s="24" t="str">
        <x:v>Progress gradually; stop with sharp pain, dizziness, or numbness.</x:v>
      </x:c>
      <x:c r="S104" s="24" t="str">
        <x:v>https://orthoinfo.aaos.org/globalassets/pdfs/hip-conditioning-rehab-program-2025.pdf</x:v>
      </x:c>
      <x:c r="T104" s="24" t="str">
        <x:v>Anatomy-based mapping</x:v>
      </x:c>
    </x:row>
    <x:row r="105" ht="54" customHeight="1">
      <x:c r="A105" s="24" t="str">
        <x:v>EX0133</x:v>
      </x:c>
      <x:c r="B105" s="24" t="str">
        <x:v>Seated piriformis stretch</x:v>
      </x:c>
      <x:c r="C105" s="24" t="str">
        <x:v>Hip &amp; Gluteal</x:v>
      </x:c>
      <x:c r="D105" s="24" t="str">
        <x:v>Home</x:v>
      </x:c>
      <x:c r="E105" s="24" t="str">
        <x:v>Passive stretch</x:v>
      </x:c>
      <x:c r="F105" s="24" t="str">
        <x:v>—</x:v>
      </x:c>
      <x:c r="G105" s="24" t="str">
        <x:v>—</x:v>
      </x:c>
      <x:c r="H105" s="24" t="str">
        <x:v>—</x:v>
      </x:c>
      <x:c r="I105" s="24" t="str">
        <x:v>Piriformis; Obturator internus; Obturator externus; Superior gemellus; Inferior gemellus; Quadratus femoris</x:v>
      </x:c>
      <x:c r="J105" s="24" t="str">
        <x:v>Piriformis; Obturator internus; Obturator externus; Superior gemellus; Inferior gemellus; Quadratus femoris</x:v>
      </x:c>
      <x:c r="K105" s="24" t="str">
        <x:v>Atlas-listed tendon/aponeurosis examples: Piriformis insertion tendon; Tendon bends around lesser sciatic notch; Obturator externus tendon; Common tendon with obturator internus; additional listed attachments</x:v>
      </x:c>
      <x:c r="L105" s="24" t="str">
        <x:v>Iliofemoral, ischiofemoral, pubofemoral ligaments stabilize hip passively; NOT stretched deliberately</x:v>
      </x:c>
      <x:c r="M105" s="24" t="str">
        <x:v>Muscles: Piriformis; Obturator internus; Obturator externus; Superior gemellus; Inferior gemellus; Quadratus femoris | Tendons/fascia: Atlas-listed tendon/aponeurosis examples: Piriformis insertion tendon; Tendon bends around lesser sciatic notch; Obturator externus tendon; Common tendon with obturator internus; additional listed attachments | Ligament context only: Iliofemoral, ischiofemoral, pubofemoral ligaments stabilize hip passively; NOT stretched deliberately</x:v>
      </x:c>
      <x:c r="N105" s="24" t="str">
        <x:v>Usually none expected (stretch, mobility or relaxation; any active movers are low-load)</x:v>
      </x:c>
      <x:c r="O105" s="24" t="str">
        <x:v>Cross ankle on opposite knee; hinge forward from hips gently.</x:v>
      </x:c>
      <x:c r="P105" s="24" t="str">
        <x:v>Chair</x:v>
      </x:c>
      <x:c r="Q105" s="24" t="str">
        <x:v>2–3 × 8–12 controlled reps</x:v>
      </x:c>
      <x:c r="R105" s="24" t="str">
        <x:v>Progress gradually; stop with sharp pain, dizziness, or numbness.</x:v>
      </x:c>
      <x:c r="S105" s="24" t="str">
        <x:v>https://orthoinfo.aaos.org/globalassets/pdfs/hip-conditioning-rehab-program-2025.pdf</x:v>
      </x:c>
      <x:c r="T105" s="24" t="str">
        <x:v>Anatomy-based mapping</x:v>
      </x:c>
    </x:row>
    <x:row r="106" ht="54" customHeight="1">
      <x:c r="A106" s="24" t="str">
        <x:v>EX0134</x:v>
      </x:c>
      <x:c r="B106" s="24" t="str">
        <x:v>Half-kneeling iliopsoas stretch</x:v>
      </x:c>
      <x:c r="C106" s="24" t="str">
        <x:v>Hip &amp; Gluteal</x:v>
      </x:c>
      <x:c r="D106" s="24" t="str">
        <x:v>Home</x:v>
      </x:c>
      <x:c r="E106" s="24" t="str">
        <x:v>Passive stretch</x:v>
      </x:c>
      <x:c r="F106" s="24" t="str">
        <x:v>—</x:v>
      </x:c>
      <x:c r="G106" s="24" t="str">
        <x:v>—</x:v>
      </x:c>
      <x:c r="H106" s="24" t="str">
        <x:v>—</x:v>
      </x:c>
      <x:c r="I106" s="24" t="str">
        <x:v>Iliacus; Psoas major; Rectus femoris reflected head; Rectus femoris straight head</x:v>
      </x:c>
      <x:c r="J106" s="24" t="str">
        <x:v>Iliacus; Psoas major; Rectus femoris reflected head; Rectus femoris straight head</x:v>
      </x:c>
      <x:c r="K106" s="24" t="str">
        <x:v>Iliopsoas and rectus femoris tendons</x:v>
      </x:c>
      <x:c r="L106" s="24" t="str">
        <x:v>Iliofemoral, ischiofemoral, pubofemoral ligaments stabilize hip passively; NOT stretched deliberately</x:v>
      </x:c>
      <x:c r="M106" s="24" t="str">
        <x:v>Muscles: Iliacus; Psoas major; Rectus femoris reflected head; Rectus femoris straight head | Tendons/fascia: Iliopsoas and rectus femoris tendons | Ligament context only: Iliofemoral, ischiofemoral, pubofemoral ligaments stabilize hip passively; NOT stretched deliberately</x:v>
      </x:c>
      <x:c r="N106" s="24" t="str">
        <x:v>Usually none expected (stretch, mobility or relaxation; any active movers are low-load)</x:v>
      </x:c>
      <x:c r="O106" s="24" t="str">
        <x:v>Posteriorly tilt pelvis then shift hips forward while upright.</x:v>
      </x:c>
      <x:c r="P106" s="24" t="str">
        <x:v>Mat</x:v>
      </x:c>
      <x:c r="Q106" s="24" t="str">
        <x:v>2–3 × 8–12 controlled reps</x:v>
      </x:c>
      <x:c r="R106" s="24" t="str">
        <x:v>Progress gradually; stop with sharp pain, dizziness, or numbness.</x:v>
      </x:c>
      <x:c r="S106" s="24" t="str">
        <x:v>https://orthoinfo.aaos.org/globalassets/pdfs/hip-conditioning-rehab-program-2025.pdf</x:v>
      </x:c>
      <x:c r="T106" s="24" t="str">
        <x:v>Anatomy-based mapping</x:v>
      </x:c>
    </x:row>
    <x:row r="107" ht="54" customHeight="1">
      <x:c r="A107" s="24" t="str">
        <x:v>EX0135</x:v>
      </x:c>
      <x:c r="B107" s="24" t="str">
        <x:v>Standing quadriceps / hip-flexor stretch</x:v>
      </x:c>
      <x:c r="C107" s="24" t="str">
        <x:v>Hip &amp; Gluteal</x:v>
      </x:c>
      <x:c r="D107" s="24" t="str">
        <x:v>Home</x:v>
      </x:c>
      <x:c r="E107" s="24" t="str">
        <x:v>Passive stretch</x:v>
      </x:c>
      <x:c r="F107" s="24" t="str">
        <x:v>—</x:v>
      </x:c>
      <x:c r="G107" s="24" t="str">
        <x:v>—</x:v>
      </x:c>
      <x:c r="H107" s="24" t="str">
        <x:v>—</x:v>
      </x:c>
      <x:c r="I107" s="24" t="str">
        <x:v>Rectus femoris reflected head; Rectus femoris straight head; Vastus intermedius; Vastus lateralis; Vastus medialis</x:v>
      </x:c>
      <x:c r="J107" s="24" t="str">
        <x:v>Rectus femoris reflected head; Rectus femoris straight head; Vastus intermedius; Vastus lateralis; Vastus medialis</x:v>
      </x:c>
      <x:c r="K107" s="24" t="str">
        <x:v>Quadriceps tendon; patellar tendon</x:v>
      </x:c>
      <x:c r="L107" s="24" t="str">
        <x:v>Iliofemoral, ischiofemoral, pubofemoral ligaments stabilize hip passively; NOT stretched deliberately</x:v>
      </x:c>
      <x:c r="M107" s="24" t="str">
        <x:v>Muscles: Rectus femoris reflected head; Rectus femoris straight head; Vastus intermedius; Vastus lateralis; Vastus medialis | Tendons/fascia: Quadriceps tendon; patellar tendon | Ligament context only: Iliofemoral, ischiofemoral, pubofemoral ligaments stabilize hip passively; NOT stretched deliberately</x:v>
      </x:c>
      <x:c r="N107" s="24" t="str">
        <x:v>Usually none expected (stretch, mobility or relaxation; any active movers are low-load)</x:v>
      </x:c>
      <x:c r="O107" s="24" t="str">
        <x:v>Hold ankle behind body with knees aligned and pelvis neutral.</x:v>
      </x:c>
      <x:c r="P107" s="24" t="str">
        <x:v>Wall for balance</x:v>
      </x:c>
      <x:c r="Q107" s="24" t="str">
        <x:v>2–3 × 8–12 controlled reps</x:v>
      </x:c>
      <x:c r="R107" s="24" t="str">
        <x:v>Progress gradually; stop with sharp pain, dizziness, or numbness.</x:v>
      </x:c>
      <x:c r="S107" s="24" t="str">
        <x:v>https://orthoinfo.aaos.org/globalassets/pdfs/hip-conditioning-rehab-program-2025.pdf</x:v>
      </x:c>
      <x:c r="T107" s="24" t="str">
        <x:v>Anatomy-based mapping</x:v>
      </x:c>
    </x:row>
    <x:row r="108" ht="54" customHeight="1">
      <x:c r="A108" s="24" t="str">
        <x:v>EX0136</x:v>
      </x:c>
      <x:c r="B108" s="24" t="str">
        <x:v>Side-lying tensor fascia lata stretch</x:v>
      </x:c>
      <x:c r="C108" s="24" t="str">
        <x:v>Hip &amp; Gluteal</x:v>
      </x:c>
      <x:c r="D108" s="24" t="str">
        <x:v>Home</x:v>
      </x:c>
      <x:c r="E108" s="24" t="str">
        <x:v>Passive stretch</x:v>
      </x:c>
      <x:c r="F108" s="24" t="str">
        <x:v>—</x:v>
      </x:c>
      <x:c r="G108" s="24" t="str">
        <x:v>—</x:v>
      </x:c>
      <x:c r="H108" s="24" t="str">
        <x:v>—</x:v>
      </x:c>
      <x:c r="I108" s="24" t="str">
        <x:v>Tensor fasciae latae; Gluteus medius</x:v>
      </x:c>
      <x:c r="J108" s="24" t="str">
        <x:v>Tensor fasciae latae; Gluteus medius</x:v>
      </x:c>
      <x:c r="K108" s="24" t="str">
        <x:v>Iliotibial tract receives TFL forces; IT band itself minimally extensible</x:v>
      </x:c>
      <x:c r="L108" s="24" t="str">
        <x:v>Iliofemoral, ischiofemoral, pubofemoral ligaments stabilize hip passively; NOT stretched deliberately</x:v>
      </x:c>
      <x:c r="M108" s="24" t="str">
        <x:v>Muscles: Tensor fasciae latae; Gluteus medius | Tendons/fascia: Iliotibial tract receives TFL forces; IT band itself minimally extensible | Ligament context only: Iliofemoral, ischiofemoral, pubofemoral ligaments stabilize hip passively; NOT stretched deliberately</x:v>
      </x:c>
      <x:c r="N108" s="24" t="str">
        <x:v>Usually none expected (stretch, mobility or relaxation; any active movers are low-load)</x:v>
      </x:c>
      <x:c r="O108" s="24" t="str">
        <x:v>Let upper leg extend and adduct gently behind bottom leg.</x:v>
      </x:c>
      <x:c r="P108" s="24" t="str">
        <x:v>Mat</x:v>
      </x:c>
      <x:c r="Q108" s="24" t="str">
        <x:v>2–3 × 8–12 controlled reps</x:v>
      </x:c>
      <x:c r="R108" s="24" t="str">
        <x:v>Progress gradually; stop with sharp pain, dizziness, or numbness.</x:v>
      </x:c>
      <x:c r="S108" s="24" t="str">
        <x:v>https://orthoinfo.aaos.org/globalassets/pdfs/hip-conditioning-rehab-program-2025.pdf</x:v>
      </x:c>
      <x:c r="T108" s="24" t="str">
        <x:v>Anatomy-based mapping</x:v>
      </x:c>
    </x:row>
    <x:row r="109" ht="54" customHeight="1">
      <x:c r="A109" s="24" t="str">
        <x:v>EX0137</x:v>
      </x:c>
      <x:c r="B109" s="24" t="str">
        <x:v>Seated butterfly adductor stretch</x:v>
      </x:c>
      <x:c r="C109" s="24" t="str">
        <x:v>Hip &amp; Gluteal</x:v>
      </x:c>
      <x:c r="D109" s="24" t="str">
        <x:v>Home</x:v>
      </x:c>
      <x:c r="E109" s="24" t="str">
        <x:v>Passive stretch</x:v>
      </x:c>
      <x:c r="F109" s="24" t="str">
        <x:v>—</x:v>
      </x:c>
      <x:c r="G109" s="24" t="str">
        <x:v>—</x:v>
      </x:c>
      <x:c r="H109" s="24" t="str">
        <x:v>—</x:v>
      </x:c>
      <x:c r="I109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J109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K109" s="24" t="str">
        <x:v>Adductor origins</x:v>
      </x:c>
      <x:c r="L109" s="24" t="str">
        <x:v>Iliofemoral, ischiofemoral, pubofemoral ligaments stabilize hip passively; NOT stretched deliberately</x:v>
      </x:c>
      <x:c r="M109" s="24" t="str">
        <x:v>Muscles: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 | Tendons/fascia: Adductor origins | Ligament context only: Iliofemoral, ischiofemoral, pubofemoral ligaments stabilize hip passively; NOT stretched deliberately</x:v>
      </x:c>
      <x:c r="N109" s="24" t="str">
        <x:v>Usually none expected (stretch, mobility or relaxation; any active movers are low-load)</x:v>
      </x:c>
      <x:c r="O109" s="24" t="str">
        <x:v>Feet together, knees out; hinge slightly forward without forcing knees.</x:v>
      </x:c>
      <x:c r="P109" s="24" t="str">
        <x:v>Mat</x:v>
      </x:c>
      <x:c r="Q109" s="24" t="str">
        <x:v>2–3 × 8–12 controlled reps</x:v>
      </x:c>
      <x:c r="R109" s="24" t="str">
        <x:v>Progress gradually; stop with sharp pain, dizziness, or numbness.</x:v>
      </x:c>
      <x:c r="S109" s="24" t="str">
        <x:v>https://orthoinfo.aaos.org/globalassets/pdfs/hip-conditioning-rehab-program-2025.pdf</x:v>
      </x:c>
      <x:c r="T109" s="24" t="str">
        <x:v>Anatomy-based mapping</x:v>
      </x:c>
    </x:row>
    <x:row r="110" ht="54" customHeight="1">
      <x:c r="A110" s="24" t="str">
        <x:v>EX0138</x:v>
      </x:c>
      <x:c r="B110" s="24" t="str">
        <x:v>Wide-kneeling adductor rock-back</x:v>
      </x:c>
      <x:c r="C110" s="24" t="str">
        <x:v>Hip &amp; Gluteal</x:v>
      </x:c>
      <x:c r="D110" s="24" t="str">
        <x:v>Home</x:v>
      </x:c>
      <x:c r="E110" s="24" t="str">
        <x:v>Active stretch</x:v>
      </x:c>
      <x:c r="F110" s="24" t="str">
        <x:v>Gluteus maximus; Gluteus medius; Gluteus minimus; Rectus abdominis; External oblique; Internal oblique; Transversus abdominis</x:v>
      </x:c>
      <x:c r="G110" s="24" t="str">
        <x:v>—</x:v>
      </x:c>
      <x:c r="H110" s="24" t="str">
        <x:v>—</x:v>
      </x:c>
      <x:c r="I110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J110" s="24" t="str">
        <x:v>Gluteus maximus; Gluteus medius; Gluteus minimus; Rectus abdominis; External oblique; Internal oblique; Transversus abdominis;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K110" s="24" t="str">
        <x:v>Atlas-listed tendon/aponeurosis examples: Iliotibial tract aponeurosis and gluteal tendon; Gluteus medius tendon; Gluteus minimus tendon and joint-capsule expansions; Tendinous intersections and rectus sheath insertion; additional listed attachments</x:v>
      </x:c>
      <x:c r="L110" s="24" t="str">
        <x:v>Iliofemoral, ischiofemoral, pubofemoral ligaments stabilize hip passively; NOT stretched deliberately</x:v>
      </x:c>
      <x:c r="M110" s="24" t="str">
        <x:v>Muscles: Gluteus maximus; Gluteus medius; Gluteus minimus; Rectus abdominis; External oblique; Internal oblique; Transversus abdominis;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 | Tendons/fascia: Atlas-listed tendon/aponeurosis examples: Iliotibial tract aponeurosis and gluteal tendon; Gluteus medius tendon; Gluteus minimus tendon and joint-capsule expansions; Tendinous intersections and rectus sheath insertion; additional listed attachments | Ligament context only: Iliofemoral, ischiofemoral, pubofemoral ligaments stabilize hip passively; NOT stretched deliberately</x:v>
      </x:c>
      <x:c r="N110" s="24" t="str">
        <x:v>Usually none expected (stretch, mobility or relaxation; any active movers are low-load)</x:v>
      </x:c>
      <x:c r="O110" s="24" t="str">
        <x:v>Kneel knees apart; rock hips toward heels while spine neutral.</x:v>
      </x:c>
      <x:c r="P110" s="24" t="str">
        <x:v>Mat</x:v>
      </x:c>
      <x:c r="Q110" s="24" t="str">
        <x:v>2–3 × 8–12 controlled reps</x:v>
      </x:c>
      <x:c r="R110" s="24" t="str">
        <x:v>Progress gradually; stop with sharp pain, dizziness, or numbness.</x:v>
      </x:c>
      <x:c r="S110" s="24" t="str">
        <x:v>https://orthoinfo.aaos.org/globalassets/pdfs/hip-conditioning-rehab-program-2025.pdf</x:v>
      </x:c>
      <x:c r="T110" s="24" t="str">
        <x:v>Anatomy-based mapping</x:v>
      </x:c>
    </x:row>
    <x:row r="111" ht="54" customHeight="1">
      <x:c r="A111" s="24" t="str">
        <x:v>EX0139</x:v>
      </x:c>
      <x:c r="B111" s="24" t="str">
        <x:v>90/90 hip rotation transitions</x:v>
      </x:c>
      <x:c r="C111" s="24" t="str">
        <x:v>Hip &amp; Gluteal</x:v>
      </x:c>
      <x:c r="D111" s="24" t="str">
        <x:v>Home</x:v>
      </x:c>
      <x:c r="E111" s="24" t="str">
        <x:v>Mobility</x:v>
      </x:c>
      <x:c r="F111" s="24" t="str">
        <x:v>Piriformis; Obturator internus; Obturator externus; Superior gemellus; Inferior gemellus; Quadratus femoris; Gluteus medius; Gluteus minimus</x:v>
      </x:c>
      <x:c r="G111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11" s="24" t="str">
        <x:v>Rectus abdominis; External oblique; Internal oblique; Transversus abdominis</x:v>
      </x:c>
      <x:c r="I111" s="24" t="str">
        <x:v>Piriformis; Obturator internus; Obturator externus; Superior gemellus; Inferior gemellus; Quadratus femoris</x:v>
      </x:c>
      <x:c r="J111" s="24" t="str">
        <x:v>Piriformis; Obturator internus; Obturator externus; Superior gemellus; Inferior gemellus; Quadratus femoris; Gluteus medius; Gluteus minimus;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</x:v>
      </x:c>
      <x:c r="K111" s="24" t="str">
        <x:v>Atlas-listed tendon/aponeurosis examples: Piriformis insertion tendon; Tendon bends around lesser sciatic notch; Obturator externus tendon; Common tendon with obturator internus; additional listed attachments</x:v>
      </x:c>
      <x:c r="L111" s="24" t="str">
        <x:v>Iliofemoral, ischiofemoral, pubofemoral ligaments stabilize hip passively; NOT stretched deliberately</x:v>
      </x:c>
      <x:c r="M111" s="24" t="str">
        <x:v>Muscles: Piriformis; Obturator internus; Obturator externus; Superior gemellus; Inferior gemellus; Quadratus femoris; Gluteus medius; Gluteus minimus;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 | Tendons/fascia: Atlas-listed tendon/aponeurosis examples: Piriformis insertion tendon; Tendon bends around lesser sciatic notch; Obturator externus tendon; Common tendon with obturator internus; additional listed attachments | Ligament context only: Iliofemoral, ischiofemoral, pubofemoral ligaments stabilize hip passively; NOT stretched deliberately</x:v>
      </x:c>
      <x:c r="N111" s="24" t="str">
        <x:v>Usually none expected (stretch, mobility or relaxation; any active movers are low-load)</x:v>
      </x:c>
      <x:c r="O111" s="24" t="str">
        <x:v>Sit with both knees at 90°, switch sides slowly without forcing hip end range.</x:v>
      </x:c>
      <x:c r="P111" s="24" t="str">
        <x:v>Mat</x:v>
      </x:c>
      <x:c r="Q111" s="24" t="str">
        <x:v>1–2 × 5–10 controlled reps</x:v>
      </x:c>
      <x:c r="R111" s="24" t="str">
        <x:v>Progress gradually; stop with sharp pain, dizziness, or numbness.</x:v>
      </x:c>
      <x:c r="S111" s="24" t="str">
        <x:v>https://orthoinfo.aaos.org/globalassets/pdfs/hip-conditioning-rehab-program-2025.pdf</x:v>
      </x:c>
      <x:c r="T111" s="24" t="str">
        <x:v>Anatomy-based mapping</x:v>
      </x:c>
    </x:row>
    <x:row r="112" ht="54" customHeight="1">
      <x:c r="A112" s="24" t="str">
        <x:v>EX0140</x:v>
      </x:c>
      <x:c r="B112" s="24" t="str">
        <x:v>Standing dynamic leg swing front-back</x:v>
      </x:c>
      <x:c r="C112" s="24" t="str">
        <x:v>Hip &amp; Gluteal</x:v>
      </x:c>
      <x:c r="D112" s="24" t="str">
        <x:v>Home</x:v>
      </x:c>
      <x:c r="E112" s="24" t="str">
        <x:v>Active stretch</x:v>
      </x:c>
      <x:c r="F112" s="24" t="str">
        <x:v>Iliacus; Psoas major; Sartorius; Tensor fasciae latae; Rectus femoris reflected head; Rectus femoris straight head; Pectineus; Gluteus maximus</x:v>
      </x:c>
      <x:c r="G112" s="24" t="str">
        <x:v>Biceps femoris long head; Biceps femoris short head; Semimembranosus; Semitendinosus</x:v>
      </x:c>
      <x:c r="H112" s="24" t="str">
        <x:v>Rectus abdominis; External oblique; Internal oblique; Transversus abdominis; Gluteus medius; Gluteus minimus</x:v>
      </x:c>
      <x:c r="I112" s="24" t="str">
        <x:v>Iliacus; Psoas major; Sartorius; Tensor fasciae latae; Rectus femoris reflected head; Rectus femoris straight head; Pectineus; Biceps femoris long head; Biceps femoris short head; Semimembranosus; Semitendinosus</x:v>
      </x:c>
      <x:c r="J112" s="24" t="str">
        <x:v>Iliacus; Psoas major; Sartorius; Tensor fasciae latae; Rectus femoris reflected head; Rectus femoris straight head; Pectineus; Gluteus maximus; Biceps femoris long head; Biceps femoris short head; Semimembranosus; Semitendinosus; Rectus abdominis; External oblique; Internal oblique; Transversus abdominis; Gluteus medius; Gluteus minimus</x:v>
      </x:c>
      <x:c r="K112" s="24" t="str">
        <x:v>Atlas-listed tendon/aponeurosis examples: Iliopsoas shared tendon; Pes anserinus superficial tendon; Iliotibial tract (fascial thickening); Reflected proximal tendon; quadriceps tendon; additional listed attachments</x:v>
      </x:c>
      <x:c r="L112" s="24" t="str">
        <x:v>Iliofemoral, ischiofemoral, pubofemoral ligaments stabilize hip passively; NOT stretched deliberately</x:v>
      </x:c>
      <x:c r="M112" s="24" t="str">
        <x:v>Muscles: Iliacus; Psoas major; Sartorius; Tensor fasciae latae; Rectus femoris reflected head; Rectus femoris straight head; Pectineus; Gluteus maximus; Biceps femoris long head; Biceps femoris short head; Semimembranosus; Semitendinosus; Rectus abdominis; External oblique; Internal oblique; Transversus abdominis; Gluteus medius; Gluteus minimus | Tendons/fascia: Atlas-listed tendon/aponeurosis examples: Iliopsoas shared tendon; Pes anserinus superficial tendon; Iliotibial tract (fascial thickening); Reflected proximal tendon; quadriceps tendon; additional listed attachments | Ligament context only: Iliofemoral, ischiofemoral, pubofemoral ligaments stabilize hip passively; NOT stretched deliberately</x:v>
      </x:c>
      <x:c r="N112" s="24" t="str">
        <x:v>Usually none expected (stretch, mobility or relaxation; any active movers are low-load)</x:v>
      </x:c>
      <x:c r="O112" s="24" t="str">
        <x:v>Hold wall; swing leg in small, gradually increasing comfortable arc.</x:v>
      </x:c>
      <x:c r="P112" s="24" t="str">
        <x:v>Wall</x:v>
      </x:c>
      <x:c r="Q112" s="24" t="str">
        <x:v>2–3 × 8–12 controlled reps</x:v>
      </x:c>
      <x:c r="R112" s="24" t="str">
        <x:v>Progress gradually; stop with sharp pain, dizziness, or numbness.</x:v>
      </x:c>
      <x:c r="S112" s="24" t="str">
        <x:v>https://orthoinfo.aaos.org/globalassets/pdfs/hip-conditioning-rehab-program-2025.pdf</x:v>
      </x:c>
      <x:c r="T112" s="24" t="str">
        <x:v>Anatomy-based mapping</x:v>
      </x:c>
    </x:row>
    <x:row r="113" ht="54" customHeight="1">
      <x:c r="A113" s="24" t="str">
        <x:v>EX0141</x:v>
      </x:c>
      <x:c r="B113" s="24" t="str">
        <x:v>Standing dynamic lateral leg swing</x:v>
      </x:c>
      <x:c r="C113" s="24" t="str">
        <x:v>Hip &amp; Gluteal</x:v>
      </x:c>
      <x:c r="D113" s="24" t="str">
        <x:v>Home</x:v>
      </x:c>
      <x:c r="E113" s="24" t="str">
        <x:v>Active stretch</x:v>
      </x:c>
      <x:c r="F113" s="24" t="str">
        <x:v>Gluteus medius; Gluteus minimus; Tensor fasciae latae;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G113" s="24" t="str">
        <x:v>—</x:v>
      </x:c>
      <x:c r="H113" s="24" t="str">
        <x:v>Rectus abdominis; External oblique; Internal oblique; Transversus abdominis</x:v>
      </x:c>
      <x:c r="I113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Gluteus medius; Gluteus minimus; Tensor fasciae latae</x:v>
      </x:c>
      <x:c r="J113" s="24" t="str">
        <x:v>Gluteus medius; Gluteus minimus; Tensor fasciae latae;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</x:v>
      </x:c>
      <x:c r="K113" s="24" t="str">
        <x:v>Atlas-listed tendon/aponeurosis examples: Gluteus medius tendon; Gluteus minimus tendon and joint-capsule expansions; Iliotibial tract (fascial thickening); Adductor tendon through ulnar sesamoid; additional listed attachments</x:v>
      </x:c>
      <x:c r="L113" s="24" t="str">
        <x:v>Iliofemoral, ischiofemoral, pubofemoral ligaments stabilize hip passively; NOT stretched deliberately</x:v>
      </x:c>
      <x:c r="M113" s="24" t="str">
        <x:v>Muscles: Gluteus medius; Gluteus minimus; Tensor fasciae latae;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 | Tendons/fascia: Atlas-listed tendon/aponeurosis examples: Gluteus medius tendon; Gluteus minimus tendon and joint-capsule expansions; Iliotibial tract (fascial thickening); Adductor tendon through ulnar sesamoid; additional listed attachments | Ligament context only: Iliofemoral, ischiofemoral, pubofemoral ligaments stabilize hip passively; NOT stretched deliberately</x:v>
      </x:c>
      <x:c r="N113" s="24" t="str">
        <x:v>Usually none expected (stretch, mobility or relaxation; any active movers are low-load)</x:v>
      </x:c>
      <x:c r="O113" s="24" t="str">
        <x:v>Hold counter; sweep leg across and away in controlled arc.</x:v>
      </x:c>
      <x:c r="P113" s="24" t="str">
        <x:v>Counter</x:v>
      </x:c>
      <x:c r="Q113" s="24" t="str">
        <x:v>2–3 × 8–12 controlled reps</x:v>
      </x:c>
      <x:c r="R113" s="24" t="str">
        <x:v>Progress gradually; stop with sharp pain, dizziness, or numbness.</x:v>
      </x:c>
      <x:c r="S113" s="24" t="str">
        <x:v>https://orthoinfo.aaos.org/globalassets/pdfs/hip-conditioning-rehab-program-2025.pdf</x:v>
      </x:c>
      <x:c r="T113" s="24" t="str">
        <x:v>Anatomy-based mapping</x:v>
      </x:c>
    </x:row>
    <x:row r="114" ht="54" customHeight="1">
      <x:c r="A114" s="24" t="str">
        <x:v>EX0142</x:v>
      </x:c>
      <x:c r="B114" s="24" t="str">
        <x:v>Banded fire hydrant</x:v>
      </x:c>
      <x:c r="C114" s="24" t="str">
        <x:v>Hip &amp; Gluteal</x:v>
      </x:c>
      <x:c r="D114" s="24" t="str">
        <x:v>Home</x:v>
      </x:c>
      <x:c r="E114" s="24" t="str">
        <x:v>Band strength</x:v>
      </x:c>
      <x:c r="F114" s="24" t="str">
        <x:v>Gluteus medius; Gluteus minimus; Tensor fasciae latae; Piriformis; Obturator internus; Obturator externus; Superior gemellus; Inferior gemellus; Quadratus femoris</x:v>
      </x:c>
      <x:c r="G114" s="24" t="str">
        <x:v>Gluteus maximus</x:v>
      </x:c>
      <x:c r="H114" s="24" t="str">
        <x:v>Rectus abdominis; External oblique; Internal oblique; Transversus abdominis</x:v>
      </x:c>
      <x:c r="I114" s="24" t="str">
        <x:v>—</x:v>
      </x:c>
      <x:c r="J114" s="24" t="str">
        <x:v>Gluteus medius; Gluteus minimus; Tensor fasciae latae; Piriformis; Obturator internus; Obturator externus; Superior gemellus; Inferior gemellus; Quadratus femoris; Gluteus maximus; Rectus abdominis; External oblique; Internal oblique; Transversus abdominis</x:v>
      </x:c>
      <x:c r="K114" s="24" t="str">
        <x:v>Atlas-listed tendon/aponeurosis examples: Gluteus medius tendon; Gluteus minimus tendon and joint-capsule expansions; Iliotibial tract (fascial thickening); Piriformis insertion tendon; additional listed attachments</x:v>
      </x:c>
      <x:c r="L114" s="24" t="str">
        <x:v>Iliofemoral, ischiofemoral, pubofemoral ligaments stabilize hip passively; NOT stretched deliberately</x:v>
      </x:c>
      <x:c r="M114" s="24" t="str">
        <x:v>Muscles: Gluteus medius; Gluteus minimus; Tensor fasciae latae; Piriformis; Obturator internus; Obturator externus; Superior gemellus; Inferior gemellus; Quadratus femoris; Gluteus maximus; Rectus abdominis; External oblique; Internal oblique; Transversus abdominis | Tendons/fascia: Atlas-listed tendon/aponeurosis examples: Gluteus medius tendon; Gluteus minimus tendon and joint-capsule expansions; Iliotibial tract (fascial thickening); Piriformis insertion tendon; additional listed attachments | Ligament context only: Iliofemoral, ischiofemoral, pubofemoral ligaments stabilize hip passively; NOT stretched deliberately</x:v>
      </x:c>
      <x:c r="N114" s="24" t="str">
        <x:v>Gluteus medius; Gluteus minimus; Tensor fasciae latae; Piriformis; Obturator internus; Obturator externus; Superior gemellus; Inferior gemellus; Quadratus femoris; Gluteus maximus</x:v>
      </x:c>
      <x:c r="O114" s="24" t="str">
        <x:v>On all fours, lift bent knee sideways without rocking torso.</x:v>
      </x:c>
      <x:c r="P114" s="24" t="str">
        <x:v>Miniband</x:v>
      </x:c>
      <x:c r="Q114" s="24" t="str">
        <x:v>2–3 × 8–12 controlled reps</x:v>
      </x:c>
      <x:c r="R114" s="24" t="str">
        <x:v>Progress gradually; stop with sharp pain, dizziness, or numbness.</x:v>
      </x:c>
      <x:c r="S114" s="24" t="str">
        <x:v>https://orthoinfo.aaos.org/globalassets/pdfs/hip-conditioning-rehab-program-2025.pdf</x:v>
      </x:c>
      <x:c r="T114" s="24" t="str">
        <x:v>Anatomy-based mapping</x:v>
      </x:c>
    </x:row>
    <x:row r="115" ht="54" customHeight="1">
      <x:c r="A115" s="24" t="str">
        <x:v>EX0143</x:v>
      </x:c>
      <x:c r="B115" s="24" t="str">
        <x:v>Single-leg balance with opposite knee lift</x:v>
      </x:c>
      <x:c r="C115" s="24" t="str">
        <x:v>Hip &amp; Gluteal</x:v>
      </x:c>
      <x:c r="D115" s="24" t="str">
        <x:v>Home</x:v>
      </x:c>
      <x:c r="E115" s="24" t="str">
        <x:v>Isometric strength</x:v>
      </x:c>
      <x:c r="F115" s="24" t="str">
        <x:v>Gluteus medius; Gluteus minimus; Tensor fasciae latae;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G115" s="24" t="str">
        <x:v>Iliacus; Psoas major; Sartorius; Rectus femoris reflected head; Rectus femoris straight head; Pectineus</x:v>
      </x:c>
      <x:c r="H115" s="24" t="str">
        <x:v>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115" s="24" t="str">
        <x:v>—</x:v>
      </x:c>
      <x:c r="J115" s="24" t="str">
        <x:v>Gluteus medius; Gluteus minimus; Tensor fasciae latae;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Iliacus; Psoas major; Sartorius; Rectus femoris reflected head; Rectus femoris straight head;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115" s="24" t="str">
        <x:v>Atlas-listed tendon/aponeurosis examples: Gluteus medius tendon; Gluteus minimus tendon and joint-capsule expansions; Iliotibial tract (fascial thickening); Medial hallucal sesamoid insertion tendon; additional listed attachments</x:v>
      </x:c>
      <x:c r="L115" s="24" t="str">
        <x:v>Iliofemoral, ischiofemoral, pubofemoral ligaments stabilize hip passively; NOT stretched deliberately</x:v>
      </x:c>
      <x:c r="M115" s="24" t="str">
        <x:v>Muscles: Gluteus medius; Gluteus minimus; Tensor fasciae latae;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Iliacus; Psoas major; Sartorius; Rectus femoris reflected head; Rectus femoris straight head;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Gluteus medius tendon; Gluteus minimus tendon and joint-capsule expansions; Iliotibial tract (fascial thickening); Medial hallucal sesamoid insertion tendon; additional listed attachments | Ligament context only: Iliofemoral, ischiofemoral, pubofemoral ligaments stabilize hip passively; NOT stretched deliberately</x:v>
      </x:c>
      <x:c r="N115" s="24" t="str">
        <x:v>Gluteus medius; Gluteus minimus; Tensor fasciae latae;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Iliacus; Psoas major; Sartorius; Rectus femoris reflected head; Rectus femoris straight head; Pectineus</x:v>
      </x:c>
      <x:c r="O115" s="24" t="str">
        <x:v>Balance tall on one foot while slowly marching opposite knee.</x:v>
      </x:c>
      <x:c r="P115" s="24" t="str">
        <x:v>Floor</x:v>
      </x:c>
      <x:c r="Q115" s="24" t="str">
        <x:v>2–3 × 8–12 controlled reps</x:v>
      </x:c>
      <x:c r="R115" s="24" t="str">
        <x:v>Progress gradually; stop with sharp pain, dizziness, or numbness.</x:v>
      </x:c>
      <x:c r="S115" s="24" t="str">
        <x:v>https://orthoinfo.aaos.org/globalassets/pdfs/hip-conditioning-rehab-program-2025.pdf</x:v>
      </x:c>
      <x:c r="T115" s="24" t="str">
        <x:v>Anatomy-based mapping</x:v>
      </x:c>
    </x:row>
    <x:row r="116" ht="54" customHeight="1">
      <x:c r="A116" s="24" t="str">
        <x:v>EX0144</x:v>
      </x:c>
      <x:c r="B116" s="24" t="str">
        <x:v>Bodyweight squat</x:v>
      </x:c>
      <x:c r="C116" s="24" t="str">
        <x:v>Thigh &amp; Knee</x:v>
      </x:c>
      <x:c r="D116" s="24" t="str">
        <x:v>Home</x:v>
      </x:c>
      <x:c r="E116" s="24" t="str">
        <x:v>Compound strength</x:v>
      </x:c>
      <x:c r="F116" s="24" t="str">
        <x:v>Vastus intermedius; Vastus lateralis; Vastus medialis; Rectus femoris reflected head; Rectus femoris straight head; Gluteus maximus</x:v>
      </x:c>
      <x:c r="G116" s="24" t="str">
        <x:v>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16" s="24" t="str">
        <x:v>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</x:v>
      </x:c>
      <x:c r="I116" s="24" t="str">
        <x:v>—</x:v>
      </x:c>
      <x:c r="J116" s="24" t="str">
        <x:v>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</x:v>
      </x:c>
      <x:c r="K116" s="24" t="str">
        <x:v>Quadriceps tendon; patellar tendon; gluteal tendons</x:v>
      </x:c>
      <x:c r="L116" s="24" t="str">
        <x:v>ACL/PCL/MCL/LCL provide knee stability, not stretching targets</x:v>
      </x:c>
      <x:c r="M116" s="24" t="str">
        <x:v>Muscles: 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 | Tendons/fascia: Quadriceps tendon; patellar tendon; gluteal tendons | Ligament context only: ACL/PCL/MCL/LCL provide knee stability, not stretching targets</x:v>
      </x:c>
      <x:c r="N116" s="24" t="str">
        <x:v>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16" s="24" t="str">
        <x:v>Sit hips between heels as far as comfortable; stand through midfoot.</x:v>
      </x:c>
      <x:c r="P116" s="24" t="str">
        <x:v>Floor</x:v>
      </x:c>
      <x:c r="Q116" s="24" t="str">
        <x:v>2–3 × 8–12 controlled reps</x:v>
      </x:c>
      <x:c r="R116" s="24" t="str">
        <x:v>Progress gradually; stop with sharp pain, dizziness, or numbness.</x:v>
      </x:c>
      <x:c r="S116" s="24" t="str">
        <x:v>https://www.orthoinfo.org/recovery/knee-conditioning-program</x:v>
      </x:c>
      <x:c r="T116" s="24" t="str">
        <x:v>Anatomy-based mapping</x:v>
      </x:c>
    </x:row>
    <x:row r="117" ht="54" customHeight="1">
      <x:c r="A117" s="24" t="str">
        <x:v>EX0145</x:v>
      </x:c>
      <x:c r="B117" s="24" t="str">
        <x:v>Sit-to-stand from chair</x:v>
      </x:c>
      <x:c r="C117" s="24" t="str">
        <x:v>Thigh &amp; Knee</x:v>
      </x:c>
      <x:c r="D117" s="24" t="str">
        <x:v>Home</x:v>
      </x:c>
      <x:c r="E117" s="24" t="str">
        <x:v>Compound strength</x:v>
      </x:c>
      <x:c r="F117" s="24" t="str">
        <x:v>Vastus intermedius; Vastus lateralis; Vastus medialis; Rectus femoris reflected head; Rectus femoris straight head; Gluteus maximus</x:v>
      </x:c>
      <x:c r="G117" s="24" t="str">
        <x:v>Biceps femoris long head; Biceps femoris short head; Semimembranosus; Semitendinosus</x:v>
      </x:c>
      <x:c r="H117" s="24" t="str">
        <x:v>Rectus abdominis; External oblique; Internal oblique; Transversus abdominis; Gluteus medius; Gluteus minimus; Tensor fasciae latae</x:v>
      </x:c>
      <x:c r="I117" s="24" t="str">
        <x:v>—</x:v>
      </x:c>
      <x:c r="J117" s="24" t="str">
        <x:v>Vastus intermedius; Vastus lateralis; Vastus medialis; Rectus femoris reflected head; Rectus femoris straight head; Gluteus maximus; Biceps femoris long head; Biceps femoris short head; Semimembranosus; Semitendinosus; Rectus abdominis; External oblique; Internal oblique; Transversus abdominis; Gluteus medius; Gluteus minimus; Tensor fasciae latae</x:v>
      </x:c>
      <x:c r="K117" s="24" t="str">
        <x:v>Quadriceps/patellar tendons</x:v>
      </x:c>
      <x:c r="L117" s="24" t="str">
        <x:v>ACL, PCL, MCL, LCL and patellar retinacula stabilize knee; NOT deliberately stretched</x:v>
      </x:c>
      <x:c r="M117" s="24" t="str">
        <x:v>Muscles: Vastus intermedius; Vastus lateralis; Vastus medialis; Rectus femoris reflected head; Rectus femoris straight head; Gluteus maximus; Biceps femoris long head; Biceps femoris short head; Semimembranosus; Semitendinosus; Rectus abdominis; External oblique; Internal oblique; Transversus abdominis; Gluteus medius; Gluteus minimus; Tensor fasciae latae | Tendons/fascia: Quadriceps/patellar tendons | Ligament context only: ACL, PCL, MCL, LCL and patellar retinacula stabilize knee; NOT deliberately stretched</x:v>
      </x:c>
      <x:c r="N117" s="24" t="str">
        <x:v>Vastus intermedius; Vastus lateralis; Vastus medialis; Rectus femoris reflected head; Rectus femoris straight head; Gluteus maximus; Biceps femoris long head; Biceps femoris short head; Semimembranosus; Semitendinosus</x:v>
      </x:c>
      <x:c r="O117" s="24" t="str">
        <x:v>Rise from chair without dropping knees inward; sit with control.</x:v>
      </x:c>
      <x:c r="P117" s="24" t="str">
        <x:v>Stable chair</x:v>
      </x:c>
      <x:c r="Q117" s="24" t="str">
        <x:v>2–3 × 8–12 controlled reps</x:v>
      </x:c>
      <x:c r="R117" s="24" t="str">
        <x:v>Progress gradually; stop with sharp pain, dizziness, or numbness.</x:v>
      </x:c>
      <x:c r="S117" s="24" t="str">
        <x:v>https://www.orthoinfo.org/recovery/knee-conditioning-program</x:v>
      </x:c>
      <x:c r="T117" s="24" t="str">
        <x:v>Anatomy-based mapping</x:v>
      </x:c>
    </x:row>
    <x:row r="118" ht="54" customHeight="1">
      <x:c r="A118" s="24" t="str">
        <x:v>EX0151</x:v>
      </x:c>
      <x:c r="B118" s="24" t="str">
        <x:v>Reverse lunge</x:v>
      </x:c>
      <x:c r="C118" s="24" t="str">
        <x:v>Thigh &amp; Knee</x:v>
      </x:c>
      <x:c r="D118" s="24" t="str">
        <x:v>Home</x:v>
      </x:c>
      <x:c r="E118" s="24" t="str">
        <x:v>Compound strength</x:v>
      </x:c>
      <x:c r="F118" s="24" t="str">
        <x:v>Vastus intermedius; Vastus lateralis; Vastus medialis; Rectus femoris reflected head; Rectus femoris straight head; Gluteus maximus</x:v>
      </x:c>
      <x:c r="G118" s="24" t="str">
        <x:v>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18" s="24" t="str">
        <x:v>Gluteus medius; Gluteus minimus; Tensor fasciae latae; Rectus abdominis; External oblique; Internal oblique; Transversus abdominis</x:v>
      </x:c>
      <x:c r="I118" s="24" t="str">
        <x:v>—</x:v>
      </x:c>
      <x:c r="J118" s="24" t="str">
        <x:v>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Gluteus medius; Gluteus minimus; Tensor fasciae latae; Rectus abdominis; External oblique; Internal oblique; Transversus abdominis</x:v>
      </x:c>
      <x:c r="K118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18" s="24" t="str">
        <x:v>ACL, PCL, MCL, LCL and patellar retinacula stabilize knee; NOT deliberately stretched</x:v>
      </x:c>
      <x:c r="M118" s="24" t="str">
        <x:v>Muscles: 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Gluteus medius; Gluteus minimus; Tensor fasciae latae; Rectus abdominis; External oblique; Internal oblique; Transversus abdominis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18" s="24" t="str">
        <x:v>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18" s="24" t="str">
        <x:v>Step back and lower in a stable split stance, then return.</x:v>
      </x:c>
      <x:c r="P118" s="24" t="str">
        <x:v>Floor</x:v>
      </x:c>
      <x:c r="Q118" s="24" t="str">
        <x:v>2–3 × 8–12 controlled reps</x:v>
      </x:c>
      <x:c r="R118" s="24" t="str">
        <x:v>Progress gradually; stop with sharp pain, dizziness, or numbness.</x:v>
      </x:c>
      <x:c r="S118" s="24" t="str">
        <x:v>https://www.orthoinfo.org/recovery/knee-conditioning-program</x:v>
      </x:c>
      <x:c r="T118" s="24" t="str">
        <x:v>Anatomy-based mapping</x:v>
      </x:c>
    </x:row>
    <x:row r="119" ht="54" customHeight="1">
      <x:c r="A119" s="24" t="str">
        <x:v>EX0152</x:v>
      </x:c>
      <x:c r="B119" s="24" t="str">
        <x:v>Forward lunge</x:v>
      </x:c>
      <x:c r="C119" s="24" t="str">
        <x:v>Thigh &amp; Knee</x:v>
      </x:c>
      <x:c r="D119" s="24" t="str">
        <x:v>Home</x:v>
      </x:c>
      <x:c r="E119" s="24" t="str">
        <x:v>Compound strength</x:v>
      </x:c>
      <x:c r="F119" s="24" t="str">
        <x:v>Vastus intermedius; Vastus lateralis; Vastus medialis; Rectus femoris reflected head; Rectus femoris straight head; Gluteus maximus</x:v>
      </x:c>
      <x:c r="G119" s="24" t="str">
        <x:v>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19" s="24" t="str">
        <x:v>Gluteus medius; Gluteus minimus; Tensor fasciae latae; Rectus abdominis; External oblique; Internal oblique; Transversus abdominis</x:v>
      </x:c>
      <x:c r="I119" s="24" t="str">
        <x:v>—</x:v>
      </x:c>
      <x:c r="J119" s="24" t="str">
        <x:v>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Gluteus medius; Gluteus minimus; Tensor fasciae latae; Rectus abdominis; External oblique; Internal oblique; Transversus abdominis</x:v>
      </x:c>
      <x:c r="K119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19" s="24" t="str">
        <x:v>ACL, PCL, MCL, LCL and patellar retinacula stabilize knee; NOT deliberately stretched</x:v>
      </x:c>
      <x:c r="M119" s="24" t="str">
        <x:v>Muscles: 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Gluteus medius; Gluteus minimus; Tensor fasciae latae; Rectus abdominis; External oblique; Internal oblique; Transversus abdominis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19" s="24" t="str">
        <x:v>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19" s="24" t="str">
        <x:v>Step forward and lower body vertically; push back to start.</x:v>
      </x:c>
      <x:c r="P119" s="24" t="str">
        <x:v>Floor</x:v>
      </x:c>
      <x:c r="Q119" s="24" t="str">
        <x:v>2–3 × 8–12 controlled reps</x:v>
      </x:c>
      <x:c r="R119" s="24" t="str">
        <x:v>Progress gradually; stop with sharp pain, dizziness, or numbness.</x:v>
      </x:c>
      <x:c r="S119" s="24" t="str">
        <x:v>https://www.orthoinfo.org/recovery/knee-conditioning-program</x:v>
      </x:c>
      <x:c r="T119" s="24" t="str">
        <x:v>Anatomy-based mapping</x:v>
      </x:c>
    </x:row>
    <x:row r="120" ht="54" customHeight="1">
      <x:c r="A120" s="24" t="str">
        <x:v>EX0154</x:v>
      </x:c>
      <x:c r="B120" s="24" t="str">
        <x:v>Lateral lunge</x:v>
      </x:c>
      <x:c r="C120" s="24" t="str">
        <x:v>Thigh &amp; Knee</x:v>
      </x:c>
      <x:c r="D120" s="24" t="str">
        <x:v>Home</x:v>
      </x:c>
      <x:c r="E120" s="24" t="str">
        <x:v>Compound strength</x:v>
      </x:c>
      <x:c r="F120" s="24" t="str">
        <x:v>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Vastus intermedius; Vastus lateralis; Vastus medialis; Rectus femoris reflected head; Rectus femoris straight head</x:v>
      </x:c>
      <x:c r="G120" s="24" t="str">
        <x:v>Gluteus medius; Gluteus minimus; Tensor fasciae latae</x:v>
      </x:c>
      <x:c r="H120" s="24" t="str">
        <x:v>Rectus abdominis; External oblique; Internal oblique; Transversus abdominis</x:v>
      </x:c>
      <x:c r="I120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J120" s="24" t="str">
        <x:v>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Vastus intermedius; Vastus lateralis; Vastus medialis; Rectus femoris reflected head; Rectus femoris straight head; Gluteus medius; Gluteus minimus; Tensor fasciae latae; Rectus abdominis; External oblique; Internal oblique; Transversus abdominis</x:v>
      </x:c>
      <x:c r="K120" s="24" t="str">
        <x:v>Atlas-listed tendon/aponeurosis examples: Iliotibial tract aponeurosis and gluteal tendon; Adductor tendon through ulnar sesamoid; Common adductor tendon; Broad short insertion; additional listed attachments</x:v>
      </x:c>
      <x:c r="L120" s="24" t="str">
        <x:v>ACL, PCL, MCL, LCL and patellar retinacula stabilize knee; NOT deliberately stretched</x:v>
      </x:c>
      <x:c r="M120" s="24" t="str">
        <x:v>Muscles: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Vastus intermedius; Vastus lateralis; Vastus medialis; Rectus femoris reflected head; Rectus femoris straight head; Gluteus medius; Gluteus minimus; Tensor fasciae latae; Rectus abdominis; External oblique; Internal oblique; Transversus abdominis | Tendons/fascia: Atlas-listed tendon/aponeurosis examples: Iliotibial tract aponeurosis and gluteal tendon; Adductor tendon through ulnar sesamoid; Common adductor tendon; Broad short insertion; additional listed attachments | Ligament context only: ACL, PCL, MCL, LCL and patellar retinacula stabilize knee; NOT deliberately stretched</x:v>
      </x:c>
      <x:c r="N120" s="24" t="str">
        <x:v>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Vastus intermedius; Vastus lateralis; Vastus medialis; Rectus femoris reflected head; Rectus femoris straight head; Gluteus medius; Gluteus minimus; Tensor fasciae latae</x:v>
      </x:c>
      <x:c r="O120" s="24" t="str">
        <x:v>Step wide, sit back into one hip while other leg stays longer.</x:v>
      </x:c>
      <x:c r="P120" s="24" t="str">
        <x:v>Floor</x:v>
      </x:c>
      <x:c r="Q120" s="24" t="str">
        <x:v>2–3 × 8–12 controlled reps</x:v>
      </x:c>
      <x:c r="R120" s="24" t="str">
        <x:v>Progress gradually; stop with sharp pain, dizziness, or numbness.</x:v>
      </x:c>
      <x:c r="S120" s="24" t="str">
        <x:v>https://www.orthoinfo.org/recovery/knee-conditioning-program</x:v>
      </x:c>
      <x:c r="T120" s="24" t="str">
        <x:v>Anatomy-based mapping</x:v>
      </x:c>
    </x:row>
    <x:row r="121" ht="54" customHeight="1">
      <x:c r="A121" s="24" t="str">
        <x:v>EX0155</x:v>
      </x:c>
      <x:c r="B121" s="24" t="str">
        <x:v>Curtsy lunge (shallow)</x:v>
      </x:c>
      <x:c r="C121" s="24" t="str">
        <x:v>Thigh &amp; Knee</x:v>
      </x:c>
      <x:c r="D121" s="24" t="str">
        <x:v>Home</x:v>
      </x:c>
      <x:c r="E121" s="24" t="str">
        <x:v>Compound strength</x:v>
      </x:c>
      <x:c r="F121" s="24" t="str">
        <x:v>Gluteus medius; Gluteus minimus; Tensor fasciae latae; Gluteus maximus</x:v>
      </x:c>
      <x:c r="G121" s="24" t="str">
        <x:v>Vastus intermedius; Vastus lateralis; Vastus medialis; Rectus femoris reflected head; Rectus femoris straight head;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21" s="24" t="str">
        <x:v>Rectus abdominis; External oblique; Internal oblique; Transversus abdominis</x:v>
      </x:c>
      <x:c r="I121" s="24" t="str">
        <x:v>—</x:v>
      </x:c>
      <x:c r="J121" s="24" t="str">
        <x:v>Gluteus medius; Gluteus minimus; Tensor fasciae latae; Gluteus maximus; Vastus intermedius; Vastus lateralis; Vastus medialis; Rectus femoris reflected head; Rectus femoris straight head;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</x:v>
      </x:c>
      <x:c r="K121" s="24" t="str">
        <x:v>Atlas-listed tendon/aponeurosis examples: Gluteus medius tendon; Gluteus minimus tendon and joint-capsule expansions; Iliotibial tract (fascial thickening); Iliotibial tract aponeurosis and gluteal tendon; additional listed attachments</x:v>
      </x:c>
      <x:c r="L121" s="24" t="str">
        <x:v>ACL, PCL, MCL, LCL and patellar retinacula stabilize knee; NOT deliberately stretched</x:v>
      </x:c>
      <x:c r="M121" s="24" t="str">
        <x:v>Muscles: Gluteus medius; Gluteus minimus; Tensor fasciae latae; Gluteus maximus; Vastus intermedius; Vastus lateralis; Vastus medialis; Rectus femoris reflected head; Rectus femoris straight head;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 | Tendons/fascia: Atlas-listed tendon/aponeurosis examples: Gluteus medius tendon; Gluteus minimus tendon and joint-capsule expansions; Iliotibial tract (fascial thickening); Iliotibial tract aponeurosis and gluteal tendon; additional listed attachments | Ligament context only: ACL, PCL, MCL, LCL and patellar retinacula stabilize knee; NOT deliberately stretched</x:v>
      </x:c>
      <x:c r="N121" s="24" t="str">
        <x:v>Gluteus medius; Gluteus minimus; Tensor fasciae latae; Gluteus maximus; Vastus intermedius; Vastus lateralis; Vastus medialis; Rectus femoris reflected head; Rectus femoris straight head;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21" s="24" t="str">
        <x:v>Cross one foot gently behind; keep front knee aligned and depth shallow.</x:v>
      </x:c>
      <x:c r="P121" s="24" t="str">
        <x:v>Floor</x:v>
      </x:c>
      <x:c r="Q121" s="24" t="str">
        <x:v>2–3 × 8–12 controlled reps</x:v>
      </x:c>
      <x:c r="R121" s="24" t="str">
        <x:v>Avoid with painful hip impingement or knee instability.</x:v>
      </x:c>
      <x:c r="S121" s="24" t="str">
        <x:v>https://www.orthoinfo.org/recovery/knee-conditioning-program</x:v>
      </x:c>
      <x:c r="T121" s="24" t="str">
        <x:v>Anatomy-based mapping</x:v>
      </x:c>
    </x:row>
    <x:row r="122" ht="54" customHeight="1">
      <x:c r="A122" s="24" t="str">
        <x:v>EX0156</x:v>
      </x:c>
      <x:c r="B122" s="24" t="str">
        <x:v>Step-up on low platform</x:v>
      </x:c>
      <x:c r="C122" s="24" t="str">
        <x:v>Thigh &amp; Knee</x:v>
      </x:c>
      <x:c r="D122" s="24" t="str">
        <x:v>Home</x:v>
      </x:c>
      <x:c r="E122" s="24" t="str">
        <x:v>Compound strength</x:v>
      </x:c>
      <x:c r="F122" s="24" t="str">
        <x:v>Vastus intermedius; Vastus lateralis; Vastus medialis; Rectus femoris reflected head; Rectus femoris straight head; Gluteus maximus</x:v>
      </x:c>
      <x:c r="G122" s="24" t="str">
        <x:v>Biceps femoris long head; Biceps femoris short head; Semimembranosus; Semitendinosus</x:v>
      </x:c>
      <x:c r="H122" s="24" t="str">
        <x:v>Gluteus medius; Gluteus minimus; Tensor fasciae latae; Rectus abdominis; External oblique; Internal oblique; Transversus abdominis</x:v>
      </x:c>
      <x:c r="I122" s="24" t="str">
        <x:v>—</x:v>
      </x:c>
      <x:c r="J122" s="24" t="str">
        <x:v>Vastus intermedius; Vastus lateralis; Vastus medialis; Rectus femoris reflected head; Rectus femoris straight head; Gluteus maximus; Biceps femoris long head; Biceps femoris short head; Semimembranosus; Semitendinosus; Gluteus medius; Gluteus minimus; Tensor fasciae latae; Rectus abdominis; External oblique; Internal oblique; Transversus abdominis</x:v>
      </x:c>
      <x:c r="K122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22" s="24" t="str">
        <x:v>ACL, PCL, MCL, LCL and patellar retinacula stabilize knee; NOT deliberately stretched</x:v>
      </x:c>
      <x:c r="M122" s="24" t="str">
        <x:v>Muscles: Vastus intermedius; Vastus lateralis; Vastus medialis; Rectus femoris reflected head; Rectus femoris straight head; Gluteus maximus; Biceps femoris long head; Biceps femoris short head; Semimembranosus; Semitendinosus; Gluteus medius; Gluteus minimus; Tensor fasciae latae; Rectus abdominis; External oblique; Internal oblique; Transversus abdominis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22" s="24" t="str">
        <x:v>Vastus intermedius; Vastus lateralis; Vastus medialis; Rectus femoris reflected head; Rectus femoris straight head; Gluteus maximus; Biceps femoris long head; Biceps femoris short head; Semimembranosus; Semitendinosus</x:v>
      </x:c>
      <x:c r="O122" s="24" t="str">
        <x:v>Step up using lead leg without pushing excessively from trailing foot.</x:v>
      </x:c>
      <x:c r="P122" s="24" t="str">
        <x:v>Stable step</x:v>
      </x:c>
      <x:c r="Q122" s="24" t="str">
        <x:v>2–3 × 8–12 controlled reps</x:v>
      </x:c>
      <x:c r="R122" s="24" t="str">
        <x:v>Progress gradually; stop with sharp pain, dizziness, or numbness.</x:v>
      </x:c>
      <x:c r="S122" s="24" t="str">
        <x:v>https://www.orthoinfo.org/recovery/knee-conditioning-program</x:v>
      </x:c>
      <x:c r="T122" s="24" t="str">
        <x:v>Anatomy-based mapping</x:v>
      </x:c>
    </x:row>
    <x:row r="123" ht="54" customHeight="1">
      <x:c r="A123" s="24" t="str">
        <x:v>EX0158</x:v>
      </x:c>
      <x:c r="B123" s="24" t="str">
        <x:v>Single-leg chair squat assisted</x:v>
      </x:c>
      <x:c r="C123" s="24" t="str">
        <x:v>Thigh &amp; Knee</x:v>
      </x:c>
      <x:c r="D123" s="24" t="str">
        <x:v>Home</x:v>
      </x:c>
      <x:c r="E123" s="24" t="str">
        <x:v>Compound strength</x:v>
      </x:c>
      <x:c r="F123" s="24" t="str">
        <x:v>Vastus intermedius; Vastus lateralis; Vastus medialis; Rectus femoris reflected head; Rectus femoris straight head; Gluteus maximus</x:v>
      </x:c>
      <x:c r="G123" s="24" t="str">
        <x:v>Biceps femoris long head; Biceps femoris short head; Semimembranosus; Semitendinosus</x:v>
      </x:c>
      <x:c r="H123" s="24" t="str">
        <x:v>Gluteus medius; Gluteus minimus; Tensor fasciae latae; Rectus abdominis; External oblique; Internal oblique; Transversus abdominis</x:v>
      </x:c>
      <x:c r="I123" s="24" t="str">
        <x:v>—</x:v>
      </x:c>
      <x:c r="J123" s="24" t="str">
        <x:v>Vastus intermedius; Vastus lateralis; Vastus medialis; Rectus femoris reflected head; Rectus femoris straight head; Gluteus maximus; Biceps femoris long head; Biceps femoris short head; Semimembranosus; Semitendinosus; Gluteus medius; Gluteus minimus; Tensor fasciae latae; Rectus abdominis; External oblique; Internal oblique; Transversus abdominis</x:v>
      </x:c>
      <x:c r="K123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23" s="24" t="str">
        <x:v>ACL, PCL, MCL, LCL and patellar retinacula stabilize knee; NOT deliberately stretched</x:v>
      </x:c>
      <x:c r="M123" s="24" t="str">
        <x:v>Muscles: Vastus intermedius; Vastus lateralis; Vastus medialis; Rectus femoris reflected head; Rectus femoris straight head; Gluteus maximus; Biceps femoris long head; Biceps femoris short head; Semimembranosus; Semitendinosus; Gluteus medius; Gluteus minimus; Tensor fasciae latae; Rectus abdominis; External oblique; Internal oblique; Transversus abdominis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23" s="24" t="str">
        <x:v>Vastus intermedius; Vastus lateralis; Vastus medialis; Rectus femoris reflected head; Rectus femoris straight head; Gluteus maximus; Biceps femoris long head; Biceps femoris short head; Semimembranosus; Semitendinosus</x:v>
      </x:c>
      <x:c r="O123" s="24" t="str">
        <x:v>Hold support, lower toward chair on one leg, then stand.</x:v>
      </x:c>
      <x:c r="P123" s="24" t="str">
        <x:v>Chair; rail</x:v>
      </x:c>
      <x:c r="Q123" s="24" t="str">
        <x:v>2–3 × 8–12 controlled reps</x:v>
      </x:c>
      <x:c r="R123" s="24" t="str">
        <x:v>Progress gradually; stop with sharp pain, dizziness, or numbness.</x:v>
      </x:c>
      <x:c r="S123" s="24" t="str">
        <x:v>https://www.orthoinfo.org/recovery/knee-conditioning-program</x:v>
      </x:c>
      <x:c r="T123" s="24" t="str">
        <x:v>Anatomy-based mapping</x:v>
      </x:c>
    </x:row>
    <x:row r="124" ht="54" customHeight="1">
      <x:c r="A124" s="24" t="str">
        <x:v>EX0159</x:v>
      </x:c>
      <x:c r="B124" s="24" t="str">
        <x:v>Wall sit</x:v>
      </x:c>
      <x:c r="C124" s="24" t="str">
        <x:v>Thigh &amp; Knee</x:v>
      </x:c>
      <x:c r="D124" s="24" t="str">
        <x:v>Home</x:v>
      </x:c>
      <x:c r="E124" s="24" t="str">
        <x:v>Isometric strength</x:v>
      </x:c>
      <x:c r="F124" s="24" t="str">
        <x:v>Vastus intermedius; Vastus lateralis; Vastus medialis; Rectus femoris reflected head; Rectus femoris straight head</x:v>
      </x:c>
      <x:c r="G124" s="24" t="str">
        <x:v>Gluteus maximus</x:v>
      </x:c>
      <x:c r="H124" s="24" t="str">
        <x:v>Rectus abdominis; External oblique; Internal oblique; Transversus abdominis</x:v>
      </x:c>
      <x:c r="I124" s="24" t="str">
        <x:v>—</x:v>
      </x:c>
      <x:c r="J124" s="24" t="str">
        <x:v>Vastus intermedius; Vastus lateralis; Vastus medialis; Rectus femoris reflected head; Rectus femoris straight head; Gluteus maximus; Rectus abdominis; External oblique; Internal oblique; Transversus abdominis</x:v>
      </x:c>
      <x:c r="K124" s="24" t="str">
        <x:v>Quadriceps and patellar tendons</x:v>
      </x:c>
      <x:c r="L124" s="24" t="str">
        <x:v>ACL, PCL, MCL, LCL and patellar retinacula stabilize knee; NOT deliberately stretched</x:v>
      </x:c>
      <x:c r="M124" s="24" t="str">
        <x:v>Muscles: Vastus intermedius; Vastus lateralis; Vastus medialis; Rectus femoris reflected head; Rectus femoris straight head; Gluteus maximus; Rectus abdominis; External oblique; Internal oblique; Transversus abdominis | Tendons/fascia: Quadriceps and patellar tendons | Ligament context only: ACL, PCL, MCL, LCL and patellar retinacula stabilize knee; NOT deliberately stretched</x:v>
      </x:c>
      <x:c r="N124" s="24" t="str">
        <x:v>Vastus intermedius; Vastus lateralis; Vastus medialis; Rectus femoris reflected head; Rectus femoris straight head; Gluteus maximus</x:v>
      </x:c>
      <x:c r="O124" s="24" t="str">
        <x:v>Slide down wall to comfortable knee angle; hold with even foot pressure.</x:v>
      </x:c>
      <x:c r="P124" s="24" t="str">
        <x:v>Wall</x:v>
      </x:c>
      <x:c r="Q124" s="24" t="str">
        <x:v>2–3 × 8–12 controlled reps</x:v>
      </x:c>
      <x:c r="R124" s="24" t="str">
        <x:v>Progress gradually; stop with sharp pain, dizziness, or numbness.</x:v>
      </x:c>
      <x:c r="S124" s="24" t="str">
        <x:v>https://www.orthoinfo.org/recovery/knee-conditioning-program</x:v>
      </x:c>
      <x:c r="T124" s="24" t="str">
        <x:v>Anatomy-based mapping</x:v>
      </x:c>
    </x:row>
    <x:row r="125" ht="54" customHeight="1">
      <x:c r="A125" s="24" t="str">
        <x:v>EX0160</x:v>
      </x:c>
      <x:c r="B125" s="24" t="str">
        <x:v>Spanish squat band-supported</x:v>
      </x:c>
      <x:c r="C125" s="24" t="str">
        <x:v>Thigh &amp; Knee</x:v>
      </x:c>
      <x:c r="D125" s="24" t="str">
        <x:v>Home</x:v>
      </x:c>
      <x:c r="E125" s="24" t="str">
        <x:v>Isometric strength</x:v>
      </x:c>
      <x:c r="F125" s="24" t="str">
        <x:v>Vastus intermedius; Vastus lateralis; Vastus medialis; Rectus femoris reflected head; Rectus femoris straight head</x:v>
      </x:c>
      <x:c r="G125" s="24" t="str">
        <x:v>Gluteus maximus</x:v>
      </x:c>
      <x:c r="H125" s="24" t="str">
        <x:v>Rectus abdominis; External oblique; Internal oblique; Transversus abdominis</x:v>
      </x:c>
      <x:c r="I125" s="24" t="str">
        <x:v>—</x:v>
      </x:c>
      <x:c r="J125" s="24" t="str">
        <x:v>Vastus intermedius; Vastus lateralis; Vastus medialis; Rectus femoris reflected head; Rectus femoris straight head; Gluteus maximus; Rectus abdominis; External oblique; Internal oblique; Transversus abdominis</x:v>
      </x:c>
      <x:c r="K125" s="24" t="str">
        <x:v>Quadriceps and patellar tendons</x:v>
      </x:c>
      <x:c r="L125" s="24" t="str">
        <x:v>ACL, PCL, MCL, LCL and patellar retinacula stabilize knee; NOT deliberately stretched</x:v>
      </x:c>
      <x:c r="M125" s="24" t="str">
        <x:v>Muscles: Vastus intermedius; Vastus lateralis; Vastus medialis; Rectus femoris reflected head; Rectus femoris straight head; Gluteus maximus; Rectus abdominis; External oblique; Internal oblique; Transversus abdominis | Tendons/fascia: Quadriceps and patellar tendons | Ligament context only: ACL, PCL, MCL, LCL and patellar retinacula stabilize knee; NOT deliberately stretched</x:v>
      </x:c>
      <x:c r="N125" s="24" t="str">
        <x:v>Vastus intermedius; Vastus lateralis; Vastus medialis; Rectus femoris reflected head; Rectus femoris straight head; Gluteus maximus</x:v>
      </x:c>
      <x:c r="O125" s="24" t="str">
        <x:v>With heavy band anchored behind knees, sit upright against band support.</x:v>
      </x:c>
      <x:c r="P125" s="24" t="str">
        <x:v>Heavy band; secure anchor</x:v>
      </x:c>
      <x:c r="Q125" s="24" t="str">
        <x:v>2–3 × 8–12 controlled reps</x:v>
      </x:c>
      <x:c r="R125" s="24" t="str">
        <x:v>Requires properly rated anchor and substantial band control.</x:v>
      </x:c>
      <x:c r="S125" s="24" t="str">
        <x:v>https://www.orthoinfo.org/recovery/knee-conditioning-program</x:v>
      </x:c>
      <x:c r="T125" s="24" t="str">
        <x:v>Anatomy-based mapping</x:v>
      </x:c>
    </x:row>
    <x:row r="126" ht="54" customHeight="1">
      <x:c r="A126" s="24" t="str">
        <x:v>EX0162</x:v>
      </x:c>
      <x:c r="B126" s="24" t="str">
        <x:v>Short-arc quad over rolled towel</x:v>
      </x:c>
      <x:c r="C126" s="24" t="str">
        <x:v>Thigh &amp; Knee</x:v>
      </x:c>
      <x:c r="D126" s="24" t="str">
        <x:v>Home</x:v>
      </x:c>
      <x:c r="E126" s="24" t="str">
        <x:v>Isolation strength</x:v>
      </x:c>
      <x:c r="F126" s="24" t="str">
        <x:v>Vastus intermedius; Vastus lateralis; Vastus medialis; Rectus femoris reflected head; Rectus femoris straight head</x:v>
      </x:c>
      <x:c r="G126" s="24" t="str">
        <x:v>—</x:v>
      </x:c>
      <x:c r="H126" s="24" t="str">
        <x:v>Articularis genus</x:v>
      </x:c>
      <x:c r="I126" s="24" t="str">
        <x:v>—</x:v>
      </x:c>
      <x:c r="J126" s="24" t="str">
        <x:v>Vastus intermedius; Vastus lateralis; Vastus medialis; Rectus femoris reflected head; Rectus femoris straight head; Articularis genus</x:v>
      </x:c>
      <x:c r="K126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26" s="24" t="str">
        <x:v>ACL, PCL, MCL, LCL and patellar retinacula stabilize knee; NOT deliberately stretched</x:v>
      </x:c>
      <x:c r="M126" s="24" t="str">
        <x:v>Muscles: Vastus intermedius; Vastus lateralis; Vastus medialis; Rectus femoris reflected head; Rectus femoris straight head; Articularis genus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26" s="24" t="str">
        <x:v>Vastus intermedius; Vastus lateralis; Vastus medialis; Rectus femoris reflected head; Rectus femoris straight head</x:v>
      </x:c>
      <x:c r="O126" s="24" t="str">
        <x:v>Towel under knee; straighten knee by lifting heel and pause.</x:v>
      </x:c>
      <x:c r="P126" s="24" t="str">
        <x:v>Rolled towel</x:v>
      </x:c>
      <x:c r="Q126" s="24" t="str">
        <x:v>2–3 × 8–12 controlled reps</x:v>
      </x:c>
      <x:c r="R126" s="24" t="str">
        <x:v>Progress gradually; stop with sharp pain, dizziness, or numbness.</x:v>
      </x:c>
      <x:c r="S126" s="24" t="str">
        <x:v>https://www.orthoinfo.org/recovery/knee-conditioning-program</x:v>
      </x:c>
      <x:c r="T126" s="24" t="str">
        <x:v>Anatomy-based mapping</x:v>
      </x:c>
    </x:row>
    <x:row r="127" ht="54" customHeight="1">
      <x:c r="A127" s="24" t="str">
        <x:v>EX0163</x:v>
      </x:c>
      <x:c r="B127" s="24" t="str">
        <x:v>Terminal knee extension with band</x:v>
      </x:c>
      <x:c r="C127" s="24" t="str">
        <x:v>Thigh &amp; Knee</x:v>
      </x:c>
      <x:c r="D127" s="24" t="str">
        <x:v>Home</x:v>
      </x:c>
      <x:c r="E127" s="24" t="str">
        <x:v>Band strength</x:v>
      </x:c>
      <x:c r="F127" s="24" t="str">
        <x:v>Vastus intermedius; Vastus lateralis; Vastus medialis; Rectus femoris reflected head; Rectus femoris straight head</x:v>
      </x:c>
      <x:c r="G127" s="24" t="str">
        <x:v>Articularis genus</x:v>
      </x:c>
      <x:c r="H127" s="24" t="str">
        <x:v>Gluteus medius; Gluteus minimus; Tensor fasciae latae</x:v>
      </x:c>
      <x:c r="I127" s="24" t="str">
        <x:v>—</x:v>
      </x:c>
      <x:c r="J127" s="24" t="str">
        <x:v>Vastus intermedius; Vastus lateralis; Vastus medialis; Rectus femoris reflected head; Rectus femoris straight head; Articularis genus; Gluteus medius; Gluteus minimus; Tensor fasciae latae</x:v>
      </x:c>
      <x:c r="K127" s="24" t="str">
        <x:v>Quadriceps/patellar tendons</x:v>
      </x:c>
      <x:c r="L127" s="24" t="str">
        <x:v>ACL, PCL, MCL, LCL and patellar retinacula stabilize knee; NOT deliberately stretched</x:v>
      </x:c>
      <x:c r="M127" s="24" t="str">
        <x:v>Muscles: Vastus intermedius; Vastus lateralis; Vastus medialis; Rectus femoris reflected head; Rectus femoris straight head; Articularis genus; Gluteus medius; Gluteus minimus; Tensor fasciae latae | Tendons/fascia: Quadriceps/patellar tendons | Ligament context only: ACL, PCL, MCL, LCL and patellar retinacula stabilize knee; NOT deliberately stretched</x:v>
      </x:c>
      <x:c r="N127" s="24" t="str">
        <x:v>Vastus intermedius; Vastus lateralis; Vastus medialis; Rectus femoris reflected head; Rectus femoris straight head; Articularis genus</x:v>
      </x:c>
      <x:c r="O127" s="24" t="str">
        <x:v>Band behind knee; straighten knee fully but gently.</x:v>
      </x:c>
      <x:c r="P127" s="24" t="str">
        <x:v>Light band; anchor</x:v>
      </x:c>
      <x:c r="Q127" s="24" t="str">
        <x:v>2–3 × 8–12 controlled reps</x:v>
      </x:c>
      <x:c r="R127" s="24" t="str">
        <x:v>Progress gradually; stop with sharp pain, dizziness, or numbness.</x:v>
      </x:c>
      <x:c r="S127" s="24" t="str">
        <x:v>https://www.orthoinfo.org/recovery/knee-conditioning-program</x:v>
      </x:c>
      <x:c r="T127" s="24" t="str">
        <x:v>Anatomy-based mapping</x:v>
      </x:c>
    </x:row>
    <x:row r="128" ht="54" customHeight="1">
      <x:c r="A128" s="24" t="str">
        <x:v>EX0164</x:v>
      </x:c>
      <x:c r="B128" s="24" t="str">
        <x:v>Straight-leg raise quad set</x:v>
      </x:c>
      <x:c r="C128" s="24" t="str">
        <x:v>Thigh &amp; Knee</x:v>
      </x:c>
      <x:c r="D128" s="24" t="str">
        <x:v>Home</x:v>
      </x:c>
      <x:c r="E128" s="24" t="str">
        <x:v>Isometric strength</x:v>
      </x:c>
      <x:c r="F128" s="24" t="str">
        <x:v>Vastus intermedius; Vastus lateralis; Vastus medialis; Rectus femoris reflected head; Rectus femoris straight head; Iliacus; Psoas major; Sartorius; Tensor fasciae latae; Pectineus</x:v>
      </x:c>
      <x:c r="G128" s="24" t="str">
        <x:v>—</x:v>
      </x:c>
      <x:c r="H128" s="24" t="str">
        <x:v>Rectus abdominis; External oblique; Internal oblique; Transversus abdominis</x:v>
      </x:c>
      <x:c r="I128" s="24" t="str">
        <x:v>—</x:v>
      </x:c>
      <x:c r="J128" s="24" t="str">
        <x:v>Vastus intermedius; Vastus lateralis; Vastus medialis; Rectus femoris reflected head; Rectus femoris straight head; Iliacus; Psoas major; Sartorius; Tensor fasciae latae; Pectineus; Rectus abdominis; External oblique; Internal oblique; Transversus abdominis</x:v>
      </x:c>
      <x:c r="K128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28" s="24" t="str">
        <x:v>ACL, PCL, MCL, LCL and patellar retinacula stabilize knee; NOT deliberately stretched</x:v>
      </x:c>
      <x:c r="M128" s="24" t="str">
        <x:v>Muscles: Vastus intermedius; Vastus lateralis; Vastus medialis; Rectus femoris reflected head; Rectus femoris straight head; Iliacus; Psoas major; Sartorius; Tensor fasciae latae; Pectineus; Rectus abdominis; External oblique; Internal oblique; Transversus abdominis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28" s="24" t="str">
        <x:v>Vastus intermedius; Vastus lateralis; Vastus medialis; Rectus femoris reflected head; Rectus femoris straight head; Iliacus; Psoas major; Sartorius; Tensor fasciae latae; Pectineus</x:v>
      </x:c>
      <x:c r="O128" s="24" t="str">
        <x:v>Tighten front thigh, keep knee straight as you raise leg slightly.</x:v>
      </x:c>
      <x:c r="P128" s="24" t="str">
        <x:v>Mat</x:v>
      </x:c>
      <x:c r="Q128" s="24" t="str">
        <x:v>2–3 × 8–12 controlled reps</x:v>
      </x:c>
      <x:c r="R128" s="24" t="str">
        <x:v>Progress gradually; stop with sharp pain, dizziness, or numbness.</x:v>
      </x:c>
      <x:c r="S128" s="24" t="str">
        <x:v>https://www.orthoinfo.org/recovery/knee-conditioning-program</x:v>
      </x:c>
      <x:c r="T128" s="24" t="str">
        <x:v>Anatomy-based mapping</x:v>
      </x:c>
    </x:row>
    <x:row r="129" ht="54" customHeight="1">
      <x:c r="A129" s="24" t="str">
        <x:v>EX0165</x:v>
      </x:c>
      <x:c r="B129" s="24" t="str">
        <x:v>Nordic hamstring lowering assisted</x:v>
      </x:c>
      <x:c r="C129" s="24" t="str">
        <x:v>Thigh &amp; Knee</x:v>
      </x:c>
      <x:c r="D129" s="24" t="str">
        <x:v>Home</x:v>
      </x:c>
      <x:c r="E129" s="24" t="str">
        <x:v>Eccentric strength</x:v>
      </x:c>
      <x:c r="F129" s="24" t="str">
        <x:v>Biceps femoris long head; Biceps femoris short head; Semimembranosus; Semitendinosus</x:v>
      </x:c>
      <x:c r="G129" s="24" t="str">
        <x:v>—</x:v>
      </x:c>
      <x:c r="H129" s="24" t="str">
        <x:v>Gluteus maximus; Rectus abdominis; External oblique; Internal oblique; Transversus abdominis</x:v>
      </x:c>
      <x:c r="I129" s="24" t="str">
        <x:v>—</x:v>
      </x:c>
      <x:c r="J129" s="24" t="str">
        <x:v>Biceps femoris long head; Biceps femoris short head; Semimembranosus; Semitendinosus; Gluteus maximus; Rectus abdominis; External oblique; Internal oblique; Transversus abdominis</x:v>
      </x:c>
      <x:c r="K129" s="24" t="str">
        <x:v>Distal hamstring tendons; ischial origins</x:v>
      </x:c>
      <x:c r="L129" s="24" t="str">
        <x:v>ACL, PCL, MCL, LCL and patellar retinacula stabilize knee; NOT deliberately stretched</x:v>
      </x:c>
      <x:c r="M129" s="24" t="str">
        <x:v>Muscles: Biceps femoris long head; Biceps femoris short head; Semimembranosus; Semitendinosus; Gluteus maximus; Rectus abdominis; External oblique; Internal oblique; Transversus abdominis | Tendons/fascia: Distal hamstring tendons; ischial origins | Ligament context only: ACL, PCL, MCL, LCL and patellar retinacula stabilize knee; NOT deliberately stretched</x:v>
      </x:c>
      <x:c r="N129" s="24" t="str">
        <x:v>Biceps femoris long head; Biceps femoris short head; Semimembranosus; Semitendinosus</x:v>
      </x:c>
      <x:c r="O129" s="24" t="str">
        <x:v>Kneel with ankles safely anchored; lower slowly with hands catching you.</x:v>
      </x:c>
      <x:c r="P129" s="24" t="str">
        <x:v>Reliable ankle anchor; mat</x:v>
      </x:c>
      <x:c r="Q129" s="24" t="str">
        <x:v>2–3 × 8–12 controlled reps</x:v>
      </x:c>
      <x:c r="R129" s="24" t="str">
        <x:v>Advanced: high hamstring load; start with partial range.</x:v>
      </x:c>
      <x:c r="S129" s="24" t="str">
        <x:v>https://www.orthoinfo.org/recovery/knee-conditioning-program</x:v>
      </x:c>
      <x:c r="T129" s="24" t="str">
        <x:v>Anatomy-based mapping</x:v>
      </x:c>
    </x:row>
    <x:row r="130" ht="54" customHeight="1">
      <x:c r="A130" s="24" t="str">
        <x:v>EX0166</x:v>
      </x:c>
      <x:c r="B130" s="24" t="str">
        <x:v>Slider hamstring curl</x:v>
      </x:c>
      <x:c r="C130" s="24" t="str">
        <x:v>Thigh &amp; Knee</x:v>
      </x:c>
      <x:c r="D130" s="24" t="str">
        <x:v>Home</x:v>
      </x:c>
      <x:c r="E130" s="24" t="str">
        <x:v>Compound strength</x:v>
      </x:c>
      <x:c r="F130" s="24" t="str">
        <x:v>Biceps femoris long head; Biceps femoris short head; Semimembranosus; Semitendinosus</x:v>
      </x:c>
      <x:c r="G130" s="24" t="str">
        <x:v>Gluteus maximus</x:v>
      </x:c>
      <x:c r="H130" s="24" t="str">
        <x:v>Rectus abdominis; External oblique; Internal oblique; Transversus abdominis; Gastrocnemius lateral head; Gastrocnemius medial head; Soleus; Plantaris</x:v>
      </x:c>
      <x:c r="I130" s="24" t="str">
        <x:v>—</x:v>
      </x:c>
      <x:c r="J130" s="24" t="str">
        <x:v>Biceps femoris long head; Biceps femoris short head; Semimembranosus; Semitendinosus; Gluteus maximus; Rectus abdominis; External oblique; Internal oblique; Transversus abdominis; Gastrocnemius lateral head; Gastrocnemius medial head; Soleus; Plantaris</x:v>
      </x:c>
      <x:c r="K130" s="24" t="str">
        <x:v>Hamstring distal tendons</x:v>
      </x:c>
      <x:c r="L130" s="24" t="str">
        <x:v>ACL, PCL, MCL, LCL and patellar retinacula stabilize knee; NOT deliberately stretched</x:v>
      </x:c>
      <x:c r="M130" s="24" t="str">
        <x:v>Muscles: Biceps femoris long head; Biceps femoris short head; Semimembranosus; Semitendinosus; Gluteus maximus; Rectus abdominis; External oblique; Internal oblique; Transversus abdominis; Gastrocnemius lateral head; Gastrocnemius medial head; Soleus; Plantaris | Tendons/fascia: Hamstring distal tendons | Ligament context only: ACL, PCL, MCL, LCL and patellar retinacula stabilize knee; NOT deliberately stretched</x:v>
      </x:c>
      <x:c r="N130" s="24" t="str">
        <x:v>Biceps femoris long head; Biceps femoris short head; Semimembranosus; Semitendinosus; Gluteus maximus</x:v>
      </x:c>
      <x:c r="O130" s="24" t="str">
        <x:v>Bridge hips and slide heels away/in on towels keeping hips elevated.</x:v>
      </x:c>
      <x:c r="P130" s="24" t="str">
        <x:v>Sliders/towels</x:v>
      </x:c>
      <x:c r="Q130" s="24" t="str">
        <x:v>2–3 × 8–12 controlled reps</x:v>
      </x:c>
      <x:c r="R130" s="24" t="str">
        <x:v>Progress gradually; stop with sharp pain, dizziness, or numbness.</x:v>
      </x:c>
      <x:c r="S130" s="24" t="str">
        <x:v>https://www.orthoinfo.org/recovery/knee-conditioning-program</x:v>
      </x:c>
      <x:c r="T130" s="24" t="str">
        <x:v>Anatomy-based mapping</x:v>
      </x:c>
    </x:row>
    <x:row r="131" ht="54" customHeight="1">
      <x:c r="A131" s="24" t="str">
        <x:v>EX0167</x:v>
      </x:c>
      <x:c r="B131" s="24" t="str">
        <x:v>Resistance band prone hamstring curl</x:v>
      </x:c>
      <x:c r="C131" s="24" t="str">
        <x:v>Thigh &amp; Knee</x:v>
      </x:c>
      <x:c r="D131" s="24" t="str">
        <x:v>Home</x:v>
      </x:c>
      <x:c r="E131" s="24" t="str">
        <x:v>Band strength</x:v>
      </x:c>
      <x:c r="F131" s="24" t="str">
        <x:v>Biceps femoris long head; Biceps femoris short head; Semimembranosus; Semitendinosus</x:v>
      </x:c>
      <x:c r="G131" s="24" t="str">
        <x:v>—</x:v>
      </x:c>
      <x:c r="H131" s="24" t="str">
        <x:v>Gluteus maximus</x:v>
      </x:c>
      <x:c r="I131" s="24" t="str">
        <x:v>—</x:v>
      </x:c>
      <x:c r="J131" s="24" t="str">
        <x:v>Biceps femoris long head; Biceps femoris short head; Semimembranosus; Semitendinosus; Gluteus maximus</x:v>
      </x:c>
      <x:c r="K131" s="24" t="str">
        <x:v>Biceps femoris; semitendinosus; semimembranosus tendons</x:v>
      </x:c>
      <x:c r="L131" s="24" t="str">
        <x:v>ACL, PCL, MCL, LCL and patellar retinacula stabilize knee; NOT deliberately stretched</x:v>
      </x:c>
      <x:c r="M131" s="24" t="str">
        <x:v>Muscles: Biceps femoris long head; Biceps femoris short head; Semimembranosus; Semitendinosus; Gluteus maximus | Tendons/fascia: Biceps femoris; semitendinosus; semimembranosus tendons | Ligament context only: ACL, PCL, MCL, LCL and patellar retinacula stabilize knee; NOT deliberately stretched</x:v>
      </x:c>
      <x:c r="N131" s="24" t="str">
        <x:v>Biceps femoris long head; Biceps femoris short head; Semimembranosus; Semitendinosus</x:v>
      </x:c>
      <x:c r="O131" s="24" t="str">
        <x:v>Lie prone with band to ankle; flex knee slowly.</x:v>
      </x:c>
      <x:c r="P131" s="24" t="str">
        <x:v>Band; low secure anchor</x:v>
      </x:c>
      <x:c r="Q131" s="24" t="str">
        <x:v>2–3 × 8–12 controlled reps</x:v>
      </x:c>
      <x:c r="R131" s="24" t="str">
        <x:v>Progress gradually; stop with sharp pain, dizziness, or numbness.</x:v>
      </x:c>
      <x:c r="S131" s="24" t="str">
        <x:v>https://www.orthoinfo.org/recovery/knee-conditioning-program</x:v>
      </x:c>
      <x:c r="T131" s="24" t="str">
        <x:v>Anatomy-based mapping</x:v>
      </x:c>
    </x:row>
    <x:row r="132" ht="54" customHeight="1">
      <x:c r="A132" s="24" t="str">
        <x:v>EX0172</x:v>
      </x:c>
      <x:c r="B132" s="24" t="str">
        <x:v>Single-leg Romanian deadlift</x:v>
      </x:c>
      <x:c r="C132" s="24" t="str">
        <x:v>Thigh &amp; Knee</x:v>
      </x:c>
      <x:c r="D132" s="24" t="str">
        <x:v>Home</x:v>
      </x:c>
      <x:c r="E132" s="24" t="str">
        <x:v>Compound strength</x:v>
      </x:c>
      <x:c r="F132" s="24" t="str">
        <x:v>Biceps femoris long head; Biceps femoris short head; Semimembranosus; Semitendinosus; Gluteus maximus</x:v>
      </x:c>
      <x:c r="G132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132" s="24" t="str">
        <x:v>Gluteus medius; Gluteus minimus; Tensor fasciae latae;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132" s="24" t="str">
        <x:v>—</x:v>
      </x:c>
      <x:c r="J132" s="24" t="str">
        <x:v>Biceps femoris long head; Biceps femoris short head; Semimembranosus; Semitendinosus;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Gluteus medius; Gluteus minimus; Tensor fasciae latae;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132" s="24" t="str">
        <x:v>Atlas-listed tendon/aponeurosis examples: Common hamstring proximal tendon; distal biceps tendon; Common biceps femoris distal tendon; Broad proximal membrane; distal semimembranosus tendon; Long distal pes anserinus tendon; additional listed attachments</x:v>
      </x:c>
      <x:c r="L132" s="24" t="str">
        <x:v>ACL, PCL, MCL, LCL and patellar retinacula stabilize knee; NOT deliberately stretched</x:v>
      </x:c>
      <x:c r="M132" s="24" t="str">
        <x:v>Muscles: Biceps femoris long head; Biceps femoris short head; Semimembranosus; Semitendinosus;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Gluteus medius; Gluteus minimus; Tensor fasciae latae;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Common hamstring proximal tendon; distal biceps tendon; Common biceps femoris distal tendon; Broad proximal membrane; distal semimembranosus tendon; Long distal pes anserinus tendon; additional listed attachments | Ligament context only: ACL, PCL, MCL, LCL and patellar retinacula stabilize knee; NOT deliberately stretched</x:v>
      </x:c>
      <x:c r="N132" s="24" t="str">
        <x:v>Biceps femoris long head; Biceps femoris short head; Semimembranosus; Semitendinosus;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32" s="24" t="str">
        <x:v>Hinge on one leg with back leg counterbalancing; pelvis square.</x:v>
      </x:c>
      <x:c r="P132" s="24" t="str">
        <x:v>Floor</x:v>
      </x:c>
      <x:c r="Q132" s="24" t="str">
        <x:v>2–3 × 8–12 controlled reps</x:v>
      </x:c>
      <x:c r="R132" s="24" t="str">
        <x:v>Progress gradually; stop with sharp pain, dizziness, or numbness.</x:v>
      </x:c>
      <x:c r="S132" s="24" t="str">
        <x:v>https://www.orthoinfo.org/recovery/knee-conditioning-program</x:v>
      </x:c>
      <x:c r="T132" s="24" t="str">
        <x:v>Anatomy-based mapping</x:v>
      </x:c>
    </x:row>
    <x:row r="133" ht="54" customHeight="1">
      <x:c r="A133" s="24" t="str">
        <x:v>EX0176</x:v>
      </x:c>
      <x:c r="B133" s="24" t="str">
        <x:v>Staggered-stance hamstring hinge</x:v>
      </x:c>
      <x:c r="C133" s="24" t="str">
        <x:v>Thigh &amp; Knee</x:v>
      </x:c>
      <x:c r="D133" s="24" t="str">
        <x:v>Home</x:v>
      </x:c>
      <x:c r="E133" s="24" t="str">
        <x:v>Compound strength</x:v>
      </x:c>
      <x:c r="F133" s="24" t="str">
        <x:v>Biceps femoris long head; Biceps femoris short head; Semimembranosus; Semitendinosus; Gluteus maximus</x:v>
      </x:c>
      <x:c r="G133" s="24" t="str">
        <x:v>—</x:v>
      </x:c>
      <x:c r="H133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I133" s="24" t="str">
        <x:v>—</x:v>
      </x:c>
      <x:c r="J133" s="24" t="str">
        <x:v>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133" s="24" t="str">
        <x:v>Atlas-listed tendon/aponeurosis examples: Common hamstring proximal tendon; distal biceps tendon; Common biceps femoris distal tendon; Broad proximal membrane; distal semimembranosus tendon; Long distal pes anserinus tendon; additional listed attachments</x:v>
      </x:c>
      <x:c r="L133" s="24" t="str">
        <x:v>ACL, PCL, MCL, LCL and patellar retinacula stabilize knee; NOT deliberately stretched</x:v>
      </x:c>
      <x:c r="M133" s="24" t="str">
        <x:v>Muscles: 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Atlas-listed tendon/aponeurosis examples: Common hamstring proximal tendon; distal biceps tendon; Common biceps femoris distal tendon; Broad proximal membrane; distal semimembranosus tendon; Long distal pes anserinus tendon; additional listed attachments | Ligament context only: ACL, PCL, MCL, LCL and patellar retinacula stabilize knee; NOT deliberately stretched</x:v>
      </x:c>
      <x:c r="N133" s="24" t="str">
        <x:v>Biceps femoris long head; Biceps femoris short head; Semimembranosus; Semitendinosus; Gluteus maximus</x:v>
      </x:c>
      <x:c r="O133" s="24" t="str">
        <x:v>Keep most weight on front leg while hinging and returning.</x:v>
      </x:c>
      <x:c r="P133" s="24" t="str">
        <x:v>Floor</x:v>
      </x:c>
      <x:c r="Q133" s="24" t="str">
        <x:v>2–3 × 8–12 controlled reps</x:v>
      </x:c>
      <x:c r="R133" s="24" t="str">
        <x:v>Progress gradually; stop with sharp pain, dizziness, or numbness.</x:v>
      </x:c>
      <x:c r="S133" s="24" t="str">
        <x:v>https://www.orthoinfo.org/recovery/knee-conditioning-program</x:v>
      </x:c>
      <x:c r="T133" s="24" t="str">
        <x:v>Anatomy-based mapping</x:v>
      </x:c>
    </x:row>
    <x:row r="134" ht="54" customHeight="1">
      <x:c r="A134" s="24" t="str">
        <x:v>EX0177</x:v>
      </x:c>
      <x:c r="B134" s="24" t="str">
        <x:v>Seated straight-knee hamstring stretch</x:v>
      </x:c>
      <x:c r="C134" s="24" t="str">
        <x:v>Thigh &amp; Knee</x:v>
      </x:c>
      <x:c r="D134" s="24" t="str">
        <x:v>Home</x:v>
      </x:c>
      <x:c r="E134" s="24" t="str">
        <x:v>Passive stretch</x:v>
      </x:c>
      <x:c r="F134" s="24" t="str">
        <x:v>—</x:v>
      </x:c>
      <x:c r="G134" s="24" t="str">
        <x:v>—</x:v>
      </x:c>
      <x:c r="H134" s="24" t="str">
        <x:v>—</x:v>
      </x:c>
      <x:c r="I134" s="24" t="str">
        <x:v>Biceps femoris long head; Biceps femoris short head; Semimembranosus; Semitendinosus</x:v>
      </x:c>
      <x:c r="J134" s="24" t="str">
        <x:v>Biceps femoris long head; Biceps femoris short head; Semimembranosus; Semitendinosus</x:v>
      </x:c>
      <x:c r="K134" s="24" t="str">
        <x:v>Hamstring muscle-tendon units</x:v>
      </x:c>
      <x:c r="L134" s="24" t="str">
        <x:v>Avoid stressing posterior knee ligaments</x:v>
      </x:c>
      <x:c r="M134" s="24" t="str">
        <x:v>Muscles: Biceps femoris long head; Biceps femoris short head; Semimembranosus; Semitendinosus | Tendons/fascia: Hamstring muscle-tendon units | Ligament context only: Avoid stressing posterior knee ligaments</x:v>
      </x:c>
      <x:c r="N134" s="24" t="str">
        <x:v>Usually none expected (stretch, mobility or relaxation; any active movers are low-load)</x:v>
      </x:c>
      <x:c r="O134" s="24" t="str">
        <x:v>Extend one knee and hinge from hips until stretch behind thigh.</x:v>
      </x:c>
      <x:c r="P134" s="24" t="str">
        <x:v>Chair</x:v>
      </x:c>
      <x:c r="Q134" s="24" t="str">
        <x:v>2–3 × 8–12 controlled reps</x:v>
      </x:c>
      <x:c r="R134" s="24" t="str">
        <x:v>Progress gradually; stop with sharp pain, dizziness, or numbness.</x:v>
      </x:c>
      <x:c r="S134" s="24" t="str">
        <x:v>https://www.orthoinfo.org/recovery/knee-conditioning-program</x:v>
      </x:c>
      <x:c r="T134" s="24" t="str">
        <x:v>Anatomy-based mapping</x:v>
      </x:c>
    </x:row>
    <x:row r="135" ht="54" customHeight="1">
      <x:c r="A135" s="24" t="str">
        <x:v>EX0178</x:v>
      </x:c>
      <x:c r="B135" s="24" t="str">
        <x:v>Supine hamstring stretch with towel</x:v>
      </x:c>
      <x:c r="C135" s="24" t="str">
        <x:v>Thigh &amp; Knee</x:v>
      </x:c>
      <x:c r="D135" s="24" t="str">
        <x:v>Home</x:v>
      </x:c>
      <x:c r="E135" s="24" t="str">
        <x:v>Passive stretch</x:v>
      </x:c>
      <x:c r="F135" s="24" t="str">
        <x:v>—</x:v>
      </x:c>
      <x:c r="G135" s="24" t="str">
        <x:v>—</x:v>
      </x:c>
      <x:c r="H135" s="24" t="str">
        <x:v>—</x:v>
      </x:c>
      <x:c r="I135" s="24" t="str">
        <x:v>Biceps femoris long head; Biceps femoris short head; Semimembranosus; Semitendinosus</x:v>
      </x:c>
      <x:c r="J135" s="24" t="str">
        <x:v>Biceps femoris long head; Biceps femoris short head; Semimembranosus; Semitendinosus</x:v>
      </x:c>
      <x:c r="K135" s="24" t="str">
        <x:v>Atlas-listed tendon/aponeurosis examples: Common hamstring proximal tendon; distal biceps tendon; Common biceps femoris distal tendon; Broad proximal membrane; distal semimembranosus tendon; Long distal pes anserinus tendon</x:v>
      </x:c>
      <x:c r="L135" s="24" t="str">
        <x:v>ACL, PCL, MCL, LCL and patellar retinacula stabilize knee; NOT deliberately stretched</x:v>
      </x:c>
      <x:c r="M135" s="24" t="str">
        <x:v>Muscles: Biceps femoris long head; Biceps femoris short head; Semimembranosus; Semitendinosus | Tendons/fascia: Atlas-listed tendon/aponeurosis examples: Common hamstring proximal tendon; distal biceps tendon; Common biceps femoris distal tendon; Broad proximal membrane; distal semimembranosus tendon; Long distal pes anserinus tendon | Ligament context only: ACL, PCL, MCL, LCL and patellar retinacula stabilize knee; NOT deliberately stretched</x:v>
      </x:c>
      <x:c r="N135" s="24" t="str">
        <x:v>Usually none expected (stretch, mobility or relaxation; any active movers are low-load)</x:v>
      </x:c>
      <x:c r="O135" s="24" t="str">
        <x:v>Loop towel under foot, raise leg until posterior thigh stretches without knee lock.</x:v>
      </x:c>
      <x:c r="P135" s="24" t="str">
        <x:v>Towel</x:v>
      </x:c>
      <x:c r="Q135" s="24" t="str">
        <x:v>2–3 × 8–12 controlled reps</x:v>
      </x:c>
      <x:c r="R135" s="24" t="str">
        <x:v>Progress gradually; stop with sharp pain, dizziness, or numbness.</x:v>
      </x:c>
      <x:c r="S135" s="24" t="str">
        <x:v>https://www.orthoinfo.org/recovery/knee-conditioning-program</x:v>
      </x:c>
      <x:c r="T135" s="24" t="str">
        <x:v>Anatomy-based mapping</x:v>
      </x:c>
    </x:row>
    <x:row r="136" ht="54" customHeight="1">
      <x:c r="A136" s="24" t="str">
        <x:v>EX0179</x:v>
      </x:c>
      <x:c r="B136" s="24" t="str">
        <x:v>Standing dynamic butt-kick</x:v>
      </x:c>
      <x:c r="C136" s="24" t="str">
        <x:v>Thigh &amp; Knee</x:v>
      </x:c>
      <x:c r="D136" s="24" t="str">
        <x:v>Home</x:v>
      </x:c>
      <x:c r="E136" s="24" t="str">
        <x:v>Active stretch</x:v>
      </x:c>
      <x:c r="F136" s="24" t="str">
        <x:v>Biceps femoris long head; Biceps femoris short head; Semimembranosus; Semitendinosus</x:v>
      </x:c>
      <x:c r="G136" s="24" t="str">
        <x:v>Vastus intermedius; Vastus lateralis; Vastus medialis; Rectus femoris reflected head; Rectus femoris straight head</x:v>
      </x:c>
      <x:c r="H136" s="24" t="str">
        <x:v>Gluteus medius; Gluteus minimus; Tensor fasciae latae</x:v>
      </x:c>
      <x:c r="I136" s="24" t="str">
        <x:v>Vastus intermedius; Vastus lateralis; Vastus medialis; Rectus femoris reflected head; Rectus femoris straight head</x:v>
      </x:c>
      <x:c r="J136" s="24" t="str">
        <x:v>Biceps femoris long head; Biceps femoris short head; Semimembranosus; Semitendinosus; Vastus intermedius; Vastus lateralis; Vastus medialis; Rectus femoris reflected head; Rectus femoris straight head; Gluteus medius; Gluteus minimus; Tensor fasciae latae</x:v>
      </x:c>
      <x:c r="K136" s="24" t="str">
        <x:v>Atlas-listed tendon/aponeurosis examples: Common hamstring proximal tendon; distal biceps tendon; Common biceps femoris distal tendon; Broad proximal membrane; distal semimembranosus tendon; Long distal pes anserinus tendon; additional listed attachments</x:v>
      </x:c>
      <x:c r="L136" s="24" t="str">
        <x:v>ACL, PCL, MCL, LCL and patellar retinacula stabilize knee; NOT deliberately stretched</x:v>
      </x:c>
      <x:c r="M136" s="24" t="str">
        <x:v>Muscles: Biceps femoris long head; Biceps femoris short head; Semimembranosus; Semitendinosus; Vastus intermedius; Vastus lateralis; Vastus medialis; Rectus femoris reflected head; Rectus femoris straight head; Gluteus medius; Gluteus minimus; Tensor fasciae latae | Tendons/fascia: Atlas-listed tendon/aponeurosis examples: Common hamstring proximal tendon; distal biceps tendon; Common biceps femoris distal tendon; Broad proximal membrane; distal semimembranosus tendon; Long distal pes anserinus tendon; additional listed attachments | Ligament context only: ACL, PCL, MCL, LCL and patellar retinacula stabilize knee; NOT deliberately stretched</x:v>
      </x:c>
      <x:c r="N136" s="24" t="str">
        <x:v>Usually none expected (stretch, mobility or relaxation; any active movers are low-load)</x:v>
      </x:c>
      <x:c r="O136" s="24" t="str">
        <x:v>Alternately bend knees toward glutes at light controlled tempo.</x:v>
      </x:c>
      <x:c r="P136" s="24" t="str">
        <x:v>Floor</x:v>
      </x:c>
      <x:c r="Q136" s="24" t="str">
        <x:v>2–3 × 8–12 controlled reps</x:v>
      </x:c>
      <x:c r="R136" s="24" t="str">
        <x:v>Progress gradually; stop with sharp pain, dizziness, or numbness.</x:v>
      </x:c>
      <x:c r="S136" s="24" t="str">
        <x:v>https://www.orthoinfo.org/recovery/knee-conditioning-program</x:v>
      </x:c>
      <x:c r="T136" s="24" t="str">
        <x:v>Anatomy-based mapping</x:v>
      </x:c>
    </x:row>
    <x:row r="137" ht="54" customHeight="1">
      <x:c r="A137" s="24" t="str">
        <x:v>EX0180</x:v>
      </x:c>
      <x:c r="B137" s="24" t="str">
        <x:v>Prone quad stretch using strap</x:v>
      </x:c>
      <x:c r="C137" s="24" t="str">
        <x:v>Thigh &amp; Knee</x:v>
      </x:c>
      <x:c r="D137" s="24" t="str">
        <x:v>Home</x:v>
      </x:c>
      <x:c r="E137" s="24" t="str">
        <x:v>Passive stretch</x:v>
      </x:c>
      <x:c r="F137" s="24" t="str">
        <x:v>—</x:v>
      </x:c>
      <x:c r="G137" s="24" t="str">
        <x:v>—</x:v>
      </x:c>
      <x:c r="H137" s="24" t="str">
        <x:v>—</x:v>
      </x:c>
      <x:c r="I137" s="24" t="str">
        <x:v>Vastus intermedius; Vastus lateralis; Vastus medialis; Rectus femoris reflected head; Rectus femoris straight head</x:v>
      </x:c>
      <x:c r="J137" s="24" t="str">
        <x:v>Vastus intermedius; Vastus lateralis; Vastus medialis; Rectus femoris reflected head; Rectus femoris straight head</x:v>
      </x:c>
      <x:c r="K137" s="24" t="str">
        <x:v>Quadriceps tendon; rectus femoris tendon</x:v>
      </x:c>
      <x:c r="L137" s="24" t="str">
        <x:v>ACL, PCL, MCL, LCL and patellar retinacula stabilize knee; NOT deliberately stretched</x:v>
      </x:c>
      <x:c r="M137" s="24" t="str">
        <x:v>Muscles: Vastus intermedius; Vastus lateralis; Vastus medialis; Rectus femoris reflected head; Rectus femoris straight head | Tendons/fascia: Quadriceps tendon; rectus femoris tendon | Ligament context only: ACL, PCL, MCL, LCL and patellar retinacula stabilize knee; NOT deliberately stretched</x:v>
      </x:c>
      <x:c r="N137" s="24" t="str">
        <x:v>Usually none expected (stretch, mobility or relaxation; any active movers are low-load)</x:v>
      </x:c>
      <x:c r="O137" s="24" t="str">
        <x:v>Lie prone, use strap to flex knee to a gentle anterior thigh stretch.</x:v>
      </x:c>
      <x:c r="P137" s="24" t="str">
        <x:v>Strap</x:v>
      </x:c>
      <x:c r="Q137" s="24" t="str">
        <x:v>2–3 × 8–12 controlled reps</x:v>
      </x:c>
      <x:c r="R137" s="24" t="str">
        <x:v>Progress gradually; stop with sharp pain, dizziness, or numbness.</x:v>
      </x:c>
      <x:c r="S137" s="24" t="str">
        <x:v>https://www.orthoinfo.org/recovery/knee-conditioning-program</x:v>
      </x:c>
      <x:c r="T137" s="24" t="str">
        <x:v>Anatomy-based mapping</x:v>
      </x:c>
    </x:row>
    <x:row r="138" ht="54" customHeight="1">
      <x:c r="A138" s="24" t="str">
        <x:v>EX0181</x:v>
      </x:c>
      <x:c r="B138" s="24" t="str">
        <x:v>Kneeling hip-flexor + rectus femoris stretch</x:v>
      </x:c>
      <x:c r="C138" s="24" t="str">
        <x:v>Thigh &amp; Knee</x:v>
      </x:c>
      <x:c r="D138" s="24" t="str">
        <x:v>Home</x:v>
      </x:c>
      <x:c r="E138" s="24" t="str">
        <x:v>Passive stretch</x:v>
      </x:c>
      <x:c r="F138" s="24" t="str">
        <x:v>—</x:v>
      </x:c>
      <x:c r="G138" s="24" t="str">
        <x:v>—</x:v>
      </x:c>
      <x:c r="H138" s="24" t="str">
        <x:v>—</x:v>
      </x:c>
      <x:c r="I138" s="24" t="str">
        <x:v>Rectus femoris reflected head; Rectus femoris straight head; Iliacus; Psoas major</x:v>
      </x:c>
      <x:c r="J138" s="24" t="str">
        <x:v>Rectus femoris reflected head; Rectus femoris straight head; Iliacus; Psoas major</x:v>
      </x:c>
      <x:c r="K138" s="24" t="str">
        <x:v>Atlas-listed tendon/aponeurosis examples: Reflected proximal tendon; quadriceps tendon; Quadriceps tendon; patellar ligament continuation; Iliopsoas shared tendon</x:v>
      </x:c>
      <x:c r="L138" s="24" t="str">
        <x:v>ACL, PCL, MCL, LCL and patellar retinacula stabilize knee; NOT deliberately stretched</x:v>
      </x:c>
      <x:c r="M138" s="24" t="str">
        <x:v>Muscles: Rectus femoris reflected head; Rectus femoris straight head; Iliacus; Psoas major | Tendons/fascia: Atlas-listed tendon/aponeurosis examples: Reflected proximal tendon; quadriceps tendon; Quadriceps tendon; patellar ligament continuation; Iliopsoas shared tendon | Ligament context only: ACL, PCL, MCL, LCL and patellar retinacula stabilize knee; NOT deliberately stretched</x:v>
      </x:c>
      <x:c r="N138" s="24" t="str">
        <x:v>Usually none expected (stretch, mobility or relaxation; any active movers are low-load)</x:v>
      </x:c>
      <x:c r="O138" s="24" t="str">
        <x:v>Tilt pelvis back and gently bend rear knee with strap if tolerated.</x:v>
      </x:c>
      <x:c r="P138" s="24" t="str">
        <x:v>Strap; mat</x:v>
      </x:c>
      <x:c r="Q138" s="24" t="str">
        <x:v>2–3 × 8–12 controlled reps</x:v>
      </x:c>
      <x:c r="R138" s="24" t="str">
        <x:v>Progress gradually; stop with sharp pain, dizziness, or numbness.</x:v>
      </x:c>
      <x:c r="S138" s="24" t="str">
        <x:v>https://www.orthoinfo.org/recovery/knee-conditioning-program</x:v>
      </x:c>
      <x:c r="T138" s="24" t="str">
        <x:v>Anatomy-based mapping</x:v>
      </x:c>
    </x:row>
    <x:row r="139" ht="54" customHeight="1">
      <x:c r="A139" s="24" t="str">
        <x:v>EX0182</x:v>
      </x:c>
      <x:c r="B139" s="24" t="str">
        <x:v>Side-lying gracilis/adductor stretch</x:v>
      </x:c>
      <x:c r="C139" s="24" t="str">
        <x:v>Thigh &amp; Knee</x:v>
      </x:c>
      <x:c r="D139" s="24" t="str">
        <x:v>Home</x:v>
      </x:c>
      <x:c r="E139" s="24" t="str">
        <x:v>Passive stretch</x:v>
      </x:c>
      <x:c r="F139" s="24" t="str">
        <x:v>—</x:v>
      </x:c>
      <x:c r="G139" s="24" t="str">
        <x:v>—</x:v>
      </x:c>
      <x:c r="H139" s="24" t="str">
        <x:v>—</x:v>
      </x:c>
      <x:c r="I139" s="24" t="str">
        <x:v>Gracilis;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Pectineus</x:v>
      </x:c>
      <x:c r="J139" s="24" t="str">
        <x:v>Gracilis;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Pectineus</x:v>
      </x:c>
      <x:c r="K139" s="24" t="str">
        <x:v>Atlas-listed tendon/aponeurosis examples: Gracilis pes anserinus tendon; Adductor tendon through ulnar sesamoid; Common adductor tendon; Broad short insertion; additional listed attachments</x:v>
      </x:c>
      <x:c r="L139" s="24" t="str">
        <x:v>ACL, PCL, MCL, LCL and patellar retinacula stabilize knee; NOT deliberately stretched</x:v>
      </x:c>
      <x:c r="M139" s="24" t="str">
        <x:v>Muscles: Gracilis;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Pectineus | Tendons/fascia: Atlas-listed tendon/aponeurosis examples: Gracilis pes anserinus tendon; Adductor tendon through ulnar sesamoid; Common adductor tendon; Broad short insertion; additional listed attachments | Ligament context only: ACL, PCL, MCL, LCL and patellar retinacula stabilize knee; NOT deliberately stretched</x:v>
      </x:c>
      <x:c r="N139" s="24" t="str">
        <x:v>Usually none expected (stretch, mobility or relaxation; any active movers are low-load)</x:v>
      </x:c>
      <x:c r="O139" s="24" t="str">
        <x:v>Open hip sideways comfortably while keeping knee extended.</x:v>
      </x:c>
      <x:c r="P139" s="24" t="str">
        <x:v>Mat</x:v>
      </x:c>
      <x:c r="Q139" s="24" t="str">
        <x:v>2–3 × 8–12 controlled reps</x:v>
      </x:c>
      <x:c r="R139" s="24" t="str">
        <x:v>Progress gradually; stop with sharp pain, dizziness, or numbness.</x:v>
      </x:c>
      <x:c r="S139" s="24" t="str">
        <x:v>https://www.orthoinfo.org/recovery/knee-conditioning-program</x:v>
      </x:c>
      <x:c r="T139" s="24" t="str">
        <x:v>Anatomy-based mapping</x:v>
      </x:c>
    </x:row>
    <x:row r="140" ht="54" customHeight="1">
      <x:c r="A140" s="24" t="str">
        <x:v>EX0183</x:v>
      </x:c>
      <x:c r="B140" s="24" t="str">
        <x:v>Gentle knee flexion heel slide</x:v>
      </x:c>
      <x:c r="C140" s="24" t="str">
        <x:v>Thigh &amp; Knee</x:v>
      </x:c>
      <x:c r="D140" s="24" t="str">
        <x:v>Home</x:v>
      </x:c>
      <x:c r="E140" s="24" t="str">
        <x:v>Mobility</x:v>
      </x:c>
      <x:c r="F140" s="24" t="str">
        <x:v>Biceps femoris long head; Biceps femoris short head; Semimembranosus; Semitendinosus</x:v>
      </x:c>
      <x:c r="G140" s="24" t="str">
        <x:v>Vastus intermedius; Vastus lateralis; Vastus medialis; Rectus femoris reflected head; Rectus femoris straight head</x:v>
      </x:c>
      <x:c r="H140" s="24" t="str">
        <x:v>—</x:v>
      </x:c>
      <x:c r="I140" s="24" t="str">
        <x:v>Vastus intermedius; Vastus lateralis; Vastus medialis; Rectus femoris reflected head; Rectus femoris straight head</x:v>
      </x:c>
      <x:c r="J140" s="24" t="str">
        <x:v>Biceps femoris long head; Biceps femoris short head; Semimembranosus; Semitendinosus; Vastus intermedius; Vastus lateralis; Vastus medialis; Rectus femoris reflected head; Rectus femoris straight head</x:v>
      </x:c>
      <x:c r="K140" s="24" t="str">
        <x:v>Atlas-listed tendon/aponeurosis examples: Common hamstring proximal tendon; distal biceps tendon; Common biceps femoris distal tendon; Broad proximal membrane; distal semimembranosus tendon; Long distal pes anserinus tendon; additional listed attachments</x:v>
      </x:c>
      <x:c r="L140" s="24" t="str">
        <x:v>ACL, PCL, MCL, LCL and patellar retinacula stabilize knee; NOT deliberately stretched</x:v>
      </x:c>
      <x:c r="M140" s="24" t="str">
        <x:v>Muscles: Biceps femoris long head; Biceps femoris short head; Semimembranosus; Semitendinosus; Vastus intermedius; Vastus lateralis; Vastus medialis; Rectus femoris reflected head; Rectus femoris straight head | Tendons/fascia: Atlas-listed tendon/aponeurosis examples: Common hamstring proximal tendon; distal biceps tendon; Common biceps femoris distal tendon; Broad proximal membrane; distal semimembranosus tendon; Long distal pes anserinus tendon; additional listed attachments | Ligament context only: ACL, PCL, MCL, LCL and patellar retinacula stabilize knee; NOT deliberately stretched</x:v>
      </x:c>
      <x:c r="N140" s="24" t="str">
        <x:v>Usually none expected (stretch, mobility or relaxation; any active movers are low-load)</x:v>
      </x:c>
      <x:c r="O140" s="24" t="str">
        <x:v>Slide heel toward glutes then extend without forced joint range.</x:v>
      </x:c>
      <x:c r="P140" s="24" t="str">
        <x:v>Mat</x:v>
      </x:c>
      <x:c r="Q140" s="24" t="str">
        <x:v>1–2 × 5–10 controlled reps</x:v>
      </x:c>
      <x:c r="R140" s="24" t="str">
        <x:v>Progress gradually; stop with sharp pain, dizziness, or numbness.</x:v>
      </x:c>
      <x:c r="S140" s="24" t="str">
        <x:v>https://www.orthoinfo.org/recovery/knee-conditioning-program</x:v>
      </x:c>
      <x:c r="T140" s="24" t="str">
        <x:v>Anatomy-based mapping</x:v>
      </x:c>
    </x:row>
    <x:row r="141" ht="54" customHeight="1">
      <x:c r="A141" s="24" t="str">
        <x:v>EX0184</x:v>
      </x:c>
      <x:c r="B141" s="24" t="str">
        <x:v>Knee extension active range</x:v>
      </x:c>
      <x:c r="C141" s="24" t="str">
        <x:v>Thigh &amp; Knee</x:v>
      </x:c>
      <x:c r="D141" s="24" t="str">
        <x:v>Home</x:v>
      </x:c>
      <x:c r="E141" s="24" t="str">
        <x:v>Mobility</x:v>
      </x:c>
      <x:c r="F141" s="24" t="str">
        <x:v>Vastus intermedius; Vastus lateralis; Vastus medialis; Rectus femoris reflected head; Rectus femoris straight head</x:v>
      </x:c>
      <x:c r="G141" s="24" t="str">
        <x:v>Articularis genus</x:v>
      </x:c>
      <x:c r="H141" s="24" t="str">
        <x:v>—</x:v>
      </x:c>
      <x:c r="I141" s="24" t="str">
        <x:v>Biceps femoris long head; Biceps femoris short head; Semimembranosus; Semitendinosus</x:v>
      </x:c>
      <x:c r="J141" s="24" t="str">
        <x:v>Vastus intermedius; Vastus lateralis; Vastus medialis; Rectus femoris reflected head; Rectus femoris straight head; Articularis genus; Biceps femoris long head; Biceps femoris short head; Semimembranosus; Semitendinosus</x:v>
      </x:c>
      <x:c r="K141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41" s="24" t="str">
        <x:v>ACL, PCL, MCL, LCL and patellar retinacula stabilize knee; NOT deliberately stretched</x:v>
      </x:c>
      <x:c r="M141" s="24" t="str">
        <x:v>Muscles: Vastus intermedius; Vastus lateralis; Vastus medialis; Rectus femoris reflected head; Rectus femoris straight head; Articularis genus; Biceps femoris long head; Biceps femoris short head; Semimembranosus; Semitendinosus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41" s="24" t="str">
        <x:v>Usually none expected (stretch, mobility or relaxation; any active movers are low-load)</x:v>
      </x:c>
      <x:c r="O141" s="24" t="str">
        <x:v>Sit upright and slowly straighten knee through comfortable range.</x:v>
      </x:c>
      <x:c r="P141" s="24" t="str">
        <x:v>Chair</x:v>
      </x:c>
      <x:c r="Q141" s="24" t="str">
        <x:v>1–2 × 5–10 controlled reps</x:v>
      </x:c>
      <x:c r="R141" s="24" t="str">
        <x:v>Progress gradually; stop with sharp pain, dizziness, or numbness.</x:v>
      </x:c>
      <x:c r="S141" s="24" t="str">
        <x:v>https://www.orthoinfo.org/recovery/knee-conditioning-program</x:v>
      </x:c>
      <x:c r="T141" s="24" t="str">
        <x:v>Anatomy-based mapping</x:v>
      </x:c>
    </x:row>
    <x:row r="142" ht="54" customHeight="1">
      <x:c r="A142" s="24" t="str">
        <x:v>EX0185</x:v>
      </x:c>
      <x:c r="B142" s="24" t="str">
        <x:v>Supported standing sartorius pattern</x:v>
      </x:c>
      <x:c r="C142" s="24" t="str">
        <x:v>Thigh &amp; Knee</x:v>
      </x:c>
      <x:c r="D142" s="24" t="str">
        <x:v>Home</x:v>
      </x:c>
      <x:c r="E142" s="24" t="str">
        <x:v>Motor control</x:v>
      </x:c>
      <x:c r="F142" s="24" t="str">
        <x:v>Sartorius</x:v>
      </x:c>
      <x:c r="G142" s="24" t="str">
        <x:v>Iliacus; Psoas major; Tensor fasciae latae; Rectus femoris reflected head; Rectus femoris straight head; Pectineus</x:v>
      </x:c>
      <x:c r="H142" s="24" t="str">
        <x:v>Rectus abdominis; External oblique; Internal oblique; Transversus abdominis; Gluteus medius; Gluteus minimus</x:v>
      </x:c>
      <x:c r="I142" s="24" t="str">
        <x:v>—</x:v>
      </x:c>
      <x:c r="J142" s="24" t="str">
        <x:v>Sartorius; Iliacus; Psoas major; Tensor fasciae latae; Rectus femoris reflected head; Rectus femoris straight head; Pectineus; Rectus abdominis; External oblique; Internal oblique; Transversus abdominis; Gluteus medius; Gluteus minimus</x:v>
      </x:c>
      <x:c r="K142" s="24" t="str">
        <x:v>Atlas-listed tendon/aponeurosis examples: Pes anserinus superficial tendon; Iliopsoas shared tendon; Iliotibial tract (fascial thickening); Reflected proximal tendon; quadriceps tendon; additional listed attachments</x:v>
      </x:c>
      <x:c r="L142" s="24" t="str">
        <x:v>ACL, PCL, MCL, LCL and patellar retinacula stabilize knee; NOT deliberately stretched</x:v>
      </x:c>
      <x:c r="M142" s="24" t="str">
        <x:v>Muscles: Sartorius; Iliacus; Psoas major; Tensor fasciae latae; Rectus femoris reflected head; Rectus femoris straight head; Pectineus; Rectus abdominis; External oblique; Internal oblique; Transversus abdominis; Gluteus medius; Gluteus minimus | Tendons/fascia: Atlas-listed tendon/aponeurosis examples: Pes anserinus superficial tendon; Iliopsoas shared tendon; Iliotibial tract (fascial thickening); Reflected proximal tendon; quadriceps tendon; additional listed attachments | Ligament context only: ACL, PCL, MCL, LCL and patellar retinacula stabilize knee; NOT deliberately stretched</x:v>
      </x:c>
      <x:c r="N142" s="24" t="str">
        <x:v>Low-load activation, not ordinarily to fatigue: Sartorius</x:v>
      </x:c>
      <x:c r="O142" s="24" t="str">
        <x:v>With support, flex/abduct/externally rotate hip and flex knee gently.</x:v>
      </x:c>
      <x:c r="P142" s="24" t="str">
        <x:v>Counter</x:v>
      </x:c>
      <x:c r="Q142" s="24" t="str">
        <x:v>1–2 × 5–10 controlled reps</x:v>
      </x:c>
      <x:c r="R142" s="24" t="str">
        <x:v>Progress gradually; stop with sharp pain, dizziness, or numbness.</x:v>
      </x:c>
      <x:c r="S142" s="24" t="str">
        <x:v>https://www.orthoinfo.org/recovery/knee-conditioning-program</x:v>
      </x:c>
      <x:c r="T142" s="24" t="str">
        <x:v>Anatomy-based mapping</x:v>
      </x:c>
    </x:row>
    <x:row r="143" ht="54" customHeight="1">
      <x:c r="A143" s="24" t="str">
        <x:v>EX0186</x:v>
      </x:c>
      <x:c r="B143" s="24" t="str">
        <x:v>Seated band hip abduction knee extension</x:v>
      </x:c>
      <x:c r="C143" s="24" t="str">
        <x:v>Thigh &amp; Knee</x:v>
      </x:c>
      <x:c r="D143" s="24" t="str">
        <x:v>Home</x:v>
      </x:c>
      <x:c r="E143" s="24" t="str">
        <x:v>Band strength</x:v>
      </x:c>
      <x:c r="F143" s="24" t="str">
        <x:v>Sartorius; Tensor fasciae latae</x:v>
      </x:c>
      <x:c r="G143" s="24" t="str">
        <x:v>Vastus intermedius; Vastus lateralis; Vastus medialis; Rectus femoris reflected head; Rectus femoris straight head</x:v>
      </x:c>
      <x:c r="H143" s="24" t="str">
        <x:v>Rectus abdominis; External oblique; Internal oblique; Transversus abdominis</x:v>
      </x:c>
      <x:c r="I143" s="24" t="str">
        <x:v>—</x:v>
      </x:c>
      <x:c r="J143" s="24" t="str">
        <x:v>Sartorius; Tensor fasciae latae; Vastus intermedius; Vastus lateralis; Vastus medialis; Rectus femoris reflected head; Rectus femoris straight head; Rectus abdominis; External oblique; Internal oblique; Transversus abdominis</x:v>
      </x:c>
      <x:c r="K143" s="24" t="str">
        <x:v>Atlas-listed tendon/aponeurosis examples: Pes anserinus superficial tendon; Iliotibial tract (fascial thickening); Deep quadriceps tendon; Quadriceps tendon and lateral retinaculum; additional listed attachments</x:v>
      </x:c>
      <x:c r="L143" s="24" t="str">
        <x:v>ACL, PCL, MCL, LCL and patellar retinacula stabilize knee; NOT deliberately stretched</x:v>
      </x:c>
      <x:c r="M143" s="24" t="str">
        <x:v>Muscles: Sartorius; Tensor fasciae latae; Vastus intermedius; Vastus lateralis; Vastus medialis; Rectus femoris reflected head; Rectus femoris straight head; Rectus abdominis; External oblique; Internal oblique; Transversus abdominis | Tendons/fascia: Atlas-listed tendon/aponeurosis examples: Pes anserinus superficial tendon; Iliotibial tract (fascial thickening); Deep quadriceps tendon; Quadriceps tendon and lateral retinaculum; additional listed attachments | Ligament context only: ACL, PCL, MCL, LCL and patellar retinacula stabilize knee; NOT deliberately stretched</x:v>
      </x:c>
      <x:c r="N143" s="24" t="str">
        <x:v>Sartorius; Tensor fasciae latae; Vastus intermedius; Vastus lateralis; Vastus medialis; Rectus femoris reflected head; Rectus femoris straight head</x:v>
      </x:c>
      <x:c r="O143" s="24" t="str">
        <x:v>Seated, gently guide thigh outward while extending knee.</x:v>
      </x:c>
      <x:c r="P143" s="24" t="str">
        <x:v>Light band</x:v>
      </x:c>
      <x:c r="Q143" s="24" t="str">
        <x:v>2–3 × 8–12 controlled reps</x:v>
      </x:c>
      <x:c r="R143" s="24" t="str">
        <x:v>Progress gradually; stop with sharp pain, dizziness, or numbness.</x:v>
      </x:c>
      <x:c r="S143" s="24" t="str">
        <x:v>https://www.orthoinfo.org/recovery/knee-conditioning-program</x:v>
      </x:c>
      <x:c r="T143" s="24" t="str">
        <x:v>Anatomy-based mapping</x:v>
      </x:c>
    </x:row>
    <x:row r="144" ht="54" customHeight="1">
      <x:c r="A144" s="24" t="str">
        <x:v>EX0187</x:v>
      </x:c>
      <x:c r="B144" s="24" t="str">
        <x:v>Knee adduction squeeze at varied angles</x:v>
      </x:c>
      <x:c r="C144" s="24" t="str">
        <x:v>Thigh &amp; Knee</x:v>
      </x:c>
      <x:c r="D144" s="24" t="str">
        <x:v>Home</x:v>
      </x:c>
      <x:c r="E144" s="24" t="str">
        <x:v>Isometric strength</x:v>
      </x:c>
      <x:c r="F144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G144" s="24" t="str">
        <x:v>—</x:v>
      </x:c>
      <x:c r="H144" s="24" t="str">
        <x:v>Rectus abdominis; External oblique; Internal oblique; Transversus abdominis</x:v>
      </x:c>
      <x:c r="I144" s="24" t="str">
        <x:v>—</x:v>
      </x:c>
      <x:c r="J144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</x:v>
      </x:c>
      <x:c r="K144" s="24" t="str">
        <x:v>Atlas-listed tendon/aponeurosis examples: Adductor tendon through ulnar sesamoid; Common adductor tendon; Broad short insertion; Short proximal tendon; additional listed attachments</x:v>
      </x:c>
      <x:c r="L144" s="24" t="str">
        <x:v>ACL, PCL, MCL, LCL and patellar retinacula stabilize knee; NOT deliberately stretched</x:v>
      </x:c>
      <x:c r="M144" s="24" t="str">
        <x:v>Muscles: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 | Tendons/fascia: Atlas-listed tendon/aponeurosis examples: Adductor tendon through ulnar sesamoid; Common adductor tendon; Broad short insertion; Short proximal tendon; additional listed attachments | Ligament context only: ACL, PCL, MCL, LCL and patellar retinacula stabilize knee; NOT deliberately stretched</x:v>
      </x:c>
      <x:c r="N144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144" s="24" t="str">
        <x:v>Squeeze ball between knees with hips and knees at comfortable angle.</x:v>
      </x:c>
      <x:c r="P144" s="24" t="str">
        <x:v>Soft ball</x:v>
      </x:c>
      <x:c r="Q144" s="24" t="str">
        <x:v>2–3 × 8–12 controlled reps</x:v>
      </x:c>
      <x:c r="R144" s="24" t="str">
        <x:v>Progress gradually; stop with sharp pain, dizziness, or numbness.</x:v>
      </x:c>
      <x:c r="S144" s="24" t="str">
        <x:v>https://www.orthoinfo.org/recovery/knee-conditioning-program</x:v>
      </x:c>
      <x:c r="T144" s="24" t="str">
        <x:v>Anatomy-based mapping</x:v>
      </x:c>
    </x:row>
    <x:row r="145" ht="54" customHeight="1">
      <x:c r="A145" s="24" t="str">
        <x:v>EX0188</x:v>
      </x:c>
      <x:c r="B145" s="24" t="str">
        <x:v>Reverse Nordic lean partial (advanced)</x:v>
      </x:c>
      <x:c r="C145" s="24" t="str">
        <x:v>Thigh &amp; Knee</x:v>
      </x:c>
      <x:c r="D145" s="24" t="str">
        <x:v>Home</x:v>
      </x:c>
      <x:c r="E145" s="24" t="str">
        <x:v>Eccentric strength</x:v>
      </x:c>
      <x:c r="F145" s="24" t="str">
        <x:v>Vastus intermedius; Vastus lateralis; Vastus medialis; Rectus femoris reflected head; Rectus femoris straight head</x:v>
      </x:c>
      <x:c r="G145" s="24" t="str">
        <x:v>—</x:v>
      </x:c>
      <x:c r="H145" s="24" t="str">
        <x:v>Rectus abdominis; External oblique; Internal oblique; Transversus abdominis; Gluteus maximus</x:v>
      </x:c>
      <x:c r="I145" s="24" t="str">
        <x:v>Rectus femoris reflected head; Rectus femoris straight head</x:v>
      </x:c>
      <x:c r="J145" s="24" t="str">
        <x:v>Vastus intermedius; Vastus lateralis; Vastus medialis; Rectus femoris reflected head; Rectus femoris straight head; Rectus abdominis; External oblique; Internal oblique; Transversus abdominis; Gluteus maximus</x:v>
      </x:c>
      <x:c r="K145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145" s="24" t="str">
        <x:v>ACL, PCL, MCL, LCL and patellar retinacula stabilize knee; NOT deliberately stretched</x:v>
      </x:c>
      <x:c r="M145" s="24" t="str">
        <x:v>Muscles: Vastus intermedius; Vastus lateralis; Vastus medialis; Rectus femoris reflected head; Rectus femoris straight head; Rectus abdominis; External oblique; Internal oblique; Transversus abdominis; Gluteus maximus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145" s="24" t="str">
        <x:v>Vastus intermedius; Vastus lateralis; Vastus medialis; Rectus femoris reflected head; Rectus femoris straight head</x:v>
      </x:c>
      <x:c r="O145" s="24" t="str">
        <x:v>Kneel, hinge whole body backward slightly while hips remain extended.</x:v>
      </x:c>
      <x:c r="P145" s="24" t="str">
        <x:v>Mat</x:v>
      </x:c>
      <x:c r="Q145" s="24" t="str">
        <x:v>2–3 × 8–12 controlled reps</x:v>
      </x:c>
      <x:c r="R145" s="24" t="str">
        <x:v>Advanced high knee/quad load; avoid with anterior knee pain.</x:v>
      </x:c>
      <x:c r="S145" s="24" t="str">
        <x:v>https://www.orthoinfo.org/recovery/knee-conditioning-program</x:v>
      </x:c>
      <x:c r="T145" s="24" t="str">
        <x:v>Anatomy-based mapping</x:v>
      </x:c>
    </x:row>
    <x:row r="146" ht="54" customHeight="1">
      <x:c r="A146" s="24" t="str">
        <x:v>EX0189</x:v>
      </x:c>
      <x:c r="B146" s="24" t="str">
        <x:v>Double-leg standing calf raise</x:v>
      </x:c>
      <x:c r="C146" s="24" t="str">
        <x:v>Leg &amp; Ankle</x:v>
      </x:c>
      <x:c r="D146" s="24" t="str">
        <x:v>Home</x:v>
      </x:c>
      <x:c r="E146" s="24" t="str">
        <x:v>Compound strength</x:v>
      </x:c>
      <x:c r="F146" s="24" t="str">
        <x:v>Gastrocnemius lateral head; Gastrocnemius medial head; Soleus; Plantaris</x:v>
      </x:c>
      <x:c r="G146" s="24" t="str">
        <x:v>Tibialis posterior; Fibularis longus</x:v>
      </x:c>
      <x:c r="H146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146" s="24" t="str">
        <x:v>—</x:v>
      </x:c>
      <x:c r="J146" s="24" t="str">
        <x:v>Gastrocnemius lateral head; Gastrocnemius medial head; Soleus; Plantaris; Tibialis posterior; Fibularis longus;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146" s="24" t="str">
        <x:v>Achilles tendon</x:v>
      </x:c>
      <x:c r="L146" s="24" t="str">
        <x:v>Ankle collateral ligaments stabilize but are not stretch targets</x:v>
      </x:c>
      <x:c r="M146" s="24" t="str">
        <x:v>Muscles: Gastrocnemius lateral head; Gastrocnemius medial head; Soleus; Plantaris; Tibialis posterior; Fibularis longus;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Achilles tendon | Ligament context only: Ankle collateral ligaments stabilize but are not stretch targets</x:v>
      </x:c>
      <x:c r="N146" s="24" t="str">
        <x:v>Gastrocnemius lateral head; Gastrocnemius medial head; Soleus; Plantaris; Tibialis posterior; Fibularis longus</x:v>
      </x:c>
      <x:c r="O146" s="24" t="str">
        <x:v>Rise onto balls of feet, pause, lower slowly.</x:v>
      </x:c>
      <x:c r="P146" s="24" t="str">
        <x:v>Step or floor</x:v>
      </x:c>
      <x:c r="Q146" s="24" t="str">
        <x:v>2–3 × 8–12 controlled reps</x:v>
      </x:c>
      <x:c r="R146" s="24" t="str">
        <x:v>Progress gradually; stop with sharp pain, dizziness, or numbness.</x:v>
      </x:c>
      <x:c r="S146" s="24" t="str">
        <x:v>https://www.orthoinfo.org/recovery/foot-and-ankle-conditioning-program</x:v>
      </x:c>
      <x:c r="T146" s="24" t="str">
        <x:v>Anatomy-based mapping</x:v>
      </x:c>
    </x:row>
    <x:row r="147" ht="54" customHeight="1">
      <x:c r="A147" s="24" t="str">
        <x:v>EX0190</x:v>
      </x:c>
      <x:c r="B147" s="24" t="str">
        <x:v>Single-leg standing calf raise</x:v>
      </x:c>
      <x:c r="C147" s="24" t="str">
        <x:v>Leg &amp; Ankle</x:v>
      </x:c>
      <x:c r="D147" s="24" t="str">
        <x:v>Home</x:v>
      </x:c>
      <x:c r="E147" s="24" t="str">
        <x:v>Compound strength</x:v>
      </x:c>
      <x:c r="F147" s="24" t="str">
        <x:v>Gastrocnemius lateral head; Gastrocnemius medial head; Soleus; Plantaris</x:v>
      </x:c>
      <x:c r="G147" s="24" t="str">
        <x:v>Tibialis posterior; Fibularis longus</x:v>
      </x:c>
      <x:c r="H147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Gluteus medius; Gluteus minimus; Tensor fasciae latae</x:v>
      </x:c>
      <x:c r="I147" s="24" t="str">
        <x:v>—</x:v>
      </x:c>
      <x:c r="J147" s="24" t="str">
        <x:v>Gastrocnemius lateral head; Gastrocnemius medial head; Soleus; Plantaris; Tibialis posterior; Fibularis longus;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Gluteus medius; Gluteus minimus; Tensor fasciae latae</x:v>
      </x:c>
      <x:c r="K147" s="24" t="str">
        <x:v>Achilles tendon</x:v>
      </x:c>
      <x:c r="L147" s="24" t="str">
        <x:v>Deltoid ligament and lateral ankle ligaments (ATFL/CFL/PTFL) stabilize ankle; NOT intentionally stretched</x:v>
      </x:c>
      <x:c r="M147" s="24" t="str">
        <x:v>Muscles: Gastrocnemius lateral head; Gastrocnemius medial head; Soleus; Plantaris; Tibialis posterior; Fibularis longus;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Gluteus medius; Gluteus minimus; Tensor fasciae latae | Tendons/fascia: Achilles tendon | Ligament context only: Deltoid ligament and lateral ankle ligaments (ATFL/CFL/PTFL) stabilize ankle; NOT intentionally stretched</x:v>
      </x:c>
      <x:c r="N147" s="24" t="str">
        <x:v>Gastrocnemius lateral head; Gastrocnemius medial head; Soleus; Plantaris; Tibialis posterior; Fibularis longus</x:v>
      </x:c>
      <x:c r="O147" s="24" t="str">
        <x:v>Rise on one leg with fingertips for balance.</x:v>
      </x:c>
      <x:c r="P147" s="24" t="str">
        <x:v>Counter</x:v>
      </x:c>
      <x:c r="Q147" s="24" t="str">
        <x:v>2–3 × 8–12 controlled reps</x:v>
      </x:c>
      <x:c r="R147" s="24" t="str">
        <x:v>Progress gradually; stop with sharp pain, dizziness, or numbness.</x:v>
      </x:c>
      <x:c r="S147" s="24" t="str">
        <x:v>https://www.orthoinfo.org/recovery/foot-and-ankle-conditioning-program</x:v>
      </x:c>
      <x:c r="T147" s="24" t="str">
        <x:v>Anatomy-based mapping</x:v>
      </x:c>
    </x:row>
    <x:row r="148" ht="54" customHeight="1">
      <x:c r="A148" s="24" t="str">
        <x:v>EX0191</x:v>
      </x:c>
      <x:c r="B148" s="24" t="str">
        <x:v>Seated bent-knee calf raise backpack</x:v>
      </x:c>
      <x:c r="C148" s="24" t="str">
        <x:v>Leg &amp; Ankle</x:v>
      </x:c>
      <x:c r="D148" s="24" t="str">
        <x:v>Home</x:v>
      </x:c>
      <x:c r="E148" s="24" t="str">
        <x:v>Compound strength</x:v>
      </x:c>
      <x:c r="F148" s="24" t="str">
        <x:v>Soleus</x:v>
      </x:c>
      <x:c r="G148" s="24" t="str">
        <x:v>Gastrocnemius lateral head; Gastrocnemius medial head</x:v>
      </x:c>
      <x:c r="H148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148" s="24" t="str">
        <x:v>—</x:v>
      </x:c>
      <x:c r="J148" s="24" t="str">
        <x:v>Soleus; Gastrocnemius lateral head; Gastrocnemius medial head;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148" s="24" t="str">
        <x:v>Achilles tendon</x:v>
      </x:c>
      <x:c r="L148" s="24" t="str">
        <x:v>Deltoid ligament and lateral ankle ligaments (ATFL/CFL/PTFL) stabilize ankle; NOT intentionally stretched</x:v>
      </x:c>
      <x:c r="M148" s="24" t="str">
        <x:v>Muscles: Soleus; Gastrocnemius lateral head; Gastrocnemius medial head;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Achilles tendon | Ligament context only: Deltoid ligament and lateral ankle ligaments (ATFL/CFL/PTFL) stabilize ankle; NOT intentionally stretched</x:v>
      </x:c>
      <x:c r="N148" s="24" t="str">
        <x:v>Soleus; Gastrocnemius lateral head; Gastrocnemius medial head</x:v>
      </x:c>
      <x:c r="O148" s="24" t="str">
        <x:v>Sit, knees bent ~90° with backpack on thigh; raise heels.</x:v>
      </x:c>
      <x:c r="P148" s="24" t="str">
        <x:v>Chair; backpack</x:v>
      </x:c>
      <x:c r="Q148" s="24" t="str">
        <x:v>2–3 × 8–12 controlled reps</x:v>
      </x:c>
      <x:c r="R148" s="24" t="str">
        <x:v>Progress gradually; stop with sharp pain, dizziness, or numbness.</x:v>
      </x:c>
      <x:c r="S148" s="24" t="str">
        <x:v>https://www.orthoinfo.org/recovery/foot-and-ankle-conditioning-program</x:v>
      </x:c>
      <x:c r="T148" s="24" t="str">
        <x:v>Anatomy-based mapping</x:v>
      </x:c>
    </x:row>
    <x:row r="149" ht="54" customHeight="1">
      <x:c r="A149" s="24" t="str">
        <x:v>EX0194</x:v>
      </x:c>
      <x:c r="B149" s="24" t="str">
        <x:v>Calf eccentric heel drop straight knee</x:v>
      </x:c>
      <x:c r="C149" s="24" t="str">
        <x:v>Leg &amp; Ankle</x:v>
      </x:c>
      <x:c r="D149" s="24" t="str">
        <x:v>Home</x:v>
      </x:c>
      <x:c r="E149" s="24" t="str">
        <x:v>Eccentric strength</x:v>
      </x:c>
      <x:c r="F149" s="24" t="str">
        <x:v>Gastrocnemius lateral head; Gastrocnemius medial head; Soleus</x:v>
      </x:c>
      <x:c r="G149" s="24" t="str">
        <x:v>Tibialis posterior</x:v>
      </x:c>
      <x:c r="H149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149" s="24" t="str">
        <x:v>—</x:v>
      </x:c>
      <x:c r="J149" s="24" t="str">
        <x:v>Gastrocnemius lateral head; Gastrocnemius medial head; Soleus; Tibialis posterior;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149" s="24" t="str">
        <x:v>Achilles tendon</x:v>
      </x:c>
      <x:c r="L149" s="24" t="str">
        <x:v>Deltoid ligament and lateral ankle ligaments (ATFL/CFL/PTFL) stabilize ankle; NOT intentionally stretched</x:v>
      </x:c>
      <x:c r="M149" s="24" t="str">
        <x:v>Muscles: Gastrocnemius lateral head; Gastrocnemius medial head; Soleus; Tibialis posterior;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Achilles tendon | Ligament context only: Deltoid ligament and lateral ankle ligaments (ATFL/CFL/PTFL) stabilize ankle; NOT intentionally stretched</x:v>
      </x:c>
      <x:c r="N149" s="24" t="str">
        <x:v>Gastrocnemius lateral head; Gastrocnemius medial head; Soleus; Tibialis posterior</x:v>
      </x:c>
      <x:c r="O149" s="24" t="str">
        <x:v>Rise using both legs, lower one heel slowly from floor-level/step if tolerated.</x:v>
      </x:c>
      <x:c r="P149" s="24" t="str">
        <x:v>Step; support</x:v>
      </x:c>
      <x:c r="Q149" s="24" t="str">
        <x:v>2–3 × 8–12 controlled reps</x:v>
      </x:c>
      <x:c r="R149" s="24" t="str">
        <x:v>Avoid deep drops if Achilles insertion pain; clinician guidance if tendinopathy.</x:v>
      </x:c>
      <x:c r="S149" s="24" t="str">
        <x:v>https://www.orthoinfo.org/recovery/foot-and-ankle-conditioning-program</x:v>
      </x:c>
      <x:c r="T149" s="24" t="str">
        <x:v>Anatomy-based mapping</x:v>
      </x:c>
    </x:row>
    <x:row r="150" ht="54" customHeight="1">
      <x:c r="A150" s="24" t="str">
        <x:v>EX0195</x:v>
      </x:c>
      <x:c r="B150" s="24" t="str">
        <x:v>Calf eccentric heel drop bent knee</x:v>
      </x:c>
      <x:c r="C150" s="24" t="str">
        <x:v>Leg &amp; Ankle</x:v>
      </x:c>
      <x:c r="D150" s="24" t="str">
        <x:v>Home</x:v>
      </x:c>
      <x:c r="E150" s="24" t="str">
        <x:v>Eccentric strength</x:v>
      </x:c>
      <x:c r="F150" s="24" t="str">
        <x:v>Soleus</x:v>
      </x:c>
      <x:c r="G150" s="24" t="str">
        <x:v>Gastrocnemius lateral head; Gastrocnemius medial head</x:v>
      </x:c>
      <x:c r="H150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150" s="24" t="str">
        <x:v>—</x:v>
      </x:c>
      <x:c r="J150" s="24" t="str">
        <x:v>Soleus; Gastrocnemius lateral head; Gastrocnemius medial head;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150" s="24" t="str">
        <x:v>Achilles tendon</x:v>
      </x:c>
      <x:c r="L150" s="24" t="str">
        <x:v>Deltoid ligament and lateral ankle ligaments (ATFL/CFL/PTFL) stabilize ankle; NOT intentionally stretched</x:v>
      </x:c>
      <x:c r="M150" s="24" t="str">
        <x:v>Muscles: Soleus; Gastrocnemius lateral head; Gastrocnemius medial head;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Achilles tendon | Ligament context only: Deltoid ligament and lateral ankle ligaments (ATFL/CFL/PTFL) stabilize ankle; NOT intentionally stretched</x:v>
      </x:c>
      <x:c r="N150" s="24" t="str">
        <x:v>Soleus; Gastrocnemius lateral head; Gastrocnemius medial head</x:v>
      </x:c>
      <x:c r="O150" s="24" t="str">
        <x:v>Lower heel slowly with knee moderately bent.</x:v>
      </x:c>
      <x:c r="P150" s="24" t="str">
        <x:v>Step; support</x:v>
      </x:c>
      <x:c r="Q150" s="24" t="str">
        <x:v>2–3 × 8–12 controlled reps</x:v>
      </x:c>
      <x:c r="R150" s="24" t="str">
        <x:v>Progress gradually; stop with sharp pain, dizziness, or numbness.</x:v>
      </x:c>
      <x:c r="S150" s="24" t="str">
        <x:v>https://www.orthoinfo.org/recovery/foot-and-ankle-conditioning-program</x:v>
      </x:c>
      <x:c r="T150" s="24" t="str">
        <x:v>Anatomy-based mapping</x:v>
      </x:c>
    </x:row>
    <x:row r="151" ht="54" customHeight="1">
      <x:c r="A151" s="24" t="str">
        <x:v>EX0196</x:v>
      </x:c>
      <x:c r="B151" s="24" t="str">
        <x:v>Band plantar flexion ankle</x:v>
      </x:c>
      <x:c r="C151" s="24" t="str">
        <x:v>Leg &amp; Ankle</x:v>
      </x:c>
      <x:c r="D151" s="24" t="str">
        <x:v>Home</x:v>
      </x:c>
      <x:c r="E151" s="24" t="str">
        <x:v>Band strength</x:v>
      </x:c>
      <x:c r="F151" s="24" t="str">
        <x:v>Gastrocnemius lateral head; Gastrocnemius medial head; Soleus; Plantaris; Tibialis posterior</x:v>
      </x:c>
      <x:c r="G151" s="24" t="str">
        <x:v>Fibularis longus; Fibularis brevis</x:v>
      </x:c>
      <x:c r="H151" s="24" t="str">
        <x:v>—</x:v>
      </x:c>
      <x:c r="I151" s="24" t="str">
        <x:v>—</x:v>
      </x:c>
      <x:c r="J151" s="24" t="str">
        <x:v>Gastrocnemius lateral head; Gastrocnemius medial head; Soleus; Plantaris; Tibialis posterior; Fibularis longus; Fibularis brevis</x:v>
      </x:c>
      <x:c r="K151" s="24" t="str">
        <x:v>Achilles tendon; tibialis posterior tendon</x:v>
      </x:c>
      <x:c r="L151" s="24" t="str">
        <x:v>Deltoid ligament and lateral ankle ligaments (ATFL/CFL/PTFL) stabilize ankle; NOT intentionally stretched</x:v>
      </x:c>
      <x:c r="M151" s="24" t="str">
        <x:v>Muscles: Gastrocnemius lateral head; Gastrocnemius medial head; Soleus; Plantaris; Tibialis posterior; Fibularis longus; Fibularis brevis | Tendons/fascia: Achilles tendon; tibialis posterior tendon | Ligament context only: Deltoid ligament and lateral ankle ligaments (ATFL/CFL/PTFL) stabilize ankle; NOT intentionally stretched</x:v>
      </x:c>
      <x:c r="N151" s="24" t="str">
        <x:v>Gastrocnemius lateral head; Gastrocnemius medial head; Soleus; Plantaris; Tibialis posterior; Fibularis longus; Fibularis brevis</x:v>
      </x:c>
      <x:c r="O151" s="24" t="str">
        <x:v>Loop band over forefoot and point toes against resistance.</x:v>
      </x:c>
      <x:c r="P151" s="24" t="str">
        <x:v>Resistance band</x:v>
      </x:c>
      <x:c r="Q151" s="24" t="str">
        <x:v>2–3 × 8–12 controlled reps</x:v>
      </x:c>
      <x:c r="R151" s="24" t="str">
        <x:v>Progress gradually; stop with sharp pain, dizziness, or numbness.</x:v>
      </x:c>
      <x:c r="S151" s="24" t="str">
        <x:v>https://www.orthoinfo.org/recovery/foot-and-ankle-conditioning-program</x:v>
      </x:c>
      <x:c r="T151" s="24" t="str">
        <x:v>Anatomy-based mapping</x:v>
      </x:c>
    </x:row>
    <x:row r="152" ht="54" customHeight="1">
      <x:c r="A152" s="24" t="str">
        <x:v>EX0197</x:v>
      </x:c>
      <x:c r="B152" s="24" t="str">
        <x:v>Band ankle dorsiflexion</x:v>
      </x:c>
      <x:c r="C152" s="24" t="str">
        <x:v>Leg &amp; Ankle</x:v>
      </x:c>
      <x:c r="D152" s="24" t="str">
        <x:v>Home</x:v>
      </x:c>
      <x:c r="E152" s="24" t="str">
        <x:v>Band strength</x:v>
      </x:c>
      <x:c r="F152" s="24" t="str">
        <x:v>Tibialis anterior; Extensor digitorum longus; Extensor hallucis longus; Fibularis tertius</x:v>
      </x:c>
      <x:c r="G152" s="24" t="str">
        <x:v>—</x:v>
      </x:c>
      <x:c r="H152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152" s="24" t="str">
        <x:v>—</x:v>
      </x:c>
      <x:c r="J152" s="24" t="str">
        <x:v>Tibialis anterior; Extensor digitorum longus; Extensor hallucis longus; Fibularis tertius;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152" s="24" t="str">
        <x:v>Tibialis anterior and toe extensor tendons</x:v>
      </x:c>
      <x:c r="L152" s="24" t="str">
        <x:v>Deltoid ligament and lateral ankle ligaments (ATFL/CFL/PTFL) stabilize ankle; NOT intentionally stretched</x:v>
      </x:c>
      <x:c r="M152" s="24" t="str">
        <x:v>Muscles: Tibialis anterior; Extensor digitorum longus; Extensor hallucis longus; Fibularis tertius;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Tibialis anterior and toe extensor tendons | Ligament context only: Deltoid ligament and lateral ankle ligaments (ATFL/CFL/PTFL) stabilize ankle; NOT intentionally stretched</x:v>
      </x:c>
      <x:c r="N152" s="24" t="str">
        <x:v>Tibialis anterior; Extensor digitorum longus; Extensor hallucis longus; Fibularis tertius</x:v>
      </x:c>
      <x:c r="O152" s="24" t="str">
        <x:v>Pull foot toward shin with band anchored beyond toes.</x:v>
      </x:c>
      <x:c r="P152" s="24" t="str">
        <x:v>Resistance band</x:v>
      </x:c>
      <x:c r="Q152" s="24" t="str">
        <x:v>2–3 × 8–12 controlled reps</x:v>
      </x:c>
      <x:c r="R152" s="24" t="str">
        <x:v>Progress gradually; stop with sharp pain, dizziness, or numbness.</x:v>
      </x:c>
      <x:c r="S152" s="24" t="str">
        <x:v>https://www.orthoinfo.org/recovery/foot-and-ankle-conditioning-program</x:v>
      </x:c>
      <x:c r="T152" s="24" t="str">
        <x:v>Anatomy-based mapping</x:v>
      </x:c>
    </x:row>
    <x:row r="153" ht="54" customHeight="1">
      <x:c r="A153" s="24" t="str">
        <x:v>EX0198</x:v>
      </x:c>
      <x:c r="B153" s="24" t="str">
        <x:v>Wall tibialis anterior raises</x:v>
      </x:c>
      <x:c r="C153" s="24" t="str">
        <x:v>Leg &amp; Ankle</x:v>
      </x:c>
      <x:c r="D153" s="24" t="str">
        <x:v>Home</x:v>
      </x:c>
      <x:c r="E153" s="24" t="str">
        <x:v>Isolation strength</x:v>
      </x:c>
      <x:c r="F153" s="24" t="str">
        <x:v>Tibialis anterior</x:v>
      </x:c>
      <x:c r="G153" s="24" t="str">
        <x:v>Extensor digitorum longus; Extensor hallucis longus; Fibularis tertius</x:v>
      </x:c>
      <x:c r="H153" s="24" t="str">
        <x:v>—</x:v>
      </x:c>
      <x:c r="I153" s="24" t="str">
        <x:v>—</x:v>
      </x:c>
      <x:c r="J153" s="24" t="str">
        <x:v>Tibialis anterior; Extensor digitorum longus; Extensor hallucis longus; Fibularis tertius</x:v>
      </x:c>
      <x:c r="K153" s="24" t="str">
        <x:v>Tibialis anterior tendon</x:v>
      </x:c>
      <x:c r="L153" s="24" t="str">
        <x:v>Deltoid ligament and lateral ankle ligaments (ATFL/CFL/PTFL) stabilize ankle; NOT intentionally stretched</x:v>
      </x:c>
      <x:c r="M153" s="24" t="str">
        <x:v>Muscles: Tibialis anterior; Extensor digitorum longus; Extensor hallucis longus; Fibularis tertius | Tendons/fascia: Tibialis anterior tendon | Ligament context only: Deltoid ligament and lateral ankle ligaments (ATFL/CFL/PTFL) stabilize ankle; NOT intentionally stretched</x:v>
      </x:c>
      <x:c r="N153" s="24" t="str">
        <x:v>Tibialis anterior; Extensor digitorum longus; Extensor hallucis longus; Fibularis tertius</x:v>
      </x:c>
      <x:c r="O153" s="24" t="str">
        <x:v>Lean back against wall with heels forward; lift toes off ground.</x:v>
      </x:c>
      <x:c r="P153" s="24" t="str">
        <x:v>Wall</x:v>
      </x:c>
      <x:c r="Q153" s="24" t="str">
        <x:v>2–3 × 8–12 controlled reps</x:v>
      </x:c>
      <x:c r="R153" s="24" t="str">
        <x:v>Progress gradually; stop with sharp pain, dizziness, or numbness.</x:v>
      </x:c>
      <x:c r="S153" s="24" t="str">
        <x:v>https://www.orthoinfo.org/recovery/foot-and-ankle-conditioning-program</x:v>
      </x:c>
      <x:c r="T153" s="24" t="str">
        <x:v>Anatomy-based mapping</x:v>
      </x:c>
    </x:row>
    <x:row r="154" ht="54" customHeight="1">
      <x:c r="A154" s="24" t="str">
        <x:v>EX0200</x:v>
      </x:c>
      <x:c r="B154" s="24" t="str">
        <x:v>Band inversion (tibialis posterior focus)</x:v>
      </x:c>
      <x:c r="C154" s="24" t="str">
        <x:v>Leg &amp; Ankle</x:v>
      </x:c>
      <x:c r="D154" s="24" t="str">
        <x:v>Home</x:v>
      </x:c>
      <x:c r="E154" s="24" t="str">
        <x:v>Band strength</x:v>
      </x:c>
      <x:c r="F154" s="24" t="str">
        <x:v>Tibialis posterior; Tibialis anterior</x:v>
      </x:c>
      <x:c r="G154" s="24" t="str">
        <x:v>—</x:v>
      </x:c>
      <x:c r="H154" s="24" t="str">
        <x:v>Gastrocnemius lateral head; Gastrocnemius medial head; Soleus; Plantaris</x:v>
      </x:c>
      <x:c r="I154" s="24" t="str">
        <x:v>—</x:v>
      </x:c>
      <x:c r="J154" s="24" t="str">
        <x:v>Tibialis posterior; Tibialis anterior; Gastrocnemius lateral head; Gastrocnemius medial head; Soleus; Plantaris</x:v>
      </x:c>
      <x:c r="K154" s="24" t="str">
        <x:v>Posterior tibial tendon; tibialis anterior tendon</x:v>
      </x:c>
      <x:c r="L154" s="24" t="str">
        <x:v>Deltoid ligament stabilizes medial ankle; do not force eversion</x:v>
      </x:c>
      <x:c r="M154" s="24" t="str">
        <x:v>Muscles: Tibialis posterior; Tibialis anterior; Gastrocnemius lateral head; Gastrocnemius medial head; Soleus; Plantaris | Tendons/fascia: Posterior tibial tendon; tibialis anterior tendon | Ligament context only: Deltoid ligament stabilizes medial ankle; do not force eversion</x:v>
      </x:c>
      <x:c r="N154" s="24" t="str">
        <x:v>Tibialis posterior; Tibialis anterior</x:v>
      </x:c>
      <x:c r="O154" s="24" t="str">
        <x:v>Turn sole inward against anchored band, keeping knee still.</x:v>
      </x:c>
      <x:c r="P154" s="24" t="str">
        <x:v>Resistance band</x:v>
      </x:c>
      <x:c r="Q154" s="24" t="str">
        <x:v>2–3 × 8–12 controlled reps</x:v>
      </x:c>
      <x:c r="R154" s="24" t="str">
        <x:v>Progress gradually; stop with sharp pain, dizziness, or numbness.</x:v>
      </x:c>
      <x:c r="S154" s="24" t="str">
        <x:v>https://www.orthoinfo.org/recovery/foot-and-ankle-conditioning-program</x:v>
      </x:c>
      <x:c r="T154" s="24" t="str">
        <x:v>Anatomy-based mapping</x:v>
      </x:c>
    </x:row>
    <x:row r="155" ht="54" customHeight="1">
      <x:c r="A155" s="24" t="str">
        <x:v>EX0201</x:v>
      </x:c>
      <x:c r="B155" s="24" t="str">
        <x:v>Band eversion (fibularis focus)</x:v>
      </x:c>
      <x:c r="C155" s="24" t="str">
        <x:v>Leg &amp; Ankle</x:v>
      </x:c>
      <x:c r="D155" s="24" t="str">
        <x:v>Home</x:v>
      </x:c>
      <x:c r="E155" s="24" t="str">
        <x:v>Band strength</x:v>
      </x:c>
      <x:c r="F155" s="24" t="str">
        <x:v>Fibularis longus; Fibularis brevis; Fibularis tertius</x:v>
      </x:c>
      <x:c r="G155" s="24" t="str">
        <x:v>—</x:v>
      </x:c>
      <x:c r="H155" s="24" t="str">
        <x:v>Gastrocnemius lateral head; Gastrocnemius medial head; Soleus; Plantaris</x:v>
      </x:c>
      <x:c r="I155" s="24" t="str">
        <x:v>—</x:v>
      </x:c>
      <x:c r="J155" s="24" t="str">
        <x:v>Fibularis longus; Fibularis brevis; Fibularis tertius; Gastrocnemius lateral head; Gastrocnemius medial head; Soleus; Plantaris</x:v>
      </x:c>
      <x:c r="K155" s="24" t="str">
        <x:v>Fibularis longus/brevis/tertius tendons</x:v>
      </x:c>
      <x:c r="L155" s="24" t="str">
        <x:v>Lateral ankle ligaments resist excessive inversion; not stretch targets</x:v>
      </x:c>
      <x:c r="M155" s="24" t="str">
        <x:v>Muscles: Fibularis longus; Fibularis brevis; Fibularis tertius; Gastrocnemius lateral head; Gastrocnemius medial head; Soleus; Plantaris | Tendons/fascia: Fibularis longus/brevis/tertius tendons | Ligament context only: Lateral ankle ligaments resist excessive inversion; not stretch targets</x:v>
      </x:c>
      <x:c r="N155" s="24" t="str">
        <x:v>Fibularis longus; Fibularis brevis; Fibularis tertius</x:v>
      </x:c>
      <x:c r="O155" s="24" t="str">
        <x:v>Turn sole outward against band without whole-leg rotation.</x:v>
      </x:c>
      <x:c r="P155" s="24" t="str">
        <x:v>Resistance band</x:v>
      </x:c>
      <x:c r="Q155" s="24" t="str">
        <x:v>2–3 × 8–12 controlled reps</x:v>
      </x:c>
      <x:c r="R155" s="24" t="str">
        <x:v>Progress gradually; stop with sharp pain, dizziness, or numbness.</x:v>
      </x:c>
      <x:c r="S155" s="24" t="str">
        <x:v>https://www.orthoinfo.org/recovery/foot-and-ankle-conditioning-program</x:v>
      </x:c>
      <x:c r="T155" s="24" t="str">
        <x:v>Anatomy-based mapping</x:v>
      </x:c>
    </x:row>
    <x:row r="156" ht="54" customHeight="1">
      <x:c r="A156" s="24" t="str">
        <x:v>EX0202</x:v>
      </x:c>
      <x:c r="B156" s="24" t="str">
        <x:v>Resisted great-toe extension</x:v>
      </x:c>
      <x:c r="C156" s="24" t="str">
        <x:v>Leg &amp; Ankle</x:v>
      </x:c>
      <x:c r="D156" s="24" t="str">
        <x:v>Home</x:v>
      </x:c>
      <x:c r="E156" s="24" t="str">
        <x:v>Band strength</x:v>
      </x:c>
      <x:c r="F156" s="24" t="str">
        <x:v>Extensor hallucis longus; Extensor hallucis brevis</x:v>
      </x:c>
      <x:c r="G156" s="24" t="str">
        <x:v>—</x:v>
      </x:c>
      <x:c r="H156" s="24" t="str">
        <x:v>—</x:v>
      </x:c>
      <x:c r="I156" s="24" t="str">
        <x:v>—</x:v>
      </x:c>
      <x:c r="J156" s="24" t="str">
        <x:v>Extensor hallucis longus; Extensor hallucis brevis</x:v>
      </x:c>
      <x:c r="K156" s="24" t="str">
        <x:v>EHL and EHB tendons</x:v>
      </x:c>
      <x:c r="L156" s="24" t="str">
        <x:v>Deltoid ligament and lateral ankle ligaments (ATFL/CFL/PTFL) stabilize ankle; NOT intentionally stretched</x:v>
      </x:c>
      <x:c r="M156" s="24" t="str">
        <x:v>Muscles: Extensor hallucis longus; Extensor hallucis brevis | Tendons/fascia: EHL and EHB tendons | Ligament context only: Deltoid ligament and lateral ankle ligaments (ATFL/CFL/PTFL) stabilize ankle; NOT intentionally stretched</x:v>
      </x:c>
      <x:c r="N156" s="24" t="str">
        <x:v>Extensor hallucis longus; Extensor hallucis brevis</x:v>
      </x:c>
      <x:c r="O156" s="24" t="str">
        <x:v>Lift big toe against very light elastic without curling lesser toes.</x:v>
      </x:c>
      <x:c r="P156" s="24" t="str">
        <x:v>Light elastic</x:v>
      </x:c>
      <x:c r="Q156" s="24" t="str">
        <x:v>2–3 × 8–12 controlled reps</x:v>
      </x:c>
      <x:c r="R156" s="24" t="str">
        <x:v>Progress gradually; stop with sharp pain, dizziness, or numbness.</x:v>
      </x:c>
      <x:c r="S156" s="24" t="str">
        <x:v>https://www.orthoinfo.org/recovery/foot-and-ankle-conditioning-program</x:v>
      </x:c>
      <x:c r="T156" s="24" t="str">
        <x:v>Anatomy-based mapping</x:v>
      </x:c>
    </x:row>
    <x:row r="157" ht="54" customHeight="1">
      <x:c r="A157" s="24" t="str">
        <x:v>EX0203</x:v>
      </x:c>
      <x:c r="B157" s="24" t="str">
        <x:v>Resisted lesser-toe extension</x:v>
      </x:c>
      <x:c r="C157" s="24" t="str">
        <x:v>Leg &amp; Ankle</x:v>
      </x:c>
      <x:c r="D157" s="24" t="str">
        <x:v>Home</x:v>
      </x:c>
      <x:c r="E157" s="24" t="str">
        <x:v>Band strength</x:v>
      </x:c>
      <x:c r="F157" s="24" t="str">
        <x:v>Extensor digitorum longus; Extensor digitorum brevis</x:v>
      </x:c>
      <x:c r="G157" s="24" t="str">
        <x:v>—</x:v>
      </x:c>
      <x:c r="H157" s="24" t="str">
        <x:v>—</x:v>
      </x:c>
      <x:c r="I157" s="24" t="str">
        <x:v>—</x:v>
      </x:c>
      <x:c r="J157" s="24" t="str">
        <x:v>Extensor digitorum longus; Extensor digitorum brevis</x:v>
      </x:c>
      <x:c r="K157" s="24" t="str">
        <x:v>EDL and EDB extensor tendons</x:v>
      </x:c>
      <x:c r="L157" s="24" t="str">
        <x:v>Deltoid ligament and lateral ankle ligaments (ATFL/CFL/PTFL) stabilize ankle; NOT intentionally stretched</x:v>
      </x:c>
      <x:c r="M157" s="24" t="str">
        <x:v>Muscles: Extensor digitorum longus; Extensor digitorum brevis | Tendons/fascia: EDL and EDB extensor tendons | Ligament context only: Deltoid ligament and lateral ankle ligaments (ATFL/CFL/PTFL) stabilize ankle; NOT intentionally stretched</x:v>
      </x:c>
      <x:c r="N157" s="24" t="str">
        <x:v>Extensor digitorum longus; Extensor digitorum brevis</x:v>
      </x:c>
      <x:c r="O157" s="24" t="str">
        <x:v>Extend lesser toes against soft elastic while ankle still.</x:v>
      </x:c>
      <x:c r="P157" s="24" t="str">
        <x:v>Light elastic</x:v>
      </x:c>
      <x:c r="Q157" s="24" t="str">
        <x:v>2–3 × 8–12 controlled reps</x:v>
      </x:c>
      <x:c r="R157" s="24" t="str">
        <x:v>Progress gradually; stop with sharp pain, dizziness, or numbness.</x:v>
      </x:c>
      <x:c r="S157" s="24" t="str">
        <x:v>https://www.orthoinfo.org/recovery/foot-and-ankle-conditioning-program</x:v>
      </x:c>
      <x:c r="T157" s="24" t="str">
        <x:v>Anatomy-based mapping</x:v>
      </x:c>
    </x:row>
    <x:row r="158" ht="54" customHeight="1">
      <x:c r="A158" s="24" t="str">
        <x:v>EX0204</x:v>
      </x:c>
      <x:c r="B158" s="24" t="str">
        <x:v>Resisted hallux flexion</x:v>
      </x:c>
      <x:c r="C158" s="24" t="str">
        <x:v>Leg &amp; Ankle</x:v>
      </x:c>
      <x:c r="D158" s="24" t="str">
        <x:v>Home</x:v>
      </x:c>
      <x:c r="E158" s="24" t="str">
        <x:v>Band strength</x:v>
      </x:c>
      <x:c r="F158" s="24" t="str">
        <x:v>Flexor hallucis longus; Flexor hallucis brevis lateral head; Flexor hallucis brevis medial head</x:v>
      </x:c>
      <x:c r="G158" s="24" t="str">
        <x:v>Abductor hallucis</x:v>
      </x:c>
      <x:c r="H158" s="24" t="str">
        <x:v>—</x:v>
      </x:c>
      <x:c r="I158" s="24" t="str">
        <x:v>—</x:v>
      </x:c>
      <x:c r="J158" s="24" t="str">
        <x:v>Flexor hallucis longus; Flexor hallucis brevis lateral head; Flexor hallucis brevis medial head; Abductor hallucis</x:v>
      </x:c>
      <x:c r="K158" s="24" t="str">
        <x:v>Flexor hallucis longus tendon</x:v>
      </x:c>
      <x:c r="L158" s="24" t="str">
        <x:v>Deltoid ligament and lateral ankle ligaments (ATFL/CFL/PTFL) stabilize ankle; NOT intentionally stretched</x:v>
      </x:c>
      <x:c r="M158" s="24" t="str">
        <x:v>Muscles: Flexor hallucis longus; Flexor hallucis brevis lateral head; Flexor hallucis brevis medial head; Abductor hallucis | Tendons/fascia: Flexor hallucis longus tendon | Ligament context only: Deltoid ligament and lateral ankle ligaments (ATFL/CFL/PTFL) stabilize ankle; NOT intentionally stretched</x:v>
      </x:c>
      <x:c r="N158" s="24" t="str">
        <x:v>Flexor hallucis longus; Flexor hallucis brevis lateral head; Flexor hallucis brevis medial head; Abductor hallucis</x:v>
      </x:c>
      <x:c r="O158" s="24" t="str">
        <x:v>Press big toe down against elastic while midfoot stays relaxed.</x:v>
      </x:c>
      <x:c r="P158" s="24" t="str">
        <x:v>Light band</x:v>
      </x:c>
      <x:c r="Q158" s="24" t="str">
        <x:v>2–3 × 8–12 controlled reps</x:v>
      </x:c>
      <x:c r="R158" s="24" t="str">
        <x:v>Progress gradually; stop with sharp pain, dizziness, or numbness.</x:v>
      </x:c>
      <x:c r="S158" s="24" t="str">
        <x:v>https://www.orthoinfo.org/recovery/foot-and-ankle-conditioning-program</x:v>
      </x:c>
      <x:c r="T158" s="24" t="str">
        <x:v>Anatomy-based mapping</x:v>
      </x:c>
    </x:row>
    <x:row r="159" ht="54" customHeight="1">
      <x:c r="A159" s="24" t="str">
        <x:v>EX0205</x:v>
      </x:c>
      <x:c r="B159" s="24" t="str">
        <x:v>Resisted lesser toe flexion</x:v>
      </x:c>
      <x:c r="C159" s="24" t="str">
        <x:v>Leg &amp; Ankle</x:v>
      </x:c>
      <x:c r="D159" s="24" t="str">
        <x:v>Home</x:v>
      </x:c>
      <x:c r="E159" s="24" t="str">
        <x:v>Band strength</x:v>
      </x:c>
      <x:c r="F159" s="24" t="str">
        <x:v>Flexor digitorum longus; Flexor digitorum brevis; Quadratus plantae lateral head; Quadratus plantae medial head</x:v>
      </x:c>
      <x:c r="G159" s="24" t="str">
        <x:v>—</x:v>
      </x:c>
      <x:c r="H159" s="24" t="str">
        <x:v>Abductor hallucis; Abductor digiti minimi (foot); Adductor hallucis oblique head; Adductor hallucis transverse head; Flexor hallucis brevis lateral head; Flexor hallucis brevis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159" s="24" t="str">
        <x:v>—</x:v>
      </x:c>
      <x:c r="J159" s="24" t="str">
        <x:v>Flexor digitorum longus; Flexor digitorum brevis; Quadratus plantae lateral head; Quadratus plantae medial head; Abductor hallucis; Abductor digiti minimi (foot); Adductor hallucis oblique head; Adductor hallucis transverse head; Flexor hallucis brevis lateral head; Flexor hallucis brevis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159" s="24" t="str">
        <x:v>FDL/FDB tendons</x:v>
      </x:c>
      <x:c r="L159" s="24" t="str">
        <x:v>Deltoid ligament and lateral ankle ligaments (ATFL/CFL/PTFL) stabilize ankle; NOT intentionally stretched</x:v>
      </x:c>
      <x:c r="M159" s="24" t="str">
        <x:v>Muscles: Flexor digitorum longus; Flexor digitorum brevis; Quadratus plantae lateral head; Quadratus plantae medial head; Abductor hallucis; Abductor digiti minimi (foot); Adductor hallucis oblique head; Adductor hallucis transverse head; Flexor hallucis brevis lateral head; Flexor hallucis brevis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FDL/FDB tendons | Ligament context only: Deltoid ligament and lateral ankle ligaments (ATFL/CFL/PTFL) stabilize ankle; NOT intentionally stretched</x:v>
      </x:c>
      <x:c r="N159" s="24" t="str">
        <x:v>Flexor digitorum longus; Flexor digitorum brevis; Quadratus plantae lateral head; Quadratus plantae medial head</x:v>
      </x:c>
      <x:c r="O159" s="24" t="str">
        <x:v>Curl toes gently against towel/band keeping ankle still.</x:v>
      </x:c>
      <x:c r="P159" s="24" t="str">
        <x:v>Towel/band</x:v>
      </x:c>
      <x:c r="Q159" s="24" t="str">
        <x:v>2–3 × 8–12 controlled reps</x:v>
      </x:c>
      <x:c r="R159" s="24" t="str">
        <x:v>Progress gradually; stop with sharp pain, dizziness, or numbness.</x:v>
      </x:c>
      <x:c r="S159" s="24" t="str">
        <x:v>https://www.orthoinfo.org/recovery/foot-and-ankle-conditioning-program</x:v>
      </x:c>
      <x:c r="T159" s="24" t="str">
        <x:v>Anatomy-based mapping</x:v>
      </x:c>
    </x:row>
    <x:row r="160" ht="54" customHeight="1">
      <x:c r="A160" s="24" t="str">
        <x:v>EX0206</x:v>
      </x:c>
      <x:c r="B160" s="24" t="str">
        <x:v>Short foot / arch doming</x:v>
      </x:c>
      <x:c r="C160" s="24" t="str">
        <x:v>Leg &amp; Ankle</x:v>
      </x:c>
      <x:c r="D160" s="24" t="str">
        <x:v>Home</x:v>
      </x:c>
      <x:c r="E160" s="24" t="str">
        <x:v>Motor control</x:v>
      </x:c>
      <x:c r="F160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Tibialis posterior</x:v>
      </x:c>
      <x:c r="G160" s="24" t="str">
        <x:v>Fibularis longus</x:v>
      </x:c>
      <x:c r="H160" s="24" t="str">
        <x:v>Gastrocnemius lateral head; Gastrocnemius medial head; Soleus; Plantaris; Gluteus medius; Gluteus minimus; Tensor fasciae latae</x:v>
      </x:c>
      <x:c r="I160" s="24" t="str">
        <x:v>—</x:v>
      </x:c>
      <x:c r="J160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Tibialis posterior; Fibularis longus; Gastrocnemius lateral head; Gastrocnemius medial head; Soleus; Plantaris; Gluteus medius; Gluteus minimus; Tensor fasciae latae</x:v>
      </x:c>
      <x:c r="K160" s="24" t="str">
        <x:v>Plantar aponeurosis; posterior tibial tendon</x:v>
      </x:c>
      <x:c r="L160" s="24" t="str">
        <x:v>Spring ligament and plantar ligaments support arch passively</x:v>
      </x:c>
      <x:c r="M160" s="24" t="str">
        <x:v>Muscles: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Tibialis posterior; Fibularis longus; Gastrocnemius lateral head; Gastrocnemius medial head; Soleus; Plantaris; Gluteus medius; Gluteus minimus; Tensor fasciae latae | Tendons/fascia: Plantar aponeurosis; posterior tibial tendon | Ligament context only: Spring ligament and plantar ligaments support arch passively</x:v>
      </x:c>
      <x:c r="N160" s="24" t="str">
        <x:v>Low-load activation, not ordinarily to fatigue: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Tibialis posterior</x:v>
      </x:c>
      <x:c r="O160" s="24" t="str">
        <x:v>Draw ball of foot toward heel without curling toes; maintain tripod foot.</x:v>
      </x:c>
      <x:c r="P160" s="24" t="str">
        <x:v>Floor</x:v>
      </x:c>
      <x:c r="Q160" s="24" t="str">
        <x:v>1–2 × 5–10 controlled reps</x:v>
      </x:c>
      <x:c r="R160" s="24" t="str">
        <x:v>Progress gradually; stop with sharp pain, dizziness, or numbness.</x:v>
      </x:c>
      <x:c r="S160" s="24" t="str">
        <x:v>https://www.orthoinfo.org/recovery/foot-and-ankle-conditioning-program</x:v>
      </x:c>
      <x:c r="T160" s="24" t="str">
        <x:v>Anatomy-based mapping</x:v>
      </x:c>
    </x:row>
    <x:row r="161" ht="54" customHeight="1">
      <x:c r="A161" s="24" t="str">
        <x:v>EX0207</x:v>
      </x:c>
      <x:c r="B161" s="24" t="str">
        <x:v>Towel toe scrunches</x:v>
      </x:c>
      <x:c r="C161" s="24" t="str">
        <x:v>Leg &amp; Ankle</x:v>
      </x:c>
      <x:c r="D161" s="24" t="str">
        <x:v>Home</x:v>
      </x:c>
      <x:c r="E161" s="24" t="str">
        <x:v>Isolation strength</x:v>
      </x:c>
      <x:c r="F161" s="24" t="str">
        <x:v>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</x:v>
      </x:c>
      <x:c r="G161" s="24" t="str">
        <x:v>—</x:v>
      </x:c>
      <x:c r="H161" s="24" t="str">
        <x:v>—</x:v>
      </x:c>
      <x:c r="I161" s="24" t="str">
        <x:v>—</x:v>
      </x:c>
      <x:c r="J161" s="24" t="str">
        <x:v>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</x:v>
      </x:c>
      <x:c r="K161" s="24" t="str">
        <x:v>Flexor digitorum tendons; plantar fascia</x:v>
      </x:c>
      <x:c r="L161" s="24" t="str">
        <x:v>Deltoid ligament and lateral ankle ligaments (ATFL/CFL/PTFL) stabilize ankle; NOT intentionally stretched</x:v>
      </x:c>
      <x:c r="M161" s="24" t="str">
        <x:v>Muscles: 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 | Tendons/fascia: Flexor digitorum tendons; plantar fascia | Ligament context only: Deltoid ligament and lateral ankle ligaments (ATFL/CFL/PTFL) stabilize ankle; NOT intentionally stretched</x:v>
      </x:c>
      <x:c r="N161" s="24" t="str">
        <x:v>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</x:v>
      </x:c>
      <x:c r="O161" s="24" t="str">
        <x:v>Curl towel toward heel using toes.</x:v>
      </x:c>
      <x:c r="P161" s="24" t="str">
        <x:v>Towel</x:v>
      </x:c>
      <x:c r="Q161" s="24" t="str">
        <x:v>2–3 × 8–12 controlled reps</x:v>
      </x:c>
      <x:c r="R161" s="24" t="str">
        <x:v>Progress gradually; stop with sharp pain, dizziness, or numbness.</x:v>
      </x:c>
      <x:c r="S161" s="24" t="str">
        <x:v>https://www.orthoinfo.org/recovery/foot-and-ankle-conditioning-program</x:v>
      </x:c>
      <x:c r="T161" s="24" t="str">
        <x:v>Anatomy-based mapping</x:v>
      </x:c>
    </x:row>
    <x:row r="162" ht="54" customHeight="1">
      <x:c r="A162" s="24" t="str">
        <x:v>EX0208</x:v>
      </x:c>
      <x:c r="B162" s="24" t="str">
        <x:v>Marble pick-up with toes</x:v>
      </x:c>
      <x:c r="C162" s="24" t="str">
        <x:v>Leg &amp; Ankle</x:v>
      </x:c>
      <x:c r="D162" s="24" t="str">
        <x:v>Home</x:v>
      </x:c>
      <x:c r="E162" s="24" t="str">
        <x:v>Motor control</x:v>
      </x:c>
      <x:c r="F162" s="24" t="str">
        <x:v>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</x:v>
      </x:c>
      <x:c r="G162" s="24" t="str">
        <x:v>—</x:v>
      </x:c>
      <x:c r="H162" s="24" t="str">
        <x:v>—</x:v>
      </x:c>
      <x:c r="I162" s="24" t="str">
        <x:v>—</x:v>
      </x:c>
      <x:c r="J162" s="24" t="str">
        <x:v>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</x:v>
      </x:c>
      <x:c r="K162" s="24" t="str">
        <x:v>Flexor digitorum longus/brevis tendons</x:v>
      </x:c>
      <x:c r="L162" s="24" t="str">
        <x:v>Deltoid ligament and lateral ankle ligaments (ATFL/CFL/PTFL) stabilize ankle; NOT intentionally stretched</x:v>
      </x:c>
      <x:c r="M162" s="24" t="str">
        <x:v>Muscles: 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 | Tendons/fascia: Flexor digitorum longus/brevis tendons | Ligament context only: Deltoid ligament and lateral ankle ligaments (ATFL/CFL/PTFL) stabilize ankle; NOT intentionally stretched</x:v>
      </x:c>
      <x:c r="N162" s="24" t="str">
        <x:v>Low-load activation, not ordinarily to fatigue: 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</x:v>
      </x:c>
      <x:c r="O162" s="24" t="str">
        <x:v>Pick up soft objects using toes, replace gently.</x:v>
      </x:c>
      <x:c r="P162" s="24" t="str">
        <x:v>Small soft objects</x:v>
      </x:c>
      <x:c r="Q162" s="24" t="str">
        <x:v>1–2 × 5–10 controlled reps</x:v>
      </x:c>
      <x:c r="R162" s="24" t="str">
        <x:v>Progress gradually; stop with sharp pain, dizziness, or numbness.</x:v>
      </x:c>
      <x:c r="S162" s="24" t="str">
        <x:v>https://www.orthoinfo.org/recovery/foot-and-ankle-conditioning-program</x:v>
      </x:c>
      <x:c r="T162" s="24" t="str">
        <x:v>Anatomy-based mapping</x:v>
      </x:c>
    </x:row>
    <x:row r="163" ht="54" customHeight="1">
      <x:c r="A163" s="24" t="str">
        <x:v>EX0209</x:v>
      </x:c>
      <x:c r="B163" s="24" t="str">
        <x:v>Toe spread and splay</x:v>
      </x:c>
      <x:c r="C163" s="24" t="str">
        <x:v>Leg &amp; Ankle</x:v>
      </x:c>
      <x:c r="D163" s="24" t="str">
        <x:v>Home</x:v>
      </x:c>
      <x:c r="E163" s="24" t="str">
        <x:v>Motor control</x:v>
      </x:c>
      <x:c r="F163" s="24" t="str">
        <x:v>Dorsal interosseous 1 (foot); Dorsal interosseous 2 (foot); Dorsal interosseous 3 (foot); Dorsal interosseous 4 (foot); Abductor hallucis; Abductor digiti minimi (foot)</x:v>
      </x:c>
      <x:c r="G163" s="24" t="str">
        <x:v>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Plantar interosseous 1 (third toe); Plantar interosseous 2 (fourth toe); Plantar interosseous 3 (fifth toe); Flexor digiti minimi brevis (foot); Opponens digiti minimi (foot, variable)</x:v>
      </x:c>
      <x:c r="H163" s="24" t="str">
        <x:v>—</x:v>
      </x:c>
      <x:c r="I163" s="24" t="str">
        <x:v>—</x:v>
      </x:c>
      <x:c r="J163" s="24" t="str">
        <x:v>Dorsal interosseous 1 (foot); Dorsal interosseous 2 (foot); Dorsal interosseous 3 (foot); Dorsal interosseous 4 (foot);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Plantar interosseous 1 (third toe); Plantar interosseous 2 (fourth toe); Plantar interosseous 3 (fifth toe); Flexor digiti minimi brevis (foot); Opponens digiti minimi (foot, variable)</x:v>
      </x:c>
      <x:c r="K163" s="24" t="str">
        <x:v>Dorsal interosseous insertion tendons</x:v>
      </x:c>
      <x:c r="L163" s="24" t="str">
        <x:v>Deltoid ligament and lateral ankle ligaments (ATFL/CFL/PTFL) stabilize ankle; NOT intentionally stretched</x:v>
      </x:c>
      <x:c r="M163" s="24" t="str">
        <x:v>Muscles: Dorsal interosseous 1 (foot); Dorsal interosseous 2 (foot); Dorsal interosseous 3 (foot); Dorsal interosseous 4 (foot);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Plantar interosseous 1 (third toe); Plantar interosseous 2 (fourth toe); Plantar interosseous 3 (fifth toe); Flexor digiti minimi brevis (foot); Opponens digiti minimi (foot, variable) | Tendons/fascia: Dorsal interosseous insertion tendons | Ligament context only: Deltoid ligament and lateral ankle ligaments (ATFL/CFL/PTFL) stabilize ankle; NOT intentionally stretched</x:v>
      </x:c>
      <x:c r="N163" s="24" t="str">
        <x:v>Low-load activation, not ordinarily to fatigue: Dorsal interosseous 1 (foot); Dorsal interosseous 2 (foot); Dorsal interosseous 3 (foot); Dorsal interosseous 4 (foot); Abductor hallucis; Abductor digiti minimi (foot)</x:v>
      </x:c>
      <x:c r="O163" s="24" t="str">
        <x:v>Spread toes apart without gripping or forcing.</x:v>
      </x:c>
      <x:c r="P163" s="24" t="str">
        <x:v>Floor</x:v>
      </x:c>
      <x:c r="Q163" s="24" t="str">
        <x:v>1–2 × 5–10 controlled reps</x:v>
      </x:c>
      <x:c r="R163" s="24" t="str">
        <x:v>Progress gradually; stop with sharp pain, dizziness, or numbness.</x:v>
      </x:c>
      <x:c r="S163" s="24" t="str">
        <x:v>https://www.orthoinfo.org/recovery/foot-and-ankle-conditioning-program</x:v>
      </x:c>
      <x:c r="T163" s="24" t="str">
        <x:v>Anatomy-based mapping</x:v>
      </x:c>
    </x:row>
    <x:row r="164" ht="54" customHeight="1">
      <x:c r="A164" s="24" t="str">
        <x:v>EX0210</x:v>
      </x:c>
      <x:c r="B164" s="24" t="str">
        <x:v>Toe squeeze together</x:v>
      </x:c>
      <x:c r="C164" s="24" t="str">
        <x:v>Leg &amp; Ankle</x:v>
      </x:c>
      <x:c r="D164" s="24" t="str">
        <x:v>Home</x:v>
      </x:c>
      <x:c r="E164" s="24" t="str">
        <x:v>Motor control</x:v>
      </x:c>
      <x:c r="F164" s="24" t="str">
        <x:v>Plantar interosseous 1 (third toe); Plantar interosseous 2 (fourth toe); Plantar interosseous 3 (fifth toe); Adductor hallucis oblique head; Adductor hallucis transverse head</x:v>
      </x:c>
      <x:c r="G164" s="24" t="str">
        <x:v>Abductor hallucis; Abductor digiti minimi (foot);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Flexor digiti minimi brevis (foot); Opponens digiti minimi (foot, variable)</x:v>
      </x:c>
      <x:c r="H164" s="24" t="str">
        <x:v>—</x:v>
      </x:c>
      <x:c r="I164" s="24" t="str">
        <x:v>—</x:v>
      </x:c>
      <x:c r="J164" s="24" t="str">
        <x:v>Plantar interosseous 1 (third toe); Plantar interosseous 2 (fourth toe); Plantar interosseous 3 (fifth toe); Adductor hallucis oblique head; Adductor hallucis transverse head; Abductor hallucis; Abductor digiti minimi (foot);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Flexor digiti minimi brevis (foot); Opponens digiti minimi (foot, variable)</x:v>
      </x:c>
      <x:c r="K164" s="24" t="str">
        <x:v>Plantar interossei; adductor hallucis tendons</x:v>
      </x:c>
      <x:c r="L164" s="24" t="str">
        <x:v>Deltoid ligament and lateral ankle ligaments (ATFL/CFL/PTFL) stabilize ankle; NOT intentionally stretched</x:v>
      </x:c>
      <x:c r="M164" s="24" t="str">
        <x:v>Muscles: Plantar interosseous 1 (third toe); Plantar interosseous 2 (fourth toe); Plantar interosseous 3 (fifth toe); Adductor hallucis oblique head; Adductor hallucis transverse head; Abductor hallucis; Abductor digiti minimi (foot);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Flexor digiti minimi brevis (foot); Opponens digiti minimi (foot, variable) | Tendons/fascia: Plantar interossei; adductor hallucis tendons | Ligament context only: Deltoid ligament and lateral ankle ligaments (ATFL/CFL/PTFL) stabilize ankle; NOT intentionally stretched</x:v>
      </x:c>
      <x:c r="N164" s="24" t="str">
        <x:v>Low-load activation, not ordinarily to fatigue: Plantar interosseous 1 (third toe); Plantar interosseous 2 (fourth toe); Plantar interosseous 3 (fifth toe); Adductor hallucis oblique head; Adductor hallucis transverse head</x:v>
      </x:c>
      <x:c r="O164" s="24" t="str">
        <x:v>Gently draw toes toward midline and relax.</x:v>
      </x:c>
      <x:c r="P164" s="24" t="str">
        <x:v>Floor</x:v>
      </x:c>
      <x:c r="Q164" s="24" t="str">
        <x:v>1–2 × 5–10 controlled reps</x:v>
      </x:c>
      <x:c r="R164" s="24" t="str">
        <x:v>Progress gradually; stop with sharp pain, dizziness, or numbness.</x:v>
      </x:c>
      <x:c r="S164" s="24" t="str">
        <x:v>https://www.orthoinfo.org/recovery/foot-and-ankle-conditioning-program</x:v>
      </x:c>
      <x:c r="T164" s="24" t="str">
        <x:v>Anatomy-based mapping</x:v>
      </x:c>
    </x:row>
    <x:row r="165" ht="54" customHeight="1">
      <x:c r="A165" s="24" t="str">
        <x:v>EX0211</x:v>
      </x:c>
      <x:c r="B165" s="24" t="str">
        <x:v>Big-toe abduction with finger spacer</x:v>
      </x:c>
      <x:c r="C165" s="24" t="str">
        <x:v>Leg &amp; Ankle</x:v>
      </x:c>
      <x:c r="D165" s="24" t="str">
        <x:v>Home</x:v>
      </x:c>
      <x:c r="E165" s="24" t="str">
        <x:v>Motor control</x:v>
      </x:c>
      <x:c r="F165" s="24" t="str">
        <x:v>Abductor hallucis</x:v>
      </x:c>
      <x:c r="G165" s="24" t="str">
        <x:v>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H165" s="24" t="str">
        <x:v>—</x:v>
      </x:c>
      <x:c r="I165" s="24" t="str">
        <x:v>—</x:v>
      </x:c>
      <x:c r="J165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165" s="24" t="str">
        <x:v>Abductor hallucis tendon</x:v>
      </x:c>
      <x:c r="L165" s="24" t="str">
        <x:v>Deltoid ligament and lateral ankle ligaments (ATFL/CFL/PTFL) stabilize ankle; NOT intentionally stretched</x:v>
      </x:c>
      <x:c r="M165" s="24" t="str">
        <x:v>Muscles: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Abductor hallucis tendon | Ligament context only: Deltoid ligament and lateral ankle ligaments (ATFL/CFL/PTFL) stabilize ankle; NOT intentionally stretched</x:v>
      </x:c>
      <x:c r="N165" s="24" t="str">
        <x:v>Low-load activation, not ordinarily to fatigue: Abductor hallucis</x:v>
      </x:c>
      <x:c r="O165" s="24" t="str">
        <x:v>Move big toe away from second toe gently against low resistance.</x:v>
      </x:c>
      <x:c r="P165" s="24" t="str">
        <x:v>Soft toe spacer</x:v>
      </x:c>
      <x:c r="Q165" s="24" t="str">
        <x:v>1–2 × 5–10 controlled reps</x:v>
      </x:c>
      <x:c r="R165" s="24" t="str">
        <x:v>Progress gradually; stop with sharp pain, dizziness, or numbness.</x:v>
      </x:c>
      <x:c r="S165" s="24" t="str">
        <x:v>https://www.orthoinfo.org/recovery/foot-and-ankle-conditioning-program</x:v>
      </x:c>
      <x:c r="T165" s="24" t="str">
        <x:v>Anatomy-based mapping</x:v>
      </x:c>
    </x:row>
    <x:row r="166" ht="54" customHeight="1">
      <x:c r="A166" s="24" t="str">
        <x:v>EX0212</x:v>
      </x:c>
      <x:c r="B166" s="24" t="str">
        <x:v>Little-toe abduction with band</x:v>
      </x:c>
      <x:c r="C166" s="24" t="str">
        <x:v>Leg &amp; Ankle</x:v>
      </x:c>
      <x:c r="D166" s="24" t="str">
        <x:v>Home</x:v>
      </x:c>
      <x:c r="E166" s="24" t="str">
        <x:v>Band strength</x:v>
      </x:c>
      <x:c r="F166" s="24" t="str">
        <x:v>Abductor digiti minimi (foot); Opponens digiti minimi (foot, variable)</x:v>
      </x:c>
      <x:c r="G166" s="24" t="str">
        <x:v>Abductor hallucis;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</x:v>
      </x:c>
      <x:c r="H166" s="24" t="str">
        <x:v>—</x:v>
      </x:c>
      <x:c r="I166" s="24" t="str">
        <x:v>—</x:v>
      </x:c>
      <x:c r="J166" s="24" t="str">
        <x:v>Abductor digiti minimi (foot); Opponens digiti minimi (foot, variable); Abductor hallucis;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</x:v>
      </x:c>
      <x:c r="K166" s="24" t="str">
        <x:v>Abductor digiti minimi tendon</x:v>
      </x:c>
      <x:c r="L166" s="24" t="str">
        <x:v>Deltoid ligament and lateral ankle ligaments (ATFL/CFL/PTFL) stabilize ankle; NOT intentionally stretched</x:v>
      </x:c>
      <x:c r="M166" s="24" t="str">
        <x:v>Muscles: Abductor digiti minimi (foot); Opponens digiti minimi (foot, variable); Abductor hallucis;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 | Tendons/fascia: Abductor digiti minimi tendon | Ligament context only: Deltoid ligament and lateral ankle ligaments (ATFL/CFL/PTFL) stabilize ankle; NOT intentionally stretched</x:v>
      </x:c>
      <x:c r="N166" s="24" t="str">
        <x:v>Abductor digiti minimi (foot); Opponens digiti minimi (foot, variable); Abductor hallucis;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</x:v>
      </x:c>
      <x:c r="O166" s="24" t="str">
        <x:v>Splay fifth toe outward slightly against light elastic.</x:v>
      </x:c>
      <x:c r="P166" s="24" t="str">
        <x:v>Light band</x:v>
      </x:c>
      <x:c r="Q166" s="24" t="str">
        <x:v>2–3 × 8–12 controlled reps</x:v>
      </x:c>
      <x:c r="R166" s="24" t="str">
        <x:v>Progress gradually; stop with sharp pain, dizziness, or numbness.</x:v>
      </x:c>
      <x:c r="S166" s="24" t="str">
        <x:v>https://www.orthoinfo.org/recovery/foot-and-ankle-conditioning-program</x:v>
      </x:c>
      <x:c r="T166" s="24" t="str">
        <x:v>Anatomy-based mapping</x:v>
      </x:c>
    </x:row>
    <x:row r="167" ht="54" customHeight="1">
      <x:c r="A167" s="24" t="str">
        <x:v>EX0213</x:v>
      </x:c>
      <x:c r="B167" s="24" t="str">
        <x:v>Hallux adduction paper squeeze</x:v>
      </x:c>
      <x:c r="C167" s="24" t="str">
        <x:v>Leg &amp; Ankle</x:v>
      </x:c>
      <x:c r="D167" s="24" t="str">
        <x:v>Home</x:v>
      </x:c>
      <x:c r="E167" s="24" t="str">
        <x:v>Isometric strength</x:v>
      </x:c>
      <x:c r="F167" s="24" t="str">
        <x:v>Adductor hallucis oblique head; Adductor hallucis transverse head</x:v>
      </x:c>
      <x:c r="G167" s="24" t="str">
        <x:v>—</x:v>
      </x:c>
      <x:c r="H167" s="24" t="str">
        <x:v>Abductor hallucis; Abductor digiti minimi (foot);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167" s="24" t="str">
        <x:v>—</x:v>
      </x:c>
      <x:c r="J167" s="24" t="str">
        <x:v>Adductor hallucis oblique head; Adductor hallucis transverse head; Abductor hallucis; Abductor digiti minimi (foot);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167" s="24" t="str">
        <x:v>Adductor hallucis tendon</x:v>
      </x:c>
      <x:c r="L167" s="24" t="str">
        <x:v>Deltoid ligament and lateral ankle ligaments (ATFL/CFL/PTFL) stabilize ankle; NOT intentionally stretched</x:v>
      </x:c>
      <x:c r="M167" s="24" t="str">
        <x:v>Muscles: Adductor hallucis oblique head; Adductor hallucis transverse head; Abductor hallucis; Abductor digiti minimi (foot);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Adductor hallucis tendon | Ligament context only: Deltoid ligament and lateral ankle ligaments (ATFL/CFL/PTFL) stabilize ankle; NOT intentionally stretched</x:v>
      </x:c>
      <x:c r="N167" s="24" t="str">
        <x:v>Adductor hallucis oblique head; Adductor hallucis transverse head</x:v>
      </x:c>
      <x:c r="O167" s="24" t="str">
        <x:v>Gently press big toe toward second toe against paper/spacer.</x:v>
      </x:c>
      <x:c r="P167" s="24" t="str">
        <x:v>Paper/spacer</x:v>
      </x:c>
      <x:c r="Q167" s="24" t="str">
        <x:v>2–3 × 8–12 controlled reps</x:v>
      </x:c>
      <x:c r="R167" s="24" t="str">
        <x:v>Progress gradually; stop with sharp pain, dizziness, or numbness.</x:v>
      </x:c>
      <x:c r="S167" s="24" t="str">
        <x:v>https://www.orthoinfo.org/recovery/foot-and-ankle-conditioning-program</x:v>
      </x:c>
      <x:c r="T167" s="24" t="str">
        <x:v>Anatomy-based mapping</x:v>
      </x:c>
    </x:row>
    <x:row r="168" ht="54" customHeight="1">
      <x:c r="A168" s="24" t="str">
        <x:v>EX0214</x:v>
      </x:c>
      <x:c r="B168" s="24" t="str">
        <x:v>Toe yoga: big toe up, lesser toes down</x:v>
      </x:c>
      <x:c r="C168" s="24" t="str">
        <x:v>Leg &amp; Ankle</x:v>
      </x:c>
      <x:c r="D168" s="24" t="str">
        <x:v>Home</x:v>
      </x:c>
      <x:c r="E168" s="24" t="str">
        <x:v>Motor control</x:v>
      </x:c>
      <x:c r="F168" s="24" t="str">
        <x:v>Extensor hallucis longus; Extensor hallucis brevis; Flexor digitorum brevis; Flexor digitorum longus; Flexor hallucis longus; Flexor hallucis brevis lateral head; Flexor hallucis brevis medial head; Flexor digiti minimi brevis (foot)</x:v>
      </x:c>
      <x:c r="G168" s="24" t="str">
        <x:v>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</x:v>
      </x:c>
      <x:c r="H168" s="24" t="str">
        <x:v>—</x:v>
      </x:c>
      <x:c r="I168" s="24" t="str">
        <x:v>—</x:v>
      </x:c>
      <x:c r="J168" s="24" t="str">
        <x:v>Extensor hallucis longus; Extensor hallucis brevis; 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</x:v>
      </x:c>
      <x:c r="K168" s="24" t="str">
        <x:v>Hallux extensor/flexor tendons</x:v>
      </x:c>
      <x:c r="L168" s="24" t="str">
        <x:v>Deltoid ligament and lateral ankle ligaments (ATFL/CFL/PTFL) stabilize ankle; NOT intentionally stretched</x:v>
      </x:c>
      <x:c r="M168" s="24" t="str">
        <x:v>Muscles: Extensor hallucis longus; Extensor hallucis brevis; Flexor digitorum brevis; Flexor digitorum longus; Flexor hallucis longus; Flexor hallucis brevis lateral head; Flexor hallucis brevis medial head; Flexor digiti minimi brevis (foot); Abductor hallucis; Abductor digiti minimi (foot); Adductor hallucis oblique head; Adductor hallucis transverse head;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Opponens digiti minimi (foot, variable) | Tendons/fascia: Hallux extensor/flexor tendons | Ligament context only: Deltoid ligament and lateral ankle ligaments (ATFL/CFL/PTFL) stabilize ankle; NOT intentionally stretched</x:v>
      </x:c>
      <x:c r="N168" s="24" t="str">
        <x:v>Low-load activation, not ordinarily to fatigue: Extensor hallucis longus; Extensor hallucis brevis; Flexor digitorum brevis; Flexor digitorum longus; Flexor hallucis longus; Flexor hallucis brevis lateral head; Flexor hallucis brevis medial head; Flexor digiti minimi brevis (foot)</x:v>
      </x:c>
      <x:c r="O168" s="24" t="str">
        <x:v>Lift great toe while lesser toes stay grounded, then switch.</x:v>
      </x:c>
      <x:c r="P168" s="24" t="str">
        <x:v>Floor</x:v>
      </x:c>
      <x:c r="Q168" s="24" t="str">
        <x:v>1–2 × 5–10 controlled reps</x:v>
      </x:c>
      <x:c r="R168" s="24" t="str">
        <x:v>Progress gradually; stop with sharp pain, dizziness, or numbness.</x:v>
      </x:c>
      <x:c r="S168" s="24" t="str">
        <x:v>https://www.orthoinfo.org/recovery/foot-and-ankle-conditioning-program</x:v>
      </x:c>
      <x:c r="T168" s="24" t="str">
        <x:v>Anatomy-based mapping</x:v>
      </x:c>
    </x:row>
    <x:row r="169" ht="54" customHeight="1">
      <x:c r="A169" s="24" t="str">
        <x:v>EX0215</x:v>
      </x:c>
      <x:c r="B169" s="24" t="str">
        <x:v>Lesser-toe interossei control with elastic</x:v>
      </x:c>
      <x:c r="C169" s="24" t="str">
        <x:v>Leg &amp; Ankle</x:v>
      </x:c>
      <x:c r="D169" s="24" t="str">
        <x:v>Home</x:v>
      </x:c>
      <x:c r="E169" s="24" t="str">
        <x:v>Motor control</x:v>
      </x:c>
      <x:c r="F169" s="24" t="str">
        <x:v>Dorsal interosseous 1 (foot); Dorsal interosseous 2 (foot); Dorsal interosseous 3 (foot); Dorsal interosseous 4 (foot); Plantar interosseous 1 (third toe); Plantar interosseous 2 (fourth toe); Plantar interosseous 3 (fifth toe)</x:v>
      </x:c>
      <x:c r="G169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Flexor digiti minimi brevis (foot); Opponens digiti minimi (foot, variable)</x:v>
      </x:c>
      <x:c r="H169" s="24" t="str">
        <x:v>—</x:v>
      </x:c>
      <x:c r="I169" s="24" t="str">
        <x:v>—</x:v>
      </x:c>
      <x:c r="J169" s="24" t="str">
        <x:v>Dorsal interosseous 1 (foot); Dorsal interosseous 2 (foot); Dorsal interosseous 3 (foot); Dorsal interosseous 4 (foot); Plantar interosseous 1 (third toe); Plantar interosseous 2 (fourth toe); Plantar interosseous 3 (fifth toe);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Flexor digiti minimi brevis (foot); Opponens digiti minimi (foot, variable)</x:v>
      </x:c>
      <x:c r="K169" s="24" t="str">
        <x:v>Atlas-listed tendon/aponeurosis examples: Distal interosseous tendon; Interosseous tendon to extensor hood; Medial hallucal sesamoid insertion tendon; Distal insertion tendon; additional listed attachments</x:v>
      </x:c>
      <x:c r="L169" s="24" t="str">
        <x:v>Deltoid ligament and lateral ankle ligaments (ATFL/CFL/PTFL) stabilize ankle; NOT intentionally stretched</x:v>
      </x:c>
      <x:c r="M169" s="24" t="str">
        <x:v>Muscles: Dorsal interosseous 1 (foot); Dorsal interosseous 2 (foot); Dorsal interosseous 3 (foot); Dorsal interosseous 4 (foot); Plantar interosseous 1 (third toe); Plantar interosseous 2 (fourth toe); Plantar interosseous 3 (fifth toe);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Flexor digiti minimi brevis (foot); Opponens digiti minimi (foot, variable) | Tendons/fascia: Atlas-listed tendon/aponeurosis examples: Distal interosseous tendon; Interosseous tendon to extensor hood; Medial hallucal sesamoid insertion tendon; Distal insertion tendon; additional listed attachments | Ligament context only: Deltoid ligament and lateral ankle ligaments (ATFL/CFL/PTFL) stabilize ankle; NOT intentionally stretched</x:v>
      </x:c>
      <x:c r="N169" s="24" t="str">
        <x:v>Low-load activation, not ordinarily to fatigue: Dorsal interosseous 1 (foot); Dorsal interosseous 2 (foot); Dorsal interosseous 3 (foot); Dorsal interosseous 4 (foot); Plantar interosseous 1 (third toe); Plantar interosseous 2 (fourth toe); Plantar interosseous 3 (fifth toe)</x:v>
      </x:c>
      <x:c r="O169" s="24" t="str">
        <x:v>Separate then gently adduct toes without force.</x:v>
      </x:c>
      <x:c r="P169" s="24" t="str">
        <x:v>Soft elastic</x:v>
      </x:c>
      <x:c r="Q169" s="24" t="str">
        <x:v>1–2 × 5–10 controlled reps</x:v>
      </x:c>
      <x:c r="R169" s="24" t="str">
        <x:v>Progress gradually; stop with sharp pain, dizziness, or numbness.</x:v>
      </x:c>
      <x:c r="S169" s="24" t="str">
        <x:v>https://www.orthoinfo.org/recovery/foot-and-ankle-conditioning-program</x:v>
      </x:c>
      <x:c r="T169" s="24" t="str">
        <x:v>Anatomy-based mapping</x:v>
      </x:c>
    </x:row>
    <x:row r="170" ht="54" customHeight="1">
      <x:c r="A170" s="24" t="str">
        <x:v>EX0216</x:v>
      </x:c>
      <x:c r="B170" s="24" t="str">
        <x:v>Lumbrical foot: MCP flexion/IP extension</x:v>
      </x:c>
      <x:c r="C170" s="24" t="str">
        <x:v>Leg &amp; Ankle</x:v>
      </x:c>
      <x:c r="D170" s="24" t="str">
        <x:v>Home</x:v>
      </x:c>
      <x:c r="E170" s="24" t="str">
        <x:v>Motor control</x:v>
      </x:c>
      <x:c r="F170" s="24" t="str">
        <x:v>Lumbrical 1 (foot); Lumbrical 2 (foot); Lumbrical 3 (foot); Lumbrical 4 (foot)</x:v>
      </x:c>
      <x:c r="G170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H170" s="24" t="str">
        <x:v>—</x:v>
      </x:c>
      <x:c r="I170" s="24" t="str">
        <x:v>—</x:v>
      </x:c>
      <x:c r="J170" s="24" t="str">
        <x:v>Lumbrical 1 (foot); Lumbrical 2 (foot); Lumbrical 3 (foot); Lumbrical 4 (foot);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170" s="24" t="str">
        <x:v>Lumbrical insertion into dorsal expansion</x:v>
      </x:c>
      <x:c r="L170" s="24" t="str">
        <x:v>Deltoid ligament and lateral ankle ligaments (ATFL/CFL/PTFL) stabilize ankle; NOT intentionally stretched</x:v>
      </x:c>
      <x:c r="M170" s="24" t="str">
        <x:v>Muscles: Lumbrical 1 (foot); Lumbrical 2 (foot); Lumbrical 3 (foot); Lumbrical 4 (foot);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Lumbrical insertion into dorsal expansion | Ligament context only: Deltoid ligament and lateral ankle ligaments (ATFL/CFL/PTFL) stabilize ankle; NOT intentionally stretched</x:v>
      </x:c>
      <x:c r="N170" s="24" t="str">
        <x:v>Low-load activation, not ordinarily to fatigue: Lumbrical 1 (foot); Lumbrical 2 (foot); Lumbrical 3 (foot); Lumbrical 4 (foot)</x:v>
      </x:c>
      <x:c r="O170" s="24" t="str">
        <x:v>Press toe bases into floor while keeping toe tips long, not clawed.</x:v>
      </x:c>
      <x:c r="P170" s="24" t="str">
        <x:v>Floor</x:v>
      </x:c>
      <x:c r="Q170" s="24" t="str">
        <x:v>1–2 × 5–10 controlled reps</x:v>
      </x:c>
      <x:c r="R170" s="24" t="str">
        <x:v>Progress gradually; stop with sharp pain, dizziness, or numbness.</x:v>
      </x:c>
      <x:c r="S170" s="24" t="str">
        <x:v>https://www.orthoinfo.org/recovery/foot-and-ankle-conditioning-program</x:v>
      </x:c>
      <x:c r="T170" s="24" t="str">
        <x:v>Anatomy-based mapping</x:v>
      </x:c>
    </x:row>
    <x:row r="171" ht="54" customHeight="1">
      <x:c r="A171" s="24" t="str">
        <x:v>EX0217</x:v>
      </x:c>
      <x:c r="B171" s="24" t="str">
        <x:v>Resisted toe quadratus plantae coordination</x:v>
      </x:c>
      <x:c r="C171" s="24" t="str">
        <x:v>Leg &amp; Ankle</x:v>
      </x:c>
      <x:c r="D171" s="24" t="str">
        <x:v>Home</x:v>
      </x:c>
      <x:c r="E171" s="24" t="str">
        <x:v>Motor control</x:v>
      </x:c>
      <x:c r="F171" s="24" t="str">
        <x:v>Quadratus plantae lateral head; Quadratus plantae medial head</x:v>
      </x:c>
      <x:c r="G171" s="24" t="str">
        <x:v>Flexor digitorum longus</x:v>
      </x:c>
      <x:c r="H171" s="24" t="str">
        <x:v>—</x:v>
      </x:c>
      <x:c r="I171" s="24" t="str">
        <x:v>—</x:v>
      </x:c>
      <x:c r="J171" s="24" t="str">
        <x:v>Quadratus plantae lateral head; Quadratus plantae medial head; Flexor digitorum longus</x:v>
      </x:c>
      <x:c r="K171" s="24" t="str">
        <x:v>Flexor digitorum longus tendon; quadratus plantae insertion</x:v>
      </x:c>
      <x:c r="L171" s="24" t="str">
        <x:v>Deltoid ligament and lateral ankle ligaments (ATFL/CFL/PTFL) stabilize ankle; NOT intentionally stretched</x:v>
      </x:c>
      <x:c r="M171" s="24" t="str">
        <x:v>Muscles: Quadratus plantae lateral head; Quadratus plantae medial head; Flexor digitorum longus | Tendons/fascia: Flexor digitorum longus tendon; quadratus plantae insertion | Ligament context only: Deltoid ligament and lateral ankle ligaments (ATFL/CFL/PTFL) stabilize ankle; NOT intentionally stretched</x:v>
      </x:c>
      <x:c r="N171" s="24" t="str">
        <x:v>Low-load activation, not ordinarily to fatigue: Quadratus plantae lateral head; Quadratus plantae medial head</x:v>
      </x:c>
      <x:c r="O171" s="24" t="str">
        <x:v>With foot planted, curl toes evenly without twisting toward great toe.</x:v>
      </x:c>
      <x:c r="P171" s="24" t="str">
        <x:v>Towel</x:v>
      </x:c>
      <x:c r="Q171" s="24" t="str">
        <x:v>1–2 × 5–10 controlled reps</x:v>
      </x:c>
      <x:c r="R171" s="24" t="str">
        <x:v>Progress gradually; stop with sharp pain, dizziness, or numbness.</x:v>
      </x:c>
      <x:c r="S171" s="24" t="str">
        <x:v>https://www.orthoinfo.org/recovery/foot-and-ankle-conditioning-program</x:v>
      </x:c>
      <x:c r="T171" s="24" t="str">
        <x:v>Anatomy-based mapping</x:v>
      </x:c>
    </x:row>
    <x:row r="172" ht="54" customHeight="1">
      <x:c r="A172" s="24" t="str">
        <x:v>EX0218</x:v>
      </x:c>
      <x:c r="B172" s="24" t="str">
        <x:v>Standing balance on foam cushion</x:v>
      </x:c>
      <x:c r="C172" s="24" t="str">
        <x:v>Leg &amp; Ankle</x:v>
      </x:c>
      <x:c r="D172" s="24" t="str">
        <x:v>Home</x:v>
      </x:c>
      <x:c r="E172" s="24" t="str">
        <x:v>Isometric strength</x:v>
      </x:c>
      <x:c r="F172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Fibularis longus; Fibularis brevis; Fibularis tertius; Tibialis posterior</x:v>
      </x:c>
      <x:c r="G172" s="24" t="str">
        <x:v>Gastrocnemius lateral head; Gastrocnemius medial head; Soleus; Plantaris</x:v>
      </x:c>
      <x:c r="H172" s="24" t="str">
        <x:v>Gluteus medius; Gluteus minimus; Tensor fasciae latae; Rectus abdominis; External oblique; Internal oblique; Transversus abdominis</x:v>
      </x:c>
      <x:c r="I172" s="24" t="str">
        <x:v>—</x:v>
      </x:c>
      <x:c r="J172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Fibularis longus; Fibularis brevis; Fibularis tertius; Tibialis posterior; Gastrocnemius lateral head; Gastrocnemius medial head; Soleus; Plantaris; Gluteus medius; Gluteus minimus; Tensor fasciae latae; Rectus abdominis; External oblique; Internal oblique; Transversus abdominis</x:v>
      </x:c>
      <x:c r="K172" s="24" t="str">
        <x:v>Posterior tibial/peroneal tendons; plantar fascia</x:v>
      </x:c>
      <x:c r="L172" s="24" t="str">
        <x:v>Ankle ligament proprioceptive function, not stretching</x:v>
      </x:c>
      <x:c r="M172" s="24" t="str">
        <x:v>Muscles: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Fibularis longus; Fibularis brevis; Fibularis tertius; Tibialis posterior; Gastrocnemius lateral head; Gastrocnemius medial head; Soleus; Plantaris; Gluteus medius; Gluteus minimus; Tensor fasciae latae; Rectus abdominis; External oblique; Internal oblique; Transversus abdominis | Tendons/fascia: Posterior tibial/peroneal tendons; plantar fascia | Ligament context only: Ankle ligament proprioceptive function, not stretching</x:v>
      </x:c>
      <x:c r="N172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Fibularis longus; Fibularis brevis; Fibularis tertius; Tibialis posterior; Gastrocnemius lateral head; Gastrocnemius medial head; Soleus; Plantaris</x:v>
      </x:c>
      <x:c r="O172" s="24" t="str">
        <x:v>Stand near counter on soft pad and hold a level arch.</x:v>
      </x:c>
      <x:c r="P172" s="24" t="str">
        <x:v>Foam cushion; counter</x:v>
      </x:c>
      <x:c r="Q172" s="24" t="str">
        <x:v>2–3 × 8–12 controlled reps</x:v>
      </x:c>
      <x:c r="R172" s="24" t="str">
        <x:v>Progress gradually; stop with sharp pain, dizziness, or numbness.</x:v>
      </x:c>
      <x:c r="S172" s="24" t="str">
        <x:v>https://www.orthoinfo.org/recovery/foot-and-ankle-conditioning-program</x:v>
      </x:c>
      <x:c r="T172" s="24" t="str">
        <x:v>Anatomy-based mapping</x:v>
      </x:c>
    </x:row>
    <x:row r="173" ht="54" customHeight="1">
      <x:c r="A173" s="24" t="str">
        <x:v>EX0219</x:v>
      </x:c>
      <x:c r="B173" s="24" t="str">
        <x:v>Single-leg balance eyes open</x:v>
      </x:c>
      <x:c r="C173" s="24" t="str">
        <x:v>Leg &amp; Ankle</x:v>
      </x:c>
      <x:c r="D173" s="24" t="str">
        <x:v>Home</x:v>
      </x:c>
      <x:c r="E173" s="24" t="str">
        <x:v>Isometric strength</x:v>
      </x:c>
      <x:c r="F173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Fibularis longus; Fibularis brevis; Fibularis tertius; Tibialis posterior</x:v>
      </x:c>
      <x:c r="G173" s="24" t="str">
        <x:v>Gastrocnemius lateral head; Gastrocnemius medial head; Soleus; Plantaris</x:v>
      </x:c>
      <x:c r="H173" s="24" t="str">
        <x:v>Gluteus medius; Gluteus minimus; Tensor fasciae latae; Rectus abdominis; External oblique; Internal oblique; Transversus abdominis</x:v>
      </x:c>
      <x:c r="I173" s="24" t="str">
        <x:v>—</x:v>
      </x:c>
      <x:c r="J173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Fibularis longus; Fibularis brevis; Fibularis tertius; Tibialis posterior; Gastrocnemius lateral head; Gastrocnemius medial head; Soleus; Plantaris; Gluteus medius; Gluteus minimus; Tensor fasciae latae; Rectus abdominis; External oblique; Internal oblique; Transversus abdominis</x:v>
      </x:c>
      <x:c r="K173" s="24" t="str">
        <x:v>Atlas-listed tendon/aponeurosis examples: Medial hallucal sesamoid insertion tendon; Distal insertion tendon; Tendon via lateral sesamoid; Common adductor tendon; additional listed attachments</x:v>
      </x:c>
      <x:c r="L173" s="24" t="str">
        <x:v>Deltoid ligament and lateral ankle ligaments (ATFL/CFL/PTFL) stabilize ankle; NOT intentionally stretched</x:v>
      </x:c>
      <x:c r="M173" s="24" t="str">
        <x:v>Muscles: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Fibularis longus; Fibularis brevis; Fibularis tertius; Tibialis posterior; Gastrocnemius lateral head; Gastrocnemius medial head; Soleus; Plantaris; Gluteus medius; Gluteus minimus; Tensor fasciae latae; Rectus abdominis; External oblique; Internal oblique; Transversus abdominis | Tendons/fascia: Atlas-listed tendon/aponeurosis examples: Medial hallucal sesamoid insertion tendon; Distal insertion tendon; Tendon via lateral sesamoid; Common adductor tendon; additional listed attachments | Ligament context only: Deltoid ligament and lateral ankle ligaments (ATFL/CFL/PTFL) stabilize ankle; NOT intentionally stretched</x:v>
      </x:c>
      <x:c r="N173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Fibularis longus; Fibularis brevis; Fibularis tertius; Tibialis posterior; Gastrocnemius lateral head; Gastrocnemius medial head; Soleus; Plantaris</x:v>
      </x:c>
      <x:c r="O173" s="24" t="str">
        <x:v>Balance near wall with relaxed knee and active foot tripod.</x:v>
      </x:c>
      <x:c r="P173" s="24" t="str">
        <x:v>Wall</x:v>
      </x:c>
      <x:c r="Q173" s="24" t="str">
        <x:v>2–3 × 8–12 controlled reps</x:v>
      </x:c>
      <x:c r="R173" s="24" t="str">
        <x:v>Progress gradually; stop with sharp pain, dizziness, or numbness.</x:v>
      </x:c>
      <x:c r="S173" s="24" t="str">
        <x:v>https://www.orthoinfo.org/recovery/foot-and-ankle-conditioning-program</x:v>
      </x:c>
      <x:c r="T173" s="24" t="str">
        <x:v>Anatomy-based mapping</x:v>
      </x:c>
    </x:row>
    <x:row r="174" ht="54" customHeight="1">
      <x:c r="A174" s="24" t="str">
        <x:v>EX0220</x:v>
      </x:c>
      <x:c r="B174" s="24" t="str">
        <x:v>Seated calf stretch strap (knee straight)</x:v>
      </x:c>
      <x:c r="C174" s="24" t="str">
        <x:v>Leg &amp; Ankle</x:v>
      </x:c>
      <x:c r="D174" s="24" t="str">
        <x:v>Home</x:v>
      </x:c>
      <x:c r="E174" s="24" t="str">
        <x:v>Passive stretch</x:v>
      </x:c>
      <x:c r="F174" s="24" t="str">
        <x:v>—</x:v>
      </x:c>
      <x:c r="G174" s="24" t="str">
        <x:v>—</x:v>
      </x:c>
      <x:c r="H174" s="24" t="str">
        <x:v>—</x:v>
      </x:c>
      <x:c r="I174" s="24" t="str">
        <x:v>Gastrocnemius lateral head; Gastrocnemius medial head; Soleus; Plantaris; Tibialis posterior; Flexor digitorum longus; Flexor hallucis longus; Popliteus</x:v>
      </x:c>
      <x:c r="J174" s="24" t="str">
        <x:v>Gastrocnemius lateral head; Gastrocnemius medial head; Soleus; Plantaris; Tibialis posterior; Flexor digitorum longus; Flexor hallucis longus; Popliteus</x:v>
      </x:c>
      <x:c r="K174" s="24" t="str">
        <x:v>Achilles tendon and plantar-flexor units</x:v>
      </x:c>
      <x:c r="L174" s="24" t="str">
        <x:v>Deltoid ligament and lateral ankle ligaments (ATFL/CFL/PTFL) stabilize ankle; NOT intentionally stretched</x:v>
      </x:c>
      <x:c r="M174" s="24" t="str">
        <x:v>Muscles: Gastrocnemius lateral head; Gastrocnemius medial head; Soleus; Plantaris; Tibialis posterior; Flexor digitorum longus; Flexor hallucis longus; Popliteus | Tendons/fascia: Achilles tendon and plantar-flexor units | Ligament context only: Deltoid ligament and lateral ankle ligaments (ATFL/CFL/PTFL) stabilize ankle; NOT intentionally stretched</x:v>
      </x:c>
      <x:c r="N174" s="24" t="str">
        <x:v>Usually none expected (stretch, mobility or relaxation; any active movers are low-load)</x:v>
      </x:c>
      <x:c r="O174" s="24" t="str">
        <x:v>Pull towel across ball of foot toward shin with knee straight.</x:v>
      </x:c>
      <x:c r="P174" s="24" t="str">
        <x:v>Towel</x:v>
      </x:c>
      <x:c r="Q174" s="24" t="str">
        <x:v>2–3 × 8–12 controlled reps</x:v>
      </x:c>
      <x:c r="R174" s="24" t="str">
        <x:v>Progress gradually; stop with sharp pain, dizziness, or numbness.</x:v>
      </x:c>
      <x:c r="S174" s="24" t="str">
        <x:v>https://www.orthoinfo.org/recovery/foot-and-ankle-conditioning-program</x:v>
      </x:c>
      <x:c r="T174" s="24" t="str">
        <x:v>Anatomy-based mapping</x:v>
      </x:c>
    </x:row>
    <x:row r="175" ht="54" customHeight="1">
      <x:c r="A175" s="24" t="str">
        <x:v>EX0221</x:v>
      </x:c>
      <x:c r="B175" s="24" t="str">
        <x:v>Wall calf stretch (straight knee)</x:v>
      </x:c>
      <x:c r="C175" s="24" t="str">
        <x:v>Leg &amp; Ankle</x:v>
      </x:c>
      <x:c r="D175" s="24" t="str">
        <x:v>Home</x:v>
      </x:c>
      <x:c r="E175" s="24" t="str">
        <x:v>Passive stretch</x:v>
      </x:c>
      <x:c r="F175" s="24" t="str">
        <x:v>—</x:v>
      </x:c>
      <x:c r="G175" s="24" t="str">
        <x:v>—</x:v>
      </x:c>
      <x:c r="H175" s="24" t="str">
        <x:v>—</x:v>
      </x:c>
      <x:c r="I175" s="24" t="str">
        <x:v>Gastrocnemius lateral head; Gastrocnemius medial head; Soleus</x:v>
      </x:c>
      <x:c r="J175" s="24" t="str">
        <x:v>Gastrocnemius lateral head; Gastrocnemius medial head; Soleus</x:v>
      </x:c>
      <x:c r="K175" s="24" t="str">
        <x:v>Achilles tendon</x:v>
      </x:c>
      <x:c r="L175" s="24" t="str">
        <x:v>Deltoid ligament and lateral ankle ligaments (ATFL/CFL/PTFL) stabilize ankle; NOT intentionally stretched</x:v>
      </x:c>
      <x:c r="M175" s="24" t="str">
        <x:v>Muscles: Gastrocnemius lateral head; Gastrocnemius medial head; Soleus | Tendons/fascia: Achilles tendon | Ligament context only: Deltoid ligament and lateral ankle ligaments (ATFL/CFL/PTFL) stabilize ankle; NOT intentionally stretched</x:v>
      </x:c>
      <x:c r="N175" s="24" t="str">
        <x:v>Usually none expected (stretch, mobility or relaxation; any active movers are low-load)</x:v>
      </x:c>
      <x:c r="O175" s="24" t="str">
        <x:v>Rear leg straight and heel planted; lean forward from ankle.</x:v>
      </x:c>
      <x:c r="P175" s="24" t="str">
        <x:v>Wall</x:v>
      </x:c>
      <x:c r="Q175" s="24" t="str">
        <x:v>2–3 × 8–12 controlled reps</x:v>
      </x:c>
      <x:c r="R175" s="24" t="str">
        <x:v>Progress gradually; stop with sharp pain, dizziness, or numbness.</x:v>
      </x:c>
      <x:c r="S175" s="24" t="str">
        <x:v>https://www.orthoinfo.org/recovery/foot-and-ankle-conditioning-program</x:v>
      </x:c>
      <x:c r="T175" s="24" t="str">
        <x:v>Anatomy-based mapping</x:v>
      </x:c>
    </x:row>
    <x:row r="176" ht="54" customHeight="1">
      <x:c r="A176" s="24" t="str">
        <x:v>EX0222</x:v>
      </x:c>
      <x:c r="B176" s="24" t="str">
        <x:v>Wall calf stretch (bent knee)</x:v>
      </x:c>
      <x:c r="C176" s="24" t="str">
        <x:v>Leg &amp; Ankle</x:v>
      </x:c>
      <x:c r="D176" s="24" t="str">
        <x:v>Home</x:v>
      </x:c>
      <x:c r="E176" s="24" t="str">
        <x:v>Passive stretch</x:v>
      </x:c>
      <x:c r="F176" s="24" t="str">
        <x:v>—</x:v>
      </x:c>
      <x:c r="G176" s="24" t="str">
        <x:v>—</x:v>
      </x:c>
      <x:c r="H176" s="24" t="str">
        <x:v>—</x:v>
      </x:c>
      <x:c r="I176" s="24" t="str">
        <x:v>Soleus</x:v>
      </x:c>
      <x:c r="J176" s="24" t="str">
        <x:v>Soleus</x:v>
      </x:c>
      <x:c r="K176" s="24" t="str">
        <x:v>Achilles tendon</x:v>
      </x:c>
      <x:c r="L176" s="24" t="str">
        <x:v>Deltoid ligament and lateral ankle ligaments (ATFL/CFL/PTFL) stabilize ankle; NOT intentionally stretched</x:v>
      </x:c>
      <x:c r="M176" s="24" t="str">
        <x:v>Muscles: Soleus | Tendons/fascia: Achilles tendon | Ligament context only: Deltoid ligament and lateral ankle ligaments (ATFL/CFL/PTFL) stabilize ankle; NOT intentionally stretched</x:v>
      </x:c>
      <x:c r="N176" s="24" t="str">
        <x:v>Usually none expected (stretch, mobility or relaxation; any active movers are low-load)</x:v>
      </x:c>
      <x:c r="O176" s="24" t="str">
        <x:v>Keep rear heel down, bend rear knee until lower calf stretches.</x:v>
      </x:c>
      <x:c r="P176" s="24" t="str">
        <x:v>Wall</x:v>
      </x:c>
      <x:c r="Q176" s="24" t="str">
        <x:v>2–3 × 8–12 controlled reps</x:v>
      </x:c>
      <x:c r="R176" s="24" t="str">
        <x:v>Progress gradually; stop with sharp pain, dizziness, or numbness.</x:v>
      </x:c>
      <x:c r="S176" s="24" t="str">
        <x:v>https://www.orthoinfo.org/recovery/foot-and-ankle-conditioning-program</x:v>
      </x:c>
      <x:c r="T176" s="24" t="str">
        <x:v>Anatomy-based mapping</x:v>
      </x:c>
    </x:row>
    <x:row r="177" ht="54" customHeight="1">
      <x:c r="A177" s="24" t="str">
        <x:v>EX0223</x:v>
      </x:c>
      <x:c r="B177" s="24" t="str">
        <x:v>Kneeling tibialis anterior stretch gentle</x:v>
      </x:c>
      <x:c r="C177" s="24" t="str">
        <x:v>Leg &amp; Ankle</x:v>
      </x:c>
      <x:c r="D177" s="24" t="str">
        <x:v>Home</x:v>
      </x:c>
      <x:c r="E177" s="24" t="str">
        <x:v>Passive stretch</x:v>
      </x:c>
      <x:c r="F177" s="24" t="str">
        <x:v>—</x:v>
      </x:c>
      <x:c r="G177" s="24" t="str">
        <x:v>—</x:v>
      </x:c>
      <x:c r="H177" s="24" t="str">
        <x:v>—</x:v>
      </x:c>
      <x:c r="I177" s="24" t="str">
        <x:v>Tibialis anterior; Extensor hallucis longus; Extensor digitorum longus</x:v>
      </x:c>
      <x:c r="J177" s="24" t="str">
        <x:v>Tibialis anterior; Extensor hallucis longus; Extensor digitorum longus</x:v>
      </x:c>
      <x:c r="K177" s="24" t="str">
        <x:v>Anterior ankle extensor tendons</x:v>
      </x:c>
      <x:c r="L177" s="24" t="str">
        <x:v>Avoid forced plantarflexion stressing ankle capsule</x:v>
      </x:c>
      <x:c r="M177" s="24" t="str">
        <x:v>Muscles: Tibialis anterior; Extensor hallucis longus; Extensor digitorum longus | Tendons/fascia: Anterior ankle extensor tendons | Ligament context only: Avoid forced plantarflexion stressing ankle capsule</x:v>
      </x:c>
      <x:c r="N177" s="24" t="str">
        <x:v>Usually none expected (stretch, mobility or relaxation; any active movers are low-load)</x:v>
      </x:c>
      <x:c r="O177" s="24" t="str">
        <x:v>From kneeling, gently sit back toward heels only if knees/ankles comfortable.</x:v>
      </x:c>
      <x:c r="P177" s="24" t="str">
        <x:v>Mat</x:v>
      </x:c>
      <x:c r="Q177" s="24" t="str">
        <x:v>2–3 × 8–12 controlled reps</x:v>
      </x:c>
      <x:c r="R177" s="24" t="str">
        <x:v>Progress gradually; stop with sharp pain, dizziness, or numbness.</x:v>
      </x:c>
      <x:c r="S177" s="24" t="str">
        <x:v>https://www.orthoinfo.org/recovery/foot-and-ankle-conditioning-program</x:v>
      </x:c>
      <x:c r="T177" s="24" t="str">
        <x:v>Anatomy-based mapping</x:v>
      </x:c>
    </x:row>
    <x:row r="178" ht="54" customHeight="1">
      <x:c r="A178" s="24" t="str">
        <x:v>EX0224</x:v>
      </x:c>
      <x:c r="B178" s="24" t="str">
        <x:v>Standing plantar fascia / toe extension stretch</x:v>
      </x:c>
      <x:c r="C178" s="24" t="str">
        <x:v>Leg &amp; Ankle</x:v>
      </x:c>
      <x:c r="D178" s="24" t="str">
        <x:v>Home</x:v>
      </x:c>
      <x:c r="E178" s="24" t="str">
        <x:v>Passive stretch</x:v>
      </x:c>
      <x:c r="F178" s="24" t="str">
        <x:v>—</x:v>
      </x:c>
      <x:c r="G178" s="24" t="str">
        <x:v>—</x:v>
      </x:c>
      <x:c r="H178" s="24" t="str">
        <x:v>—</x:v>
      </x:c>
      <x:c r="I178" s="24" t="str">
        <x:v>Flexor digitorum brevis; Flexor hallucis brevis lateral head; Flexor hallucis brevis medial head</x:v>
      </x:c>
      <x:c r="J178" s="24" t="str">
        <x:v>Flexor digitorum brevis; Flexor hallucis brevis lateral head; Flexor hallucis brevis medial head</x:v>
      </x:c>
      <x:c r="K178" s="24" t="str">
        <x:v>Plantar fascia; FDB/FHB musculotendinous units</x:v>
      </x:c>
      <x:c r="L178" s="24" t="str">
        <x:v>Avoid toe MCP collateral ligament strain</x:v>
      </x:c>
      <x:c r="M178" s="24" t="str">
        <x:v>Muscles: Flexor digitorum brevis; Flexor hallucis brevis lateral head; Flexor hallucis brevis medial head | Tendons/fascia: Plantar fascia; FDB/FHB musculotendinous units | Ligament context only: Avoid toe MCP collateral ligament strain</x:v>
      </x:c>
      <x:c r="N178" s="24" t="str">
        <x:v>Usually none expected (stretch, mobility or relaxation; any active movers are low-load)</x:v>
      </x:c>
      <x:c r="O178" s="24" t="str">
        <x:v>Extend toes against wall gently, keeping arch supported.</x:v>
      </x:c>
      <x:c r="P178" s="24" t="str">
        <x:v>Wall</x:v>
      </x:c>
      <x:c r="Q178" s="24" t="str">
        <x:v>2–3 × 8–12 controlled reps</x:v>
      </x:c>
      <x:c r="R178" s="24" t="str">
        <x:v>Progress gradually; stop with sharp pain, dizziness, or numbness.</x:v>
      </x:c>
      <x:c r="S178" s="24" t="str">
        <x:v>https://www.orthoinfo.org/recovery/foot-and-ankle-conditioning-program</x:v>
      </x:c>
      <x:c r="T178" s="24" t="str">
        <x:v>Anatomy-based mapping</x:v>
      </x:c>
    </x:row>
    <x:row r="179" ht="54" customHeight="1">
      <x:c r="A179" s="24" t="str">
        <x:v>EX0225</x:v>
      </x:c>
      <x:c r="B179" s="24" t="str">
        <x:v>Plantar fascia gentle ball roll</x:v>
      </x:c>
      <x:c r="C179" s="24" t="str">
        <x:v>Leg &amp; Ankle</x:v>
      </x:c>
      <x:c r="D179" s="24" t="str">
        <x:v>Home</x:v>
      </x:c>
      <x:c r="E179" s="24" t="str">
        <x:v>Soft-tissue mobility</x:v>
      </x:c>
      <x:c r="F179" s="24" t="str">
        <x:v>—</x:v>
      </x:c>
      <x:c r="G179" s="24" t="str">
        <x:v>—</x:v>
      </x:c>
      <x:c r="H179" s="24" t="str">
        <x:v>—</x:v>
      </x:c>
      <x:c r="I179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J179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179" s="24" t="str">
        <x:v>Plantar fascia (soft-tissue compression rather than a ligament stretch)</x:v>
      </x:c>
      <x:c r="L179" s="24" t="str">
        <x:v>Deltoid ligament and lateral ankle ligaments (ATFL/CFL/PTFL) stabilize ankle; NOT intentionally stretched</x:v>
      </x:c>
      <x:c r="M179" s="24" t="str">
        <x:v>Muscles: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Plantar fascia (soft-tissue compression rather than a ligament stretch) | Ligament context only: Deltoid ligament and lateral ankle ligaments (ATFL/CFL/PTFL) stabilize ankle; NOT intentionally stretched</x:v>
      </x:c>
      <x:c r="N179" s="24" t="str">
        <x:v>Usually none expected (stretch, mobility or relaxation; any active movers are low-load)</x:v>
      </x:c>
      <x:c r="O179" s="24" t="str">
        <x:v>Roll soft ball beneath arch gently without causing nerve pain.</x:v>
      </x:c>
      <x:c r="P179" s="24" t="str">
        <x:v>Soft ball</x:v>
      </x:c>
      <x:c r="Q179" s="24" t="str">
        <x:v>2–3 × 8–12 controlled reps</x:v>
      </x:c>
      <x:c r="R179" s="24" t="str">
        <x:v>Progress gradually; stop with sharp pain, dizziness, or numbness.</x:v>
      </x:c>
      <x:c r="S179" s="24" t="str">
        <x:v>https://www.orthoinfo.org/recovery/foot-and-ankle-conditioning-program</x:v>
      </x:c>
      <x:c r="T179" s="24" t="str">
        <x:v>Anatomy-based mapping</x:v>
      </x:c>
    </x:row>
    <x:row r="180" ht="54" customHeight="1">
      <x:c r="A180" s="24" t="str">
        <x:v>EX0226</x:v>
      </x:c>
      <x:c r="B180" s="24" t="str">
        <x:v>Towel-assisted peroneal stretch (gentle inversion)</x:v>
      </x:c>
      <x:c r="C180" s="24" t="str">
        <x:v>Leg &amp; Ankle</x:v>
      </x:c>
      <x:c r="D180" s="24" t="str">
        <x:v>Home</x:v>
      </x:c>
      <x:c r="E180" s="24" t="str">
        <x:v>Passive stretch</x:v>
      </x:c>
      <x:c r="F180" s="24" t="str">
        <x:v>—</x:v>
      </x:c>
      <x:c r="G180" s="24" t="str">
        <x:v>—</x:v>
      </x:c>
      <x:c r="H180" s="24" t="str">
        <x:v>—</x:v>
      </x:c>
      <x:c r="I180" s="24" t="str">
        <x:v>Fibularis longus; Fibularis brevis</x:v>
      </x:c>
      <x:c r="J180" s="24" t="str">
        <x:v>Fibularis longus; Fibularis brevis</x:v>
      </x:c>
      <x:c r="K180" s="24" t="str">
        <x:v>Fibularis longus/brevis tendons</x:v>
      </x:c>
      <x:c r="L180" s="24" t="str">
        <x:v>Lateral ligaments also tension with inversion; avoid end range</x:v>
      </x:c>
      <x:c r="M180" s="24" t="str">
        <x:v>Muscles: Fibularis longus; Fibularis brevis | Tendons/fascia: Fibularis longus/brevis tendons | Ligament context only: Lateral ligaments also tension with inversion; avoid end range</x:v>
      </x:c>
      <x:c r="N180" s="24" t="str">
        <x:v>Usually none expected (stretch, mobility or relaxation; any active movers are low-load)</x:v>
      </x:c>
      <x:c r="O180" s="24" t="str">
        <x:v>Bring foot very slightly into inversion while maintaining neutral knee.</x:v>
      </x:c>
      <x:c r="P180" s="24" t="str">
        <x:v>Towel</x:v>
      </x:c>
      <x:c r="Q180" s="24" t="str">
        <x:v>2–3 × 8–12 controlled reps</x:v>
      </x:c>
      <x:c r="R180" s="24" t="str">
        <x:v>Avoid if past ankle sprain/instability.</x:v>
      </x:c>
      <x:c r="S180" s="24" t="str">
        <x:v>https://www.orthoinfo.org/recovery/foot-and-ankle-conditioning-program</x:v>
      </x:c>
      <x:c r="T180" s="24" t="str">
        <x:v>Anatomy-based mapping</x:v>
      </x:c>
    </x:row>
    <x:row r="181" ht="54" customHeight="1">
      <x:c r="A181" s="24" t="str">
        <x:v>EX0227</x:v>
      </x:c>
      <x:c r="B181" s="24" t="str">
        <x:v>Towel-assisted posterior tibialis stretch (gentle eversion)</x:v>
      </x:c>
      <x:c r="C181" s="24" t="str">
        <x:v>Leg &amp; Ankle</x:v>
      </x:c>
      <x:c r="D181" s="24" t="str">
        <x:v>Home</x:v>
      </x:c>
      <x:c r="E181" s="24" t="str">
        <x:v>Passive stretch</x:v>
      </x:c>
      <x:c r="F181" s="24" t="str">
        <x:v>—</x:v>
      </x:c>
      <x:c r="G181" s="24" t="str">
        <x:v>—</x:v>
      </x:c>
      <x:c r="H181" s="24" t="str">
        <x:v>—</x:v>
      </x:c>
      <x:c r="I181" s="24" t="str">
        <x:v>Tibialis posterior</x:v>
      </x:c>
      <x:c r="J181" s="24" t="str">
        <x:v>Tibialis posterior</x:v>
      </x:c>
      <x:c r="K181" s="24" t="str">
        <x:v>Posterior tibial tendon</x:v>
      </x:c>
      <x:c r="L181" s="24" t="str">
        <x:v>Deltoid ligament may be tensioned; avoid forced eversion</x:v>
      </x:c>
      <x:c r="M181" s="24" t="str">
        <x:v>Muscles: Tibialis posterior | Tendons/fascia: Posterior tibial tendon | Ligament context only: Deltoid ligament may be tensioned; avoid forced eversion</x:v>
      </x:c>
      <x:c r="N181" s="24" t="str">
        <x:v>Usually none expected (stretch, mobility or relaxation; any active movers are low-load)</x:v>
      </x:c>
      <x:c r="O181" s="24" t="str">
        <x:v>Gently draw foot outward to mild inner calf/ankle stretch.</x:v>
      </x:c>
      <x:c r="P181" s="24" t="str">
        <x:v>Towel</x:v>
      </x:c>
      <x:c r="Q181" s="24" t="str">
        <x:v>2–3 × 8–12 controlled reps</x:v>
      </x:c>
      <x:c r="R181" s="24" t="str">
        <x:v>Progress gradually; stop with sharp pain, dizziness, or numbness.</x:v>
      </x:c>
      <x:c r="S181" s="24" t="str">
        <x:v>https://www.orthoinfo.org/recovery/foot-and-ankle-conditioning-program</x:v>
      </x:c>
      <x:c r="T181" s="24" t="str">
        <x:v>Anatomy-based mapping</x:v>
      </x:c>
    </x:row>
    <x:row r="182" ht="54" customHeight="1">
      <x:c r="A182" s="24" t="str">
        <x:v>EX0228</x:v>
      </x:c>
      <x:c r="B182" s="24" t="str">
        <x:v>Seated ankle circles</x:v>
      </x:c>
      <x:c r="C182" s="24" t="str">
        <x:v>Leg &amp; Ankle</x:v>
      </x:c>
      <x:c r="D182" s="24" t="str">
        <x:v>Home</x:v>
      </x:c>
      <x:c r="E182" s="24" t="str">
        <x:v>Mobility</x:v>
      </x:c>
      <x:c r="F182" s="24" t="str">
        <x:v>Tibialis anterior; Extensor digitorum longus; Extensor hallucis longus; Fibularis tertius; Gastrocnemius lateral head; Gastrocnemius medial head; Soleus; Plantaris; Tibialis posterior; Fibularis longus; Fibularis brevis</x:v>
      </x:c>
      <x:c r="G182" s="24" t="str">
        <x:v>—</x:v>
      </x:c>
      <x:c r="H182" s="24" t="str">
        <x:v>—</x:v>
      </x:c>
      <x:c r="I182" s="24" t="str">
        <x:v>Gastrocnemius lateral head; Gastrocnemius medial head; Soleus; Plantaris; Tibialis anterior; Extensor digitorum longus; Extensor hallucis longus; Fibularis tertius</x:v>
      </x:c>
      <x:c r="J182" s="24" t="str">
        <x:v>Tibialis anterior; Extensor digitorum longus; Extensor hallucis longus; Fibularis tertius; Gastrocnemius lateral head; Gastrocnemius medial head; Soleus; Plantaris; Tibialis posterior; Fibularis longus; Fibularis brevis</x:v>
      </x:c>
      <x:c r="K182" s="24" t="str">
        <x:v>Atlas-listed tendon/aponeurosis examples: Tibialis anterior tendon; Four extensor digitorum longus tendons; EHL tendon; Fibularis tertius tendon; additional listed attachments</x:v>
      </x:c>
      <x:c r="L182" s="24" t="str">
        <x:v>Deltoid ligament and lateral ankle ligaments (ATFL/CFL/PTFL) stabilize ankle; NOT intentionally stretched</x:v>
      </x:c>
      <x:c r="M182" s="24" t="str">
        <x:v>Muscles: Tibialis anterior; Extensor digitorum longus; Extensor hallucis longus; Fibularis tertius; Gastrocnemius lateral head; Gastrocnemius medial head; Soleus; Plantaris; Tibialis posterior; Fibularis longus; Fibularis brevis | Tendons/fascia: Atlas-listed tendon/aponeurosis examples: Tibialis anterior tendon; Four extensor digitorum longus tendons; EHL tendon; Fibularis tertius tendon; additional listed attachments | Ligament context only: Deltoid ligament and lateral ankle ligaments (ATFL/CFL/PTFL) stabilize ankle; NOT intentionally stretched</x:v>
      </x:c>
      <x:c r="N182" s="24" t="str">
        <x:v>Usually none expected (stretch, mobility or relaxation; any active movers are low-load)</x:v>
      </x:c>
      <x:c r="O182" s="24" t="str">
        <x:v>Trace slow ankle circles within comfortable available range.</x:v>
      </x:c>
      <x:c r="P182" s="24" t="str">
        <x:v>Chair</x:v>
      </x:c>
      <x:c r="Q182" s="24" t="str">
        <x:v>1–2 × 5–10 controlled reps</x:v>
      </x:c>
      <x:c r="R182" s="24" t="str">
        <x:v>Progress gradually; stop with sharp pain, dizziness, or numbness.</x:v>
      </x:c>
      <x:c r="S182" s="24" t="str">
        <x:v>https://www.orthoinfo.org/recovery/foot-and-ankle-conditioning-program</x:v>
      </x:c>
      <x:c r="T182" s="24" t="str">
        <x:v>Anatomy-based mapping</x:v>
      </x:c>
    </x:row>
    <x:row r="183" ht="54" customHeight="1">
      <x:c r="A183" s="24" t="str">
        <x:v>EX0229</x:v>
      </x:c>
      <x:c r="B183" s="24" t="str">
        <x:v>Heel walk short distance</x:v>
      </x:c>
      <x:c r="C183" s="24" t="str">
        <x:v>Leg &amp; Ankle</x:v>
      </x:c>
      <x:c r="D183" s="24" t="str">
        <x:v>Home</x:v>
      </x:c>
      <x:c r="E183" s="24" t="str">
        <x:v>Compound strength</x:v>
      </x:c>
      <x:c r="F183" s="24" t="str">
        <x:v>Tibialis anterior; Extensor digitorum longus; Extensor hallucis longus; Fibularis tertius</x:v>
      </x:c>
      <x:c r="G183" s="24" t="str">
        <x:v>—</x:v>
      </x:c>
      <x:c r="H183" s="24" t="str">
        <x:v>Gluteus medius; Gluteus minimus; Tensor fasciae latae;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183" s="24" t="str">
        <x:v>—</x:v>
      </x:c>
      <x:c r="J183" s="24" t="str">
        <x:v>Tibialis anterior; Extensor digitorum longus; Extensor hallucis longus; Fibularis tertius; Gluteus medius; Gluteus minimus; Tensor fasciae latae;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183" s="24" t="str">
        <x:v>Atlas-listed tendon/aponeurosis examples: Tibialis anterior tendon; Four extensor digitorum longus tendons; EHL tendon; Fibularis tertius tendon</x:v>
      </x:c>
      <x:c r="L183" s="24" t="str">
        <x:v>Deltoid ligament and lateral ankle ligaments (ATFL/CFL/PTFL) stabilize ankle; NOT intentionally stretched</x:v>
      </x:c>
      <x:c r="M183" s="24" t="str">
        <x:v>Muscles: Tibialis anterior; Extensor digitorum longus; Extensor hallucis longus; Fibularis tertius; Gluteus medius; Gluteus minimus; Tensor fasciae latae;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Atlas-listed tendon/aponeurosis examples: Tibialis anterior tendon; Four extensor digitorum longus tendons; EHL tendon; Fibularis tertius tendon | Ligament context only: Deltoid ligament and lateral ankle ligaments (ATFL/CFL/PTFL) stabilize ankle; NOT intentionally stretched</x:v>
      </x:c>
      <x:c r="N183" s="24" t="str">
        <x:v>Tibialis anterior; Extensor digitorum longus; Extensor hallucis longus; Fibularis tertius</x:v>
      </x:c>
      <x:c r="O183" s="24" t="str">
        <x:v>Walk on heels keeping toes gently lifted.</x:v>
      </x:c>
      <x:c r="P183" s="24" t="str">
        <x:v>Floor</x:v>
      </x:c>
      <x:c r="Q183" s="24" t="str">
        <x:v>2–3 × 8–12 controlled reps</x:v>
      </x:c>
      <x:c r="R183" s="24" t="str">
        <x:v>Progress gradually; stop with sharp pain, dizziness, or numbness.</x:v>
      </x:c>
      <x:c r="S183" s="24" t="str">
        <x:v>https://www.orthoinfo.org/recovery/foot-and-ankle-conditioning-program</x:v>
      </x:c>
      <x:c r="T183" s="24" t="str">
        <x:v>Anatomy-based mapping</x:v>
      </x:c>
    </x:row>
    <x:row r="184" ht="54" customHeight="1">
      <x:c r="A184" s="24" t="str">
        <x:v>EX0230</x:v>
      </x:c>
      <x:c r="B184" s="24" t="str">
        <x:v>Toe walk short distance</x:v>
      </x:c>
      <x:c r="C184" s="24" t="str">
        <x:v>Leg &amp; Ankle</x:v>
      </x:c>
      <x:c r="D184" s="24" t="str">
        <x:v>Home</x:v>
      </x:c>
      <x:c r="E184" s="24" t="str">
        <x:v>Compound strength</x:v>
      </x:c>
      <x:c r="F184" s="24" t="str">
        <x:v>Gastrocnemius lateral head; Gastrocnemius medial head; Soleus; Plantaris</x:v>
      </x:c>
      <x:c r="G184" s="24" t="str">
        <x:v>Tibialis posterior</x:v>
      </x:c>
      <x:c r="H184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Gluteus medius; Gluteus minimus; Tensor fasciae latae</x:v>
      </x:c>
      <x:c r="I184" s="24" t="str">
        <x:v>—</x:v>
      </x:c>
      <x:c r="J184" s="24" t="str">
        <x:v>Gastrocnemius lateral head; Gastrocnemius medial head; Soleus; Plantaris; Tibialis posterior;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Gluteus medius; Gluteus minimus; Tensor fasciae latae</x:v>
      </x:c>
      <x:c r="K184" s="24" t="str">
        <x:v>Achilles tendon</x:v>
      </x:c>
      <x:c r="L184" s="24" t="str">
        <x:v>Deltoid ligament and lateral ankle ligaments (ATFL/CFL/PTFL) stabilize ankle; NOT intentionally stretched</x:v>
      </x:c>
      <x:c r="M184" s="24" t="str">
        <x:v>Muscles: Gastrocnemius lateral head; Gastrocnemius medial head; Soleus; Plantaris; Tibialis posterior;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variable); Gluteus medius; Gluteus minimus; Tensor fasciae latae | Tendons/fascia: Achilles tendon | Ligament context only: Deltoid ligament and lateral ankle ligaments (ATFL/CFL/PTFL) stabilize ankle; NOT intentionally stretched</x:v>
      </x:c>
      <x:c r="N184" s="24" t="str">
        <x:v>Gastrocnemius lateral head; Gastrocnemius medial head; Soleus; Plantaris; Tibialis posterior</x:v>
      </x:c>
      <x:c r="O184" s="24" t="str">
        <x:v>Walk on balls of feet with controlled ankle alignment.</x:v>
      </x:c>
      <x:c r="P184" s="24" t="str">
        <x:v>Floor</x:v>
      </x:c>
      <x:c r="Q184" s="24" t="str">
        <x:v>2–3 × 8–12 controlled reps</x:v>
      </x:c>
      <x:c r="R184" s="24" t="str">
        <x:v>Progress gradually; stop with sharp pain, dizziness, or numbness.</x:v>
      </x:c>
      <x:c r="S184" s="24" t="str">
        <x:v>https://www.orthoinfo.org/recovery/foot-and-ankle-conditioning-program</x:v>
      </x:c>
      <x:c r="T184" s="24" t="str">
        <x:v>Anatomy-based mapping</x:v>
      </x:c>
    </x:row>
    <x:row r="185" ht="54" customHeight="1">
      <x:c r="A185" s="24" t="str">
        <x:v>EX0231</x:v>
      </x:c>
      <x:c r="B185" s="24" t="str">
        <x:v>Seated band toe inversion/eversion coordination</x:v>
      </x:c>
      <x:c r="C185" s="24" t="str">
        <x:v>Leg &amp; Ankle</x:v>
      </x:c>
      <x:c r="D185" s="24" t="str">
        <x:v>Home</x:v>
      </x:c>
      <x:c r="E185" s="24" t="str">
        <x:v>Motor control</x:v>
      </x:c>
      <x:c r="F185" s="24" t="str">
        <x:v>Tibialis posterior; Fibularis longus; Fibularis brevis; Fibularis tertius</x:v>
      </x:c>
      <x:c r="G185" s="24" t="str">
        <x:v>—</x:v>
      </x:c>
      <x:c r="H185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185" s="24" t="str">
        <x:v>—</x:v>
      </x:c>
      <x:c r="J185" s="24" t="str">
        <x:v>Tibialis posterior; Fibularis longus; Fibularis brevis; Fibularis tertius;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185" s="24" t="str">
        <x:v>Atlas-listed tendon/aponeurosis examples: Tibialis posterior multi-slip tendon; Fibularis longus tendon runs beneath cuboid; Fibularis brevis tendon; Fibularis tertius tendon</x:v>
      </x:c>
      <x:c r="L185" s="24" t="str">
        <x:v>Deltoid ligament and lateral ankle ligaments (ATFL/CFL/PTFL) stabilize ankle; NOT intentionally stretched</x:v>
      </x:c>
      <x:c r="M185" s="24" t="str">
        <x:v>Muscles: Tibialis posterior; Fibularis longus; Fibularis brevis; Fibularis tertius;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Atlas-listed tendon/aponeurosis examples: Tibialis posterior multi-slip tendon; Fibularis longus tendon runs beneath cuboid; Fibularis brevis tendon; Fibularis tertius tendon | Ligament context only: Deltoid ligament and lateral ankle ligaments (ATFL/CFL/PTFL) stabilize ankle; NOT intentionally stretched</x:v>
      </x:c>
      <x:c r="N185" s="24" t="str">
        <x:v>Low-load activation, not ordinarily to fatigue: Tibialis posterior; Fibularis longus; Fibularis brevis; Fibularis tertius</x:v>
      </x:c>
      <x:c r="O185" s="24" t="str">
        <x:v>Alternately invert and evert forefoot against light band.</x:v>
      </x:c>
      <x:c r="P185" s="24" t="str">
        <x:v>Light band</x:v>
      </x:c>
      <x:c r="Q185" s="24" t="str">
        <x:v>1–2 × 5–10 controlled reps</x:v>
      </x:c>
      <x:c r="R185" s="24" t="str">
        <x:v>Progress gradually; stop with sharp pain, dizziness, or numbness.</x:v>
      </x:c>
      <x:c r="S185" s="24" t="str">
        <x:v>https://www.orthoinfo.org/recovery/foot-and-ankle-conditioning-program</x:v>
      </x:c>
      <x:c r="T185" s="24" t="str">
        <x:v>Anatomy-based mapping</x:v>
      </x:c>
    </x:row>
    <x:row r="186" ht="54" customHeight="1">
      <x:c r="A186" s="24" t="str">
        <x:v>EX0233</x:v>
      </x:c>
      <x:c r="B186" s="24" t="str">
        <x:v>Forearm plank</x:v>
      </x:c>
      <x:c r="C186" s="24" t="str">
        <x:v>Abdomen &amp; Core</x:v>
      </x:c>
      <x:c r="D186" s="24" t="str">
        <x:v>Home</x:v>
      </x:c>
      <x:c r="E186" s="24" t="str">
        <x:v>Isometric strength</x:v>
      </x:c>
      <x:c r="F186" s="24" t="str">
        <x:v>Rectus abdominis; External oblique; Internal oblique; Transversus abdominis</x:v>
      </x:c>
      <x:c r="G186" s="24" t="str">
        <x:v>Gluteus maximus</x:v>
      </x:c>
      <x:c r="H186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Deltoid; Supraspinatus; Serratus anterior; Pectoralis minor; Pyramidalis</x:v>
      </x:c>
      <x:c r="I186" s="24" t="str">
        <x:v>—</x:v>
      </x:c>
      <x:c r="J186" s="24" t="str">
        <x:v>Rectus abdominis; External oblique; Internal oblique; Transversus abdominis;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Deltoid; Supraspinatus; Serratus anterior; Pectoralis minor; Pyramidalis</x:v>
      </x:c>
      <x:c r="K186" s="24" t="str">
        <x:v>Rectus abdominis tendinous intersections; abdominal aponeuroses</x:v>
      </x:c>
      <x:c r="L186" s="24" t="str">
        <x:v>Thoracolumbar fascia and spinal ligaments contribute passive stability; NOT targeted for stretching</x:v>
      </x:c>
      <x:c r="M186" s="24" t="str">
        <x:v>Muscles: Rectus abdominis; External oblique; Internal oblique; Transversus abdominis;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Deltoid; Supraspinatus; Serratus anterior; Pectoralis minor; Pyramidalis | Tendons/fascia: Rectus abdominis tendinous intersections; abdominal aponeuroses | Ligament context only: Thoracolumbar fascia and spinal ligaments contribute passive stability; NOT targeted for stretching</x:v>
      </x:c>
      <x:c r="N186" s="24" t="str">
        <x:v>Rectus abdominis; External oblique; Internal oblique; Transversus abdominis; Gluteus maximus</x:v>
      </x:c>
      <x:c r="O186" s="24" t="str">
        <x:v>Hold ribs stacked over pelvis and prevent low-back sag.</x:v>
      </x:c>
      <x:c r="P186" s="24" t="str">
        <x:v>Mat</x:v>
      </x:c>
      <x:c r="Q186" s="24" t="str">
        <x:v>2–3 × 8–12 controlled reps</x:v>
      </x:c>
      <x:c r="R186" s="24" t="str">
        <x:v>Progress gradually; stop with sharp pain, dizziness, or numbness.</x:v>
      </x:c>
      <x:c r="S186" s="24" t="str">
        <x:v>https://www.acsm.org/education-resources/trending-topics-resources/physical-activity-guidelines</x:v>
      </x:c>
      <x:c r="T186" s="24" t="str">
        <x:v>Anatomy-based mapping</x:v>
      </x:c>
    </x:row>
    <x:row r="187" ht="54" customHeight="1">
      <x:c r="A187" s="24" t="str">
        <x:v>EX0234</x:v>
      </x:c>
      <x:c r="B187" s="24" t="str">
        <x:v>High plank</x:v>
      </x:c>
      <x:c r="C187" s="24" t="str">
        <x:v>Abdomen &amp; Core</x:v>
      </x:c>
      <x:c r="D187" s="24" t="str">
        <x:v>Home</x:v>
      </x:c>
      <x:c r="E187" s="24" t="str">
        <x:v>Isometric strength</x:v>
      </x:c>
      <x:c r="F187" s="24" t="str">
        <x:v>Rectus abdominis; External oblique; Internal oblique; Transversus abdominis</x:v>
      </x:c>
      <x:c r="G187" s="24" t="str">
        <x:v>Serratus anterior; Pectoralis minor; Triceps brachii lateral head; Triceps brachii long head; Triceps brachii medial head</x:v>
      </x:c>
      <x:c r="H187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Infraspinatus; Subscapularis; Supraspinatus; Teres minor</x:v>
      </x:c>
      <x:c r="I187" s="24" t="str">
        <x:v>—</x:v>
      </x:c>
      <x:c r="J187" s="24" t="str">
        <x:v>Rectus abdominis; External oblique; Internal oblique; Transversus abdominis; Serratus anterior; Pectoralis minor; Triceps brachii lateral head; Triceps brachii long head; Triceps brachii medial head;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Infraspinatus; Subscapularis; Supraspinatus; Teres minor</x:v>
      </x:c>
      <x:c r="K187" s="24" t="str">
        <x:v>Atlas-listed tendon/aponeurosis examples: Tendinous intersections and rectus sheath insertion; Broad external oblique aponeurosis; Internal oblique aponeurosis; conjoint tendon; Transversus aponeurosis; conjoint tendon; additional listed attachments</x:v>
      </x:c>
      <x:c r="L187" s="24" t="str">
        <x:v>Thoracolumbar fascia and spinal ligaments contribute passive stability; NOT targeted for stretching</x:v>
      </x:c>
      <x:c r="M187" s="24" t="str">
        <x:v>Muscles: Rectus abdominis; External oblique; Internal oblique; Transversus abdominis; Serratus anterior; Pectoralis minor; Triceps brachii lateral head; Triceps brachii long head; Triceps brachii medial head;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Infraspinatus; Subscapularis; Supraspinatus; Teres minor | Tendons/fascia: Atlas-listed tendon/aponeurosis examples: Tendinous intersections and rectus sheath insertion; Broad external oblique aponeurosis; Internal oblique aponeurosis; conjoint tendon; Transversus aponeurosis; conjoint tendon; additional listed attachments | Ligament context only: Thoracolumbar fascia and spinal ligaments contribute passive stability; NOT targeted for stretching</x:v>
      </x:c>
      <x:c r="N187" s="24" t="str">
        <x:v>Rectus abdominis; External oblique; Internal oblique; Transversus abdominis; Serratus anterior; Pectoralis minor; Triceps brachii lateral head; Triceps brachii long head; Triceps brachii medial head</x:v>
      </x:c>
      <x:c r="O187" s="24" t="str">
        <x:v>Hands under shoulders; maintain body alignment and reach ground away.</x:v>
      </x:c>
      <x:c r="P187" s="24" t="str">
        <x:v>Floor</x:v>
      </x:c>
      <x:c r="Q187" s="24" t="str">
        <x:v>2–3 × 8–12 controlled reps</x:v>
      </x:c>
      <x:c r="R187" s="24" t="str">
        <x:v>Progress gradually; stop with sharp pain, dizziness, or numbness.</x:v>
      </x:c>
      <x:c r="S187" s="24" t="str">
        <x:v>https://www.acsm.org/education-resources/trending-topics-resources/physical-activity-guidelines</x:v>
      </x:c>
      <x:c r="T187" s="24" t="str">
        <x:v>Anatomy-based mapping</x:v>
      </x:c>
    </x:row>
    <x:row r="188" ht="54" customHeight="1">
      <x:c r="A188" s="24" t="str">
        <x:v>EX0235</x:v>
      </x:c>
      <x:c r="B188" s="24" t="str">
        <x:v>Side plank (knees bent)</x:v>
      </x:c>
      <x:c r="C188" s="24" t="str">
        <x:v>Abdomen &amp; Core</x:v>
      </x:c>
      <x:c r="D188" s="24" t="str">
        <x:v>Home</x:v>
      </x:c>
      <x:c r="E188" s="24" t="str">
        <x:v>Isometric strength</x:v>
      </x:c>
      <x:c r="F188" s="24" t="str">
        <x:v>External oblique; Internal oblique; Transversus abdominis; Quadratus lumborum</x:v>
      </x:c>
      <x:c r="G188" s="24" t="str">
        <x:v>Gluteus medius; Gluteus minimus; Tensor fasciae latae</x:v>
      </x:c>
      <x:c r="H188" s="24" t="str">
        <x:v>Deltoid; Supraspinatus; Serratus anterior; Pectoralis minor</x:v>
      </x:c>
      <x:c r="I188" s="24" t="str">
        <x:v>—</x:v>
      </x:c>
      <x:c r="J188" s="24" t="str">
        <x:v>External oblique; Internal oblique; Transversus abdominis; Quadratus lumborum; Gluteus medius; Gluteus minimus; Tensor fasciae latae; Deltoid; Supraspinatus; Serratus anterior; Pectoralis minor</x:v>
      </x:c>
      <x:c r="K188" s="24" t="str">
        <x:v>Atlas-listed tendon/aponeurosis examples: Broad external oblique aponeurosis; Internal oblique aponeurosis; conjoint tendon; Transversus aponeurosis; conjoint tendon; Short aponeuroses to lumbar transverse processes; additional listed attachments</x:v>
      </x:c>
      <x:c r="L188" s="24" t="str">
        <x:v>Thoracolumbar fascia and spinal ligaments contribute passive stability; NOT targeted for stretching</x:v>
      </x:c>
      <x:c r="M188" s="24" t="str">
        <x:v>Muscles: External oblique; Internal oblique; Transversus abdominis; Quadratus lumborum; Gluteus medius; Gluteus minimus; Tensor fasciae latae; Deltoid; Supraspinatus; Serratus anterior; Pectoralis minor | Tendons/fascia: Atlas-listed tendon/aponeurosis examples: Broad external oblique aponeurosis; Internal oblique aponeurosis; conjoint tendon; Transversus aponeurosis; conjoint tendon; Short aponeuroses to lumbar transverse processes; additional listed attachments | Ligament context only: Thoracolumbar fascia and spinal ligaments contribute passive stability; NOT targeted for stretching</x:v>
      </x:c>
      <x:c r="N188" s="24" t="str">
        <x:v>External oblique; Internal oblique; Transversus abdominis; Quadratus lumborum; Gluteus medius; Gluteus minimus; Tensor fasciae latae</x:v>
      </x:c>
      <x:c r="O188" s="24" t="str">
        <x:v>Support on elbow and knees; lift hips with shoulders/hips stacked.</x:v>
      </x:c>
      <x:c r="P188" s="24" t="str">
        <x:v>Mat</x:v>
      </x:c>
      <x:c r="Q188" s="24" t="str">
        <x:v>2–3 × 8–12 controlled reps</x:v>
      </x:c>
      <x:c r="R188" s="24" t="str">
        <x:v>Progress gradually; stop with sharp pain, dizziness, or numbness.</x:v>
      </x:c>
      <x:c r="S188" s="24" t="str">
        <x:v>https://www.acsm.org/education-resources/trending-topics-resources/physical-activity-guidelines</x:v>
      </x:c>
      <x:c r="T188" s="24" t="str">
        <x:v>Anatomy-based mapping</x:v>
      </x:c>
    </x:row>
    <x:row r="189" ht="54" customHeight="1">
      <x:c r="A189" s="24" t="str">
        <x:v>EX0236</x:v>
      </x:c>
      <x:c r="B189" s="24" t="str">
        <x:v>Side plank (full)</x:v>
      </x:c>
      <x:c r="C189" s="24" t="str">
        <x:v>Abdomen &amp; Core</x:v>
      </x:c>
      <x:c r="D189" s="24" t="str">
        <x:v>Home</x:v>
      </x:c>
      <x:c r="E189" s="24" t="str">
        <x:v>Isometric strength</x:v>
      </x:c>
      <x:c r="F189" s="24" t="str">
        <x:v>External oblique; Internal oblique; Transversus abdominis; Quadratus lumborum</x:v>
      </x:c>
      <x:c r="G189" s="24" t="str">
        <x:v>Gluteus medius; Gluteus minimus; Tensor fasciae latae</x:v>
      </x:c>
      <x:c r="H189" s="24" t="str">
        <x:v>Deltoid; Supraspinatus; Serratus anterior; Pectoralis minor</x:v>
      </x:c>
      <x:c r="I189" s="24" t="str">
        <x:v>—</x:v>
      </x:c>
      <x:c r="J189" s="24" t="str">
        <x:v>External oblique; Internal oblique; Transversus abdominis; Quadratus lumborum; Gluteus medius; Gluteus minimus; Tensor fasciae latae; Deltoid; Supraspinatus; Serratus anterior; Pectoralis minor</x:v>
      </x:c>
      <x:c r="K189" s="24" t="str">
        <x:v>Atlas-listed tendon/aponeurosis examples: Broad external oblique aponeurosis; Internal oblique aponeurosis; conjoint tendon; Transversus aponeurosis; conjoint tendon; Short aponeuroses to lumbar transverse processes; additional listed attachments</x:v>
      </x:c>
      <x:c r="L189" s="24" t="str">
        <x:v>Thoracolumbar fascia and spinal ligaments contribute passive stability; NOT targeted for stretching</x:v>
      </x:c>
      <x:c r="M189" s="24" t="str">
        <x:v>Muscles: External oblique; Internal oblique; Transversus abdominis; Quadratus lumborum; Gluteus medius; Gluteus minimus; Tensor fasciae latae; Deltoid; Supraspinatus; Serratus anterior; Pectoralis minor | Tendons/fascia: Atlas-listed tendon/aponeurosis examples: Broad external oblique aponeurosis; Internal oblique aponeurosis; conjoint tendon; Transversus aponeurosis; conjoint tendon; Short aponeuroses to lumbar transverse processes; additional listed attachments | Ligament context only: Thoracolumbar fascia and spinal ligaments contribute passive stability; NOT targeted for stretching</x:v>
      </x:c>
      <x:c r="N189" s="24" t="str">
        <x:v>External oblique; Internal oblique; Transversus abdominis; Quadratus lumborum; Gluteus medius; Gluteus minimus; Tensor fasciae latae</x:v>
      </x:c>
      <x:c r="O189" s="24" t="str">
        <x:v>Balance on elbow and side of feet; keep waist long.</x:v>
      </x:c>
      <x:c r="P189" s="24" t="str">
        <x:v>Mat</x:v>
      </x:c>
      <x:c r="Q189" s="24" t="str">
        <x:v>2–3 × 8–12 controlled reps</x:v>
      </x:c>
      <x:c r="R189" s="24" t="str">
        <x:v>Progress gradually; stop with sharp pain, dizziness, or numbness.</x:v>
      </x:c>
      <x:c r="S189" s="24" t="str">
        <x:v>https://www.acsm.org/education-resources/trending-topics-resources/physical-activity-guidelines</x:v>
      </x:c>
      <x:c r="T189" s="24" t="str">
        <x:v>Anatomy-based mapping</x:v>
      </x:c>
    </x:row>
    <x:row r="190" ht="54" customHeight="1">
      <x:c r="A190" s="24" t="str">
        <x:v>EX0237</x:v>
      </x:c>
      <x:c r="B190" s="24" t="str">
        <x:v>Dead bug alternating arm-leg</x:v>
      </x:c>
      <x:c r="C190" s="24" t="str">
        <x:v>Abdomen &amp; Core</x:v>
      </x:c>
      <x:c r="D190" s="24" t="str">
        <x:v>Home</x:v>
      </x:c>
      <x:c r="E190" s="24" t="str">
        <x:v>Motor control</x:v>
      </x:c>
      <x:c r="F190" s="24" t="str">
        <x:v>Rectus abdominis; External oblique; Internal oblique; Transversus abdominis</x:v>
      </x:c>
      <x:c r="G190" s="24" t="str">
        <x:v>Iliacus; Psoas major; Sartorius; Tensor fasciae latae; Rectus femoris reflected head; Rectus femoris straight head; Pectineus</x:v>
      </x:c>
      <x:c r="H190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190" s="24" t="str">
        <x:v>—</x:v>
      </x:c>
      <x:c r="J190" s="24" t="str">
        <x:v>Rectus abdominis; External oblique; Internal oblique; Transversus abdominis; Iliacus; Psoas major; Sartorius; Tensor fasciae latae; Rectus femoris reflected head; Rectus femoris straight head;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190" s="24" t="str">
        <x:v>Atlas-listed tendon/aponeurosis examples: Tendinous intersections and rectus sheath insertion; Broad external oblique aponeurosis; Internal oblique aponeurosis; conjoint tendon; Transversus aponeurosis; conjoint tendon; additional listed attachments</x:v>
      </x:c>
      <x:c r="L190" s="24" t="str">
        <x:v>Thoracolumbar fascia and spinal ligaments contribute passive stability; NOT targeted for stretching</x:v>
      </x:c>
      <x:c r="M190" s="24" t="str">
        <x:v>Muscles: Rectus abdominis; External oblique; Internal oblique; Transversus abdominis; Iliacus; Psoas major; Sartorius; Tensor fasciae latae; Rectus femoris reflected head; Rectus femoris straight head;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Tendinous intersections and rectus sheath insertion; Broad external oblique aponeurosis; Internal oblique aponeurosis; conjoint tendon; Transversus aponeurosis; conjoint tendon; additional listed attachments | Ligament context only: Thoracolumbar fascia and spinal ligaments contribute passive stability; NOT targeted for stretching</x:v>
      </x:c>
      <x:c r="N190" s="24" t="str">
        <x:v>Low-load activation, not ordinarily to fatigue: Rectus abdominis; External oblique; Internal oblique; Transversus abdominis</x:v>
      </x:c>
      <x:c r="O190" s="24" t="str">
        <x:v>Supine, extend opposite arm/leg while lumbar spine remains steady.</x:v>
      </x:c>
      <x:c r="P190" s="24" t="str">
        <x:v>Mat</x:v>
      </x:c>
      <x:c r="Q190" s="24" t="str">
        <x:v>1–2 × 5–10 controlled reps</x:v>
      </x:c>
      <x:c r="R190" s="24" t="str">
        <x:v>Progress gradually; stop with sharp pain, dizziness, or numbness.</x:v>
      </x:c>
      <x:c r="S190" s="24" t="str">
        <x:v>https://www.acsm.org/education-resources/trending-topics-resources/physical-activity-guidelines</x:v>
      </x:c>
      <x:c r="T190" s="24" t="str">
        <x:v>Anatomy-based mapping</x:v>
      </x:c>
    </x:row>
    <x:row r="191" ht="54" customHeight="1">
      <x:c r="A191" s="24" t="str">
        <x:v>EX0238</x:v>
      </x:c>
      <x:c r="B191" s="24" t="str">
        <x:v>Hollow body hold bent knees</x:v>
      </x:c>
      <x:c r="C191" s="24" t="str">
        <x:v>Abdomen &amp; Core</x:v>
      </x:c>
      <x:c r="D191" s="24" t="str">
        <x:v>Home</x:v>
      </x:c>
      <x:c r="E191" s="24" t="str">
        <x:v>Isometric strength</x:v>
      </x:c>
      <x:c r="F191" s="24" t="str">
        <x:v>Rectus abdominis; Transversus abdominis</x:v>
      </x:c>
      <x:c r="G191" s="24" t="str">
        <x:v>External oblique; Internal oblique; Iliacus; Psoas major; Sartorius; Tensor fasciae latae; Rectus femoris reflected head; Rectus femoris straight head; Pectineus</x:v>
      </x:c>
      <x:c r="H191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191" s="24" t="str">
        <x:v>—</x:v>
      </x:c>
      <x:c r="J191" s="24" t="str">
        <x:v>Rectus abdominis; Transversus abdominis; External oblique; Internal oblique; Iliacus; Psoas major; Sartorius; Tensor fasciae latae; Rectus femoris reflected head; Rectus femoris straight head;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191" s="24" t="str">
        <x:v>Atlas-listed tendon/aponeurosis examples: Tendinous intersections and rectus sheath insertion; Transversus aponeurosis; conjoint tendon; Broad external oblique aponeurosis; Internal oblique aponeurosis; conjoint tendon; additional listed attachments</x:v>
      </x:c>
      <x:c r="L191" s="24" t="str">
        <x:v>Thoracolumbar fascia and spinal ligaments contribute passive stability; NOT targeted for stretching</x:v>
      </x:c>
      <x:c r="M191" s="24" t="str">
        <x:v>Muscles: Rectus abdominis; Transversus abdominis; External oblique; Internal oblique; Iliacus; Psoas major; Sartorius; Tensor fasciae latae; Rectus femoris reflected head; Rectus femoris straight head;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Tendinous intersections and rectus sheath insertion; Transversus aponeurosis; conjoint tendon; Broad external oblique aponeurosis; Internal oblique aponeurosis; conjoint tendon; additional listed attachments | Ligament context only: Thoracolumbar fascia and spinal ligaments contribute passive stability; NOT targeted for stretching</x:v>
      </x:c>
      <x:c r="N191" s="24" t="str">
        <x:v>Rectus abdominis; Transversus abdominis; External oblique; Internal oblique; Iliacus; Psoas major; Sartorius; Tensor fasciae latae; Rectus femoris reflected head; Rectus femoris straight head; Pectineus</x:v>
      </x:c>
      <x:c r="O191" s="24" t="str">
        <x:v>Flatten ribs toward pelvis and hover bent legs slightly.</x:v>
      </x:c>
      <x:c r="P191" s="24" t="str">
        <x:v>Mat</x:v>
      </x:c>
      <x:c r="Q191" s="24" t="str">
        <x:v>2–3 × 8–12 controlled reps</x:v>
      </x:c>
      <x:c r="R191" s="24" t="str">
        <x:v>Progress gradually; stop with sharp pain, dizziness, or numbness.</x:v>
      </x:c>
      <x:c r="S191" s="24" t="str">
        <x:v>https://www.acsm.org/education-resources/trending-topics-resources/physical-activity-guidelines</x:v>
      </x:c>
      <x:c r="T191" s="24" t="str">
        <x:v>Anatomy-based mapping</x:v>
      </x:c>
    </x:row>
    <x:row r="192" ht="54" customHeight="1">
      <x:c r="A192" s="24" t="str">
        <x:v>EX0239</x:v>
      </x:c>
      <x:c r="B192" s="24" t="str">
        <x:v>Reverse crunch</x:v>
      </x:c>
      <x:c r="C192" s="24" t="str">
        <x:v>Abdomen &amp; Core</x:v>
      </x:c>
      <x:c r="D192" s="24" t="str">
        <x:v>Home</x:v>
      </x:c>
      <x:c r="E192" s="24" t="str">
        <x:v>Compound strength</x:v>
      </x:c>
      <x:c r="F192" s="24" t="str">
        <x:v>Rectus abdominis; External oblique; Internal oblique; Transversus abdominis</x:v>
      </x:c>
      <x:c r="G192" s="24" t="str">
        <x:v>Iliacus; Psoas major; Sartorius; Tensor fasciae latae; Rectus femoris reflected head; Rectus femoris straight head; Pectineus</x:v>
      </x:c>
      <x:c r="H192" s="24" t="str">
        <x:v>—</x:v>
      </x:c>
      <x:c r="I192" s="24" t="str">
        <x:v>—</x:v>
      </x:c>
      <x:c r="J192" s="24" t="str">
        <x:v>Rectus abdominis; External oblique; Internal oblique; Transversus abdominis; Iliacus; Psoas major; Sartorius; Tensor fasciae latae; Rectus femoris reflected head; Rectus femoris straight head; Pectineus</x:v>
      </x:c>
      <x:c r="K192" s="24" t="str">
        <x:v>Atlas-listed tendon/aponeurosis examples: Tendinous intersections and rectus sheath insertion; Broad external oblique aponeurosis; Internal oblique aponeurosis; conjoint tendon; Transversus aponeurosis; conjoint tendon; additional listed attachments</x:v>
      </x:c>
      <x:c r="L192" s="24" t="str">
        <x:v>Thoracolumbar fascia and spinal ligaments contribute passive stability; NOT targeted for stretching</x:v>
      </x:c>
      <x:c r="M192" s="24" t="str">
        <x:v>Muscles: Rectus abdominis; External oblique; Internal oblique; Transversus abdominis; Iliacus; Psoas major; Sartorius; Tensor fasciae latae; Rectus femoris reflected head; Rectus femoris straight head; Pectineus | Tendons/fascia: Atlas-listed tendon/aponeurosis examples: Tendinous intersections and rectus sheath insertion; Broad external oblique aponeurosis; Internal oblique aponeurosis; conjoint tendon; Transversus aponeurosis; conjoint tendon; additional listed attachments | Ligament context only: Thoracolumbar fascia and spinal ligaments contribute passive stability; NOT targeted for stretching</x:v>
      </x:c>
      <x:c r="N192" s="24" t="str">
        <x:v>Rectus abdominis; External oblique; Internal oblique; Transversus abdominis; Iliacus; Psoas major; Sartorius; Tensor fasciae latae; Rectus femoris reflected head; Rectus femoris straight head; Pectineus</x:v>
      </x:c>
      <x:c r="O192" s="24" t="str">
        <x:v>Curl pelvis a few centimeters off floor, not swinging legs.</x:v>
      </x:c>
      <x:c r="P192" s="24" t="str">
        <x:v>Mat</x:v>
      </x:c>
      <x:c r="Q192" s="24" t="str">
        <x:v>2–3 × 8–12 controlled reps</x:v>
      </x:c>
      <x:c r="R192" s="24" t="str">
        <x:v>Progress gradually; stop with sharp pain, dizziness, or numbness.</x:v>
      </x:c>
      <x:c r="S192" s="24" t="str">
        <x:v>https://www.acsm.org/education-resources/trending-topics-resources/physical-activity-guidelines</x:v>
      </x:c>
      <x:c r="T192" s="24" t="str">
        <x:v>Anatomy-based mapping</x:v>
      </x:c>
    </x:row>
    <x:row r="193" ht="54" customHeight="1">
      <x:c r="A193" s="24" t="str">
        <x:v>EX0240</x:v>
      </x:c>
      <x:c r="B193" s="24" t="str">
        <x:v>Controlled curl-up / McGill curl-up</x:v>
      </x:c>
      <x:c r="C193" s="24" t="str">
        <x:v>Abdomen &amp; Core</x:v>
      </x:c>
      <x:c r="D193" s="24" t="str">
        <x:v>Home</x:v>
      </x:c>
      <x:c r="E193" s="24" t="str">
        <x:v>Isolation strength</x:v>
      </x:c>
      <x:c r="F193" s="24" t="str">
        <x:v>Rectus abdominis</x:v>
      </x:c>
      <x:c r="G193" s="24" t="str">
        <x:v>External oblique; Internal oblique; Transversus abdominis</x:v>
      </x:c>
      <x:c r="H193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193" s="24" t="str">
        <x:v>—</x:v>
      </x:c>
      <x:c r="J193" s="24" t="str">
        <x:v>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193" s="24" t="str">
        <x:v>Atlas-listed tendon/aponeurosis examples: Tendinous intersections and rectus sheath insertion; Broad external oblique aponeurosis; Internal oblique aponeurosis; conjoint tendon; Transversus aponeurosis; conjoint tendon</x:v>
      </x:c>
      <x:c r="L193" s="24" t="str">
        <x:v>Thoracolumbar fascia and spinal ligaments contribute passive stability; NOT targeted for stretching</x:v>
      </x:c>
      <x:c r="M193" s="24" t="str">
        <x:v>Muscles: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Tendinous intersections and rectus sheath insertion; Broad external oblique aponeurosis; Internal oblique aponeurosis; conjoint tendon; Transversus aponeurosis; conjoint tendon | Ligament context only: Thoracolumbar fascia and spinal ligaments contribute passive stability; NOT targeted for stretching</x:v>
      </x:c>
      <x:c r="N193" s="24" t="str">
        <x:v>Rectus abdominis; External oblique; Internal oblique; Transversus abdominis</x:v>
      </x:c>
      <x:c r="O193" s="24" t="str">
        <x:v>One knee bent, brace, lift head/shoulders a small distance.</x:v>
      </x:c>
      <x:c r="P193" s="24" t="str">
        <x:v>Mat</x:v>
      </x:c>
      <x:c r="Q193" s="24" t="str">
        <x:v>2–3 × 8–12 controlled reps</x:v>
      </x:c>
      <x:c r="R193" s="24" t="str">
        <x:v>Progress gradually; stop with sharp pain, dizziness, or numbness.</x:v>
      </x:c>
      <x:c r="S193" s="24" t="str">
        <x:v>https://www.acsm.org/education-resources/trending-topics-resources/physical-activity-guidelines</x:v>
      </x:c>
      <x:c r="T193" s="24" t="str">
        <x:v>Anatomy-based mapping</x:v>
      </x:c>
    </x:row>
    <x:row r="194" ht="54" customHeight="1">
      <x:c r="A194" s="24" t="str">
        <x:v>EX0241</x:v>
      </x:c>
      <x:c r="B194" s="24" t="str">
        <x:v>Oblique bicycle crunch slow</x:v>
      </x:c>
      <x:c r="C194" s="24" t="str">
        <x:v>Abdomen &amp; Core</x:v>
      </x:c>
      <x:c r="D194" s="24" t="str">
        <x:v>Home</x:v>
      </x:c>
      <x:c r="E194" s="24" t="str">
        <x:v>Compound strength</x:v>
      </x:c>
      <x:c r="F194" s="24" t="str">
        <x:v>External oblique; Internal oblique; Transversus abdominis; Rectus abdominis</x:v>
      </x:c>
      <x:c r="G194" s="24" t="str">
        <x:v>Iliacus; Psoas major; Sartorius; Tensor fasciae latae; Rectus femoris reflected head; Rectus femoris straight head; Pectineus</x:v>
      </x:c>
      <x:c r="H194" s="24" t="str">
        <x:v>—</x:v>
      </x:c>
      <x:c r="I194" s="24" t="str">
        <x:v>—</x:v>
      </x:c>
      <x:c r="J194" s="24" t="str">
        <x:v>External oblique; Internal oblique; Transversus abdominis; Rectus abdominis; Iliacus; Psoas major; Sartorius; Tensor fasciae latae; Rectus femoris reflected head; Rectus femoris straight head; Pectineus</x:v>
      </x:c>
      <x:c r="K194" s="24" t="str">
        <x:v>Atlas-listed tendon/aponeurosis examples: Broad external oblique aponeurosis; Internal oblique aponeurosis; conjoint tendon; Transversus aponeurosis; conjoint tendon; Tendinous intersections and rectus sheath insertion; additional listed attachments</x:v>
      </x:c>
      <x:c r="L194" s="24" t="str">
        <x:v>Thoracolumbar fascia and spinal ligaments contribute passive stability; NOT targeted for stretching</x:v>
      </x:c>
      <x:c r="M194" s="24" t="str">
        <x:v>Muscles: External oblique; Internal oblique; Transversus abdominis; Rectus abdominis; Iliacus; Psoas major; Sartorius; Tensor fasciae latae; Rectus femoris reflected head; Rectus femoris straight head; Pectineus | Tendons/fascia: Atlas-listed tendon/aponeurosis examples: Broad external oblique aponeurosis; Internal oblique aponeurosis; conjoint tendon; Transversus aponeurosis; conjoint tendon; Tendinous intersections and rectus sheath insertion; additional listed attachments | Ligament context only: Thoracolumbar fascia and spinal ligaments contribute passive stability; NOT targeted for stretching</x:v>
      </x:c>
      <x:c r="N194" s="24" t="str">
        <x:v>External oblique; Internal oblique; Transversus abdominis; Rectus abdominis; Iliacus; Psoas major; Sartorius; Tensor fasciae latae; Rectus femoris reflected head; Rectus femoris straight head; Pectineus</x:v>
      </x:c>
      <x:c r="O194" s="24" t="str">
        <x:v>Rotate rib cage gently toward opposite bent knee.</x:v>
      </x:c>
      <x:c r="P194" s="24" t="str">
        <x:v>Mat</x:v>
      </x:c>
      <x:c r="Q194" s="24" t="str">
        <x:v>2–3 × 8–12 controlled reps</x:v>
      </x:c>
      <x:c r="R194" s="24" t="str">
        <x:v>Progress gradually; stop with sharp pain, dizziness, or numbness.</x:v>
      </x:c>
      <x:c r="S194" s="24" t="str">
        <x:v>https://www.acsm.org/education-resources/trending-topics-resources/physical-activity-guidelines</x:v>
      </x:c>
      <x:c r="T194" s="24" t="str">
        <x:v>Anatomy-based mapping</x:v>
      </x:c>
    </x:row>
    <x:row r="195" ht="54" customHeight="1">
      <x:c r="A195" s="24" t="str">
        <x:v>EX0242</x:v>
      </x:c>
      <x:c r="B195" s="24" t="str">
        <x:v>Seated band trunk rotation</x:v>
      </x:c>
      <x:c r="C195" s="24" t="str">
        <x:v>Abdomen &amp; Core</x:v>
      </x:c>
      <x:c r="D195" s="24" t="str">
        <x:v>Home</x:v>
      </x:c>
      <x:c r="E195" s="24" t="str">
        <x:v>Band strength</x:v>
      </x:c>
      <x:c r="F195" s="24" t="str">
        <x:v>External oblique; Internal oblique; Transversus abdominis</x:v>
      </x:c>
      <x:c r="G195" s="24" t="str">
        <x:v>Rectus abdominis</x:v>
      </x:c>
      <x:c r="H195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195" s="24" t="str">
        <x:v>—</x:v>
      </x:c>
      <x:c r="J195" s="24" t="str">
        <x:v>External oblique; Internal oblique; Transversus abdominis; Rectus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195" s="24" t="str">
        <x:v>Atlas-listed tendon/aponeurosis examples: Broad external oblique aponeurosis; Internal oblique aponeurosis; conjoint tendon; Transversus aponeurosis; conjoint tendon; Tendinous intersections and rectus sheath insertion</x:v>
      </x:c>
      <x:c r="L195" s="24" t="str">
        <x:v>Thoracolumbar fascia and spinal ligaments contribute passive stability; NOT targeted for stretching</x:v>
      </x:c>
      <x:c r="M195" s="24" t="str">
        <x:v>Muscles: External oblique; Internal oblique; Transversus abdominis; Rectus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Broad external oblique aponeurosis; Internal oblique aponeurosis; conjoint tendon; Transversus aponeurosis; conjoint tendon; Tendinous intersections and rectus sheath insertion | Ligament context only: Thoracolumbar fascia and spinal ligaments contribute passive stability; NOT targeted for stretching</x:v>
      </x:c>
      <x:c r="N195" s="24" t="str">
        <x:v>External oblique; Internal oblique; Transversus abdominis; Rectus abdominis</x:v>
      </x:c>
      <x:c r="O195" s="24" t="str">
        <x:v>Rotate thorax with band tension while pelvis steady.</x:v>
      </x:c>
      <x:c r="P195" s="24" t="str">
        <x:v>Band; anchor</x:v>
      </x:c>
      <x:c r="Q195" s="24" t="str">
        <x:v>2–3 × 8–12 controlled reps</x:v>
      </x:c>
      <x:c r="R195" s="24" t="str">
        <x:v>Progress gradually; stop with sharp pain, dizziness, or numbness.</x:v>
      </x:c>
      <x:c r="S195" s="24" t="str">
        <x:v>https://www.acsm.org/education-resources/trending-topics-resources/physical-activity-guidelines</x:v>
      </x:c>
      <x:c r="T195" s="24" t="str">
        <x:v>Anatomy-based mapping</x:v>
      </x:c>
    </x:row>
    <x:row r="196" ht="54" customHeight="1">
      <x:c r="A196" s="24" t="str">
        <x:v>EX0243</x:v>
      </x:c>
      <x:c r="B196" s="24" t="str">
        <x:v>Standing Pallof press</x:v>
      </x:c>
      <x:c r="C196" s="24" t="str">
        <x:v>Abdomen &amp; Core</x:v>
      </x:c>
      <x:c r="D196" s="24" t="str">
        <x:v>Home</x:v>
      </x:c>
      <x:c r="E196" s="24" t="str">
        <x:v>Band strength</x:v>
      </x:c>
      <x:c r="F196" s="24" t="str">
        <x:v>External oblique; Internal oblique; Transversus abdominis</x:v>
      </x:c>
      <x:c r="G196" s="24" t="str">
        <x:v>Rectus abdominis</x:v>
      </x:c>
      <x:c r="H196" s="24" t="str">
        <x:v>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196" s="24" t="str">
        <x:v>—</x:v>
      </x:c>
      <x:c r="J196" s="24" t="str">
        <x:v>External oblique; Internal oblique; Transversus abdominis; Rectus abdominis;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196" s="24" t="str">
        <x:v>Atlas-listed tendon/aponeurosis examples: Broad external oblique aponeurosis; Internal oblique aponeurosis; conjoint tendon; Transversus aponeurosis; conjoint tendon; Tendinous intersections and rectus sheath insertion</x:v>
      </x:c>
      <x:c r="L196" s="24" t="str">
        <x:v>Thoracolumbar fascia and spinal ligaments contribute passive stability; NOT targeted for stretching</x:v>
      </x:c>
      <x:c r="M196" s="24" t="str">
        <x:v>Muscles: External oblique; Internal oblique; Transversus abdominis; Rectus abdominis;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Broad external oblique aponeurosis; Internal oblique aponeurosis; conjoint tendon; Transversus aponeurosis; conjoint tendon; Tendinous intersections and rectus sheath insertion | Ligament context only: Thoracolumbar fascia and spinal ligaments contribute passive stability; NOT targeted for stretching</x:v>
      </x:c>
      <x:c r="N196" s="24" t="str">
        <x:v>External oblique; Internal oblique; Transversus abdominis; Rectus abdominis</x:v>
      </x:c>
      <x:c r="O196" s="24" t="str">
        <x:v>Stand side-on to anchor and press band forward resisting rotation.</x:v>
      </x:c>
      <x:c r="P196" s="24" t="str">
        <x:v>Band; secure anchor</x:v>
      </x:c>
      <x:c r="Q196" s="24" t="str">
        <x:v>2–3 × 8–12 controlled reps</x:v>
      </x:c>
      <x:c r="R196" s="24" t="str">
        <x:v>Progress gradually; stop with sharp pain, dizziness, or numbness.</x:v>
      </x:c>
      <x:c r="S196" s="24" t="str">
        <x:v>https://www.acsm.org/education-resources/trending-topics-resources/physical-activity-guidelines</x:v>
      </x:c>
      <x:c r="T196" s="24" t="str">
        <x:v>Anatomy-based mapping</x:v>
      </x:c>
    </x:row>
    <x:row r="197" ht="54" customHeight="1">
      <x:c r="A197" s="24" t="str">
        <x:v>EX0244</x:v>
      </x:c>
      <x:c r="B197" s="24" t="str">
        <x:v>Kneeling Pallof hold</x:v>
      </x:c>
      <x:c r="C197" s="24" t="str">
        <x:v>Abdomen &amp; Core</x:v>
      </x:c>
      <x:c r="D197" s="24" t="str">
        <x:v>Home</x:v>
      </x:c>
      <x:c r="E197" s="24" t="str">
        <x:v>Isometric strength</x:v>
      </x:c>
      <x:c r="F197" s="24" t="str">
        <x:v>External oblique; Internal oblique; Transversus abdominis</x:v>
      </x:c>
      <x:c r="G197" s="24" t="str">
        <x:v>Rectus abdominis</x:v>
      </x:c>
      <x:c r="H197" s="24" t="str">
        <x:v>Gluteus medius; Gluteus minimus; Tensor fasciae latae</x:v>
      </x:c>
      <x:c r="I197" s="24" t="str">
        <x:v>—</x:v>
      </x:c>
      <x:c r="J197" s="24" t="str">
        <x:v>External oblique; Internal oblique; Transversus abdominis; Rectus abdominis; Gluteus medius; Gluteus minimus; Tensor fasciae latae</x:v>
      </x:c>
      <x:c r="K197" s="24" t="str">
        <x:v>Atlas-listed tendon/aponeurosis examples: Broad external oblique aponeurosis; Internal oblique aponeurosis; conjoint tendon; Transversus aponeurosis; conjoint tendon; Tendinous intersections and rectus sheath insertion</x:v>
      </x:c>
      <x:c r="L197" s="24" t="str">
        <x:v>Thoracolumbar fascia and spinal ligaments contribute passive stability; NOT targeted for stretching</x:v>
      </x:c>
      <x:c r="M197" s="24" t="str">
        <x:v>Muscles: External oblique; Internal oblique; Transversus abdominis; Rectus abdominis; Gluteus medius; Gluteus minimus; Tensor fasciae latae | Tendons/fascia: Atlas-listed tendon/aponeurosis examples: Broad external oblique aponeurosis; Internal oblique aponeurosis; conjoint tendon; Transversus aponeurosis; conjoint tendon; Tendinous intersections and rectus sheath insertion | Ligament context only: Thoracolumbar fascia and spinal ligaments contribute passive stability; NOT targeted for stretching</x:v>
      </x:c>
      <x:c r="N197" s="24" t="str">
        <x:v>External oblique; Internal oblique; Transversus abdominis; Rectus abdominis</x:v>
      </x:c>
      <x:c r="O197" s="24" t="str">
        <x:v>Hold band at arm's length while knees/hips remain square.</x:v>
      </x:c>
      <x:c r="P197" s="24" t="str">
        <x:v>Band; anchor</x:v>
      </x:c>
      <x:c r="Q197" s="24" t="str">
        <x:v>2–3 × 8–12 controlled reps</x:v>
      </x:c>
      <x:c r="R197" s="24" t="str">
        <x:v>Progress gradually; stop with sharp pain, dizziness, or numbness.</x:v>
      </x:c>
      <x:c r="S197" s="24" t="str">
        <x:v>https://www.acsm.org/education-resources/trending-topics-resources/physical-activity-guidelines</x:v>
      </x:c>
      <x:c r="T197" s="24" t="str">
        <x:v>Anatomy-based mapping</x:v>
      </x:c>
    </x:row>
    <x:row r="198" ht="54" customHeight="1">
      <x:c r="A198" s="24" t="str">
        <x:v>EX0252</x:v>
      </x:c>
      <x:c r="B198" s="24" t="str">
        <x:v>Abdominal brace with breathing</x:v>
      </x:c>
      <x:c r="C198" s="24" t="str">
        <x:v>Abdomen &amp; Core</x:v>
      </x:c>
      <x:c r="D198" s="24" t="str">
        <x:v>Home</x:v>
      </x:c>
      <x:c r="E198" s="24" t="str">
        <x:v>Motor control</x:v>
      </x:c>
      <x:c r="F198" s="24" t="str">
        <x:v>Transversus abdominis; Internal oblique</x:v>
      </x:c>
      <x:c r="G198" s="24" t="str">
        <x:v>Diaphragm costal part; Diaphragm lumbar part / crura; Diaphragm sternal part</x:v>
      </x:c>
      <x:c r="H198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Pyramidalis</x:v>
      </x:c>
      <x:c r="I198" s="24" t="str">
        <x:v>—</x:v>
      </x:c>
      <x:c r="J198" s="24" t="str">
        <x:v>Transversus abdominis; Internal oblique;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Pyramidalis</x:v>
      </x:c>
      <x:c r="K198" s="24" t="str">
        <x:v>Atlas-listed tendon/aponeurosis examples: Transversus aponeurosis; conjoint tendon; Internal oblique aponeurosis; conjoint tendon; Central tendon; Central tendon; crural tendons</x:v>
      </x:c>
      <x:c r="L198" s="24" t="str">
        <x:v>Thoracolumbar fascia and spinal ligaments contribute passive stability; NOT targeted for stretching</x:v>
      </x:c>
      <x:c r="M198" s="24" t="str">
        <x:v>Muscles: Transversus abdominis; Internal oblique;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Pyramidalis | Tendons/fascia: Atlas-listed tendon/aponeurosis examples: Transversus aponeurosis; conjoint tendon; Internal oblique aponeurosis; conjoint tendon; Central tendon; Central tendon; crural tendons | Ligament context only: Thoracolumbar fascia and spinal ligaments contribute passive stability; NOT targeted for stretching</x:v>
      </x:c>
      <x:c r="N198" s="24" t="str">
        <x:v>Low-load activation, not ordinarily to fatigue: Transversus abdominis; Internal oblique</x:v>
      </x:c>
      <x:c r="O198" s="24" t="str">
        <x:v>Breathe normally while gently engaging abdominal wall without bearing down.</x:v>
      </x:c>
      <x:c r="P198" s="24" t="str">
        <x:v>None</x:v>
      </x:c>
      <x:c r="Q198" s="24" t="str">
        <x:v>1–2 × 5–10 controlled reps</x:v>
      </x:c>
      <x:c r="R198" s="24" t="str">
        <x:v>Progress gradually; stop with sharp pain, dizziness, or numbness.</x:v>
      </x:c>
      <x:c r="S198" s="24" t="str">
        <x:v>https://www.acsm.org/education-resources/trending-topics-resources/physical-activity-guidelines</x:v>
      </x:c>
      <x:c r="T198" s="24" t="str">
        <x:v>Anatomy-based mapping</x:v>
      </x:c>
    </x:row>
    <x:row r="199" ht="54" customHeight="1">
      <x:c r="A199" s="24" t="str">
        <x:v>EX0253</x:v>
      </x:c>
      <x:c r="B199" s="24" t="str">
        <x:v>Supine abdominal drawing-in</x:v>
      </x:c>
      <x:c r="C199" s="24" t="str">
        <x:v>Abdomen &amp; Core</x:v>
      </x:c>
      <x:c r="D199" s="24" t="str">
        <x:v>Home</x:v>
      </x:c>
      <x:c r="E199" s="24" t="str">
        <x:v>Motor control</x:v>
      </x:c>
      <x:c r="F199" s="24" t="str">
        <x:v>Transversus abdominis</x:v>
      </x:c>
      <x:c r="G199" s="24" t="str">
        <x:v>Internal oblique</x:v>
      </x:c>
      <x:c r="H199" s="24" t="str">
        <x:v>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Pyramidalis</x:v>
      </x:c>
      <x:c r="I199" s="24" t="str">
        <x:v>—</x:v>
      </x:c>
      <x:c r="J199" s="24" t="str">
        <x:v>Transversus abdominis; Internal oblique;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Pyramidalis</x:v>
      </x:c>
      <x:c r="K199" s="24" t="str">
        <x:v>Atlas-listed tendon/aponeurosis examples: Transversus aponeurosis; conjoint tendon; Internal oblique aponeurosis; conjoint tendon</x:v>
      </x:c>
      <x:c r="L199" s="24" t="str">
        <x:v>Thoracolumbar fascia and spinal ligaments contribute passive stability; NOT targeted for stretching</x:v>
      </x:c>
      <x:c r="M199" s="24" t="str">
        <x:v>Muscles: Transversus abdominis; Internal oblique;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Pyramidalis | Tendons/fascia: Atlas-listed tendon/aponeurosis examples: Transversus aponeurosis; conjoint tendon; Internal oblique aponeurosis; conjoint tendon | Ligament context only: Thoracolumbar fascia and spinal ligaments contribute passive stability; NOT targeted for stretching</x:v>
      </x:c>
      <x:c r="N199" s="24" t="str">
        <x:v>Low-load activation, not ordinarily to fatigue: Transversus abdominis</x:v>
      </x:c>
      <x:c r="O199" s="24" t="str">
        <x:v>Gently narrow lower abdomen without holding breath or flattening forcefully.</x:v>
      </x:c>
      <x:c r="P199" s="24" t="str">
        <x:v>Mat</x:v>
      </x:c>
      <x:c r="Q199" s="24" t="str">
        <x:v>1–2 × 5–10 controlled reps</x:v>
      </x:c>
      <x:c r="R199" s="24" t="str">
        <x:v>Progress gradually; stop with sharp pain, dizziness, or numbness.</x:v>
      </x:c>
      <x:c r="S199" s="24" t="str">
        <x:v>https://www.acsm.org/education-resources/trending-topics-resources/physical-activity-guidelines</x:v>
      </x:c>
      <x:c r="T199" s="24" t="str">
        <x:v>Anatomy-based mapping</x:v>
      </x:c>
    </x:row>
    <x:row r="200" ht="54" customHeight="1">
      <x:c r="A200" s="24" t="str">
        <x:v>EX0254</x:v>
      </x:c>
      <x:c r="B200" s="24" t="str">
        <x:v>Standing abdominal wall stretch</x:v>
      </x:c>
      <x:c r="C200" s="24" t="str">
        <x:v>Abdomen &amp; Core</x:v>
      </x:c>
      <x:c r="D200" s="24" t="str">
        <x:v>Home</x:v>
      </x:c>
      <x:c r="E200" s="24" t="str">
        <x:v>Active stretch</x:v>
      </x:c>
      <x:c r="F200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G200" s="24" t="str">
        <x:v>—</x:v>
      </x:c>
      <x:c r="H200" s="24" t="str">
        <x:v>—</x:v>
      </x:c>
      <x:c r="I200" s="24" t="str">
        <x:v>Rectus abdominis; External oblique; Internal oblique</x:v>
      </x:c>
      <x:c r="J200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</x:v>
      </x:c>
      <x:c r="K200" s="24" t="str">
        <x:v>Atlas-listed tendon/aponeurosis examples: Costal-to-cervical tendons; Common erector spinae aponeurosis; rib slips; Long costal fascicular tendons; Mastoid insertion tendon; additional listed attachments</x:v>
      </x:c>
      <x:c r="L200" s="24" t="str">
        <x:v>Thoracolumbar fascia and spinal ligaments contribute passive stability; NOT targeted for stretching</x:v>
      </x:c>
      <x:c r="M200" s="24" t="str">
        <x:v>Muscles: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 | Tendons/fascia: Atlas-listed tendon/aponeurosis examples: Costal-to-cervical tendons; Common erector spinae aponeurosis; rib slips; Long costal fascicular tendons; Mastoid insertion tendon; additional listed attachments | Ligament context only: Thoracolumbar fascia and spinal ligaments contribute passive stability; NOT targeted for stretching</x:v>
      </x:c>
      <x:c r="N200" s="24" t="str">
        <x:v>Usually none expected (stretch, mobility or relaxation; any active movers are low-load)</x:v>
      </x:c>
      <x:c r="O200" s="24" t="str">
        <x:v>Reach arms overhead and extend thorax slightly without lumbar hinge.</x:v>
      </x:c>
      <x:c r="P200" s="24" t="str">
        <x:v>None</x:v>
      </x:c>
      <x:c r="Q200" s="24" t="str">
        <x:v>2–3 × 8–12 controlled reps</x:v>
      </x:c>
      <x:c r="R200" s="24" t="str">
        <x:v>Progress gradually; stop with sharp pain, dizziness, or numbness.</x:v>
      </x:c>
      <x:c r="S200" s="24" t="str">
        <x:v>https://www.acsm.org/education-resources/trending-topics-resources/physical-activity-guidelines</x:v>
      </x:c>
      <x:c r="T200" s="24" t="str">
        <x:v>Anatomy-based mapping</x:v>
      </x:c>
    </x:row>
    <x:row r="201" ht="54" customHeight="1">
      <x:c r="A201" s="24" t="str">
        <x:v>EX0255</x:v>
      </x:c>
      <x:c r="B201" s="24" t="str">
        <x:v>Sphinx pose chest/abdominal stretch</x:v>
      </x:c>
      <x:c r="C201" s="24" t="str">
        <x:v>Abdomen &amp; Core</x:v>
      </x:c>
      <x:c r="D201" s="24" t="str">
        <x:v>Home</x:v>
      </x:c>
      <x:c r="E201" s="24" t="str">
        <x:v>Passive stretch</x:v>
      </x:c>
      <x:c r="F201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G201" s="24" t="str">
        <x:v>—</x:v>
      </x:c>
      <x:c r="H201" s="24" t="str">
        <x:v>—</x:v>
      </x:c>
      <x:c r="I201" s="24" t="str">
        <x:v>Rectus abdominis; External oblique; Pyramidalis</x:v>
      </x:c>
      <x:c r="J201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Pyramidalis</x:v>
      </x:c>
      <x:c r="K201" s="24" t="str">
        <x:v>Atlas-listed tendon/aponeurosis examples: Costal-to-cervical tendons; Common erector spinae aponeurosis; rib slips; Long costal fascicular tendons; Mastoid insertion tendon; additional listed attachments</x:v>
      </x:c>
      <x:c r="L201" s="24" t="str">
        <x:v>Thoracolumbar fascia and spinal ligaments contribute passive stability; NOT targeted for stretching</x:v>
      </x:c>
      <x:c r="M201" s="24" t="str">
        <x:v>Muscles: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Pyramidalis | Tendons/fascia: Atlas-listed tendon/aponeurosis examples: Costal-to-cervical tendons; Common erector spinae aponeurosis; rib slips; Long costal fascicular tendons; Mastoid insertion tendon; additional listed attachments | Ligament context only: Thoracolumbar fascia and spinal ligaments contribute passive stability; NOT targeted for stretching</x:v>
      </x:c>
      <x:c r="N201" s="24" t="str">
        <x:v>Usually none expected (stretch, mobility or relaxation; any active movers are low-load)</x:v>
      </x:c>
      <x:c r="O201" s="24" t="str">
        <x:v>Prone on forearms, lift chest just enough to feel gentle front abdominal length.</x:v>
      </x:c>
      <x:c r="P201" s="24" t="str">
        <x:v>Mat</x:v>
      </x:c>
      <x:c r="Q201" s="24" t="str">
        <x:v>2–3 × 8–12 controlled reps</x:v>
      </x:c>
      <x:c r="R201" s="24" t="str">
        <x:v>Progress gradually; stop with sharp pain, dizziness, or numbness.</x:v>
      </x:c>
      <x:c r="S201" s="24" t="str">
        <x:v>https://www.acsm.org/education-resources/trending-topics-resources/physical-activity-guidelines</x:v>
      </x:c>
      <x:c r="T201" s="24" t="str">
        <x:v>Anatomy-based mapping</x:v>
      </x:c>
    </x:row>
    <x:row r="202" ht="54" customHeight="1">
      <x:c r="A202" s="24" t="str">
        <x:v>EX0256</x:v>
      </x:c>
      <x:c r="B202" s="24" t="str">
        <x:v>Standing side bend stretch</x:v>
      </x:c>
      <x:c r="C202" s="24" t="str">
        <x:v>Abdomen &amp; Core</x:v>
      </x:c>
      <x:c r="D202" s="24" t="str">
        <x:v>Home</x:v>
      </x:c>
      <x:c r="E202" s="24" t="str">
        <x:v>Active stretch</x:v>
      </x:c>
      <x:c r="F202" s="24" t="str">
        <x:v>External oblique; Internal oblique; Transversus abdominis; Quadratus lumborum</x:v>
      </x:c>
      <x:c r="G202" s="24" t="str">
        <x:v>—</x:v>
      </x:c>
      <x:c r="H202" s="24" t="str">
        <x:v>—</x:v>
      </x:c>
      <x:c r="I202" s="24" t="str">
        <x:v>Quadratus lumborum; External oblique; Internal oblique</x:v>
      </x:c>
      <x:c r="J202" s="24" t="str">
        <x:v>External oblique; Internal oblique; Transversus abdominis; Quadratus lumborum</x:v>
      </x:c>
      <x:c r="K202" s="24" t="str">
        <x:v>Atlas-listed tendon/aponeurosis examples: Broad external oblique aponeurosis; Internal oblique aponeurosis; conjoint tendon; Transversus aponeurosis; conjoint tendon; Short aponeuroses to lumbar transverse processes</x:v>
      </x:c>
      <x:c r="L202" s="24" t="str">
        <x:v>Thoracolumbar fascia and spinal ligaments contribute passive stability; NOT targeted for stretching</x:v>
      </x:c>
      <x:c r="M202" s="24" t="str">
        <x:v>Muscles: External oblique; Internal oblique; Transversus abdominis; Quadratus lumborum | Tendons/fascia: Atlas-listed tendon/aponeurosis examples: Broad external oblique aponeurosis; Internal oblique aponeurosis; conjoint tendon; Transversus aponeurosis; conjoint tendon; Short aponeuroses to lumbar transverse processes | Ligament context only: Thoracolumbar fascia and spinal ligaments contribute passive stability; NOT targeted for stretching</x:v>
      </x:c>
      <x:c r="N202" s="24" t="str">
        <x:v>Usually none expected (stretch, mobility or relaxation; any active movers are low-load)</x:v>
      </x:c>
      <x:c r="O202" s="24" t="str">
        <x:v>Reach one arm overhead and lean away slightly without twisting.</x:v>
      </x:c>
      <x:c r="P202" s="24" t="str">
        <x:v>None</x:v>
      </x:c>
      <x:c r="Q202" s="24" t="str">
        <x:v>2–3 × 8–12 controlled reps</x:v>
      </x:c>
      <x:c r="R202" s="24" t="str">
        <x:v>Progress gradually; stop with sharp pain, dizziness, or numbness.</x:v>
      </x:c>
      <x:c r="S202" s="24" t="str">
        <x:v>https://www.acsm.org/education-resources/trending-topics-resources/physical-activity-guidelines</x:v>
      </x:c>
      <x:c r="T202" s="24" t="str">
        <x:v>Anatomy-based mapping</x:v>
      </x:c>
    </x:row>
    <x:row r="203" ht="54" customHeight="1">
      <x:c r="A203" s="24" t="str">
        <x:v>EX0257</x:v>
      </x:c>
      <x:c r="B203" s="24" t="str">
        <x:v>Supine trunk rotation stretch</x:v>
      </x:c>
      <x:c r="C203" s="24" t="str">
        <x:v>Abdomen &amp; Core</x:v>
      </x:c>
      <x:c r="D203" s="24" t="str">
        <x:v>Home</x:v>
      </x:c>
      <x:c r="E203" s="24" t="str">
        <x:v>Passive stretch</x:v>
      </x:c>
      <x:c r="F203" s="24" t="str">
        <x:v>—</x:v>
      </x:c>
      <x:c r="G203" s="24" t="str">
        <x:v>—</x:v>
      </x:c>
      <x:c r="H203" s="24" t="str">
        <x:v>—</x:v>
      </x:c>
      <x:c r="I203" s="24" t="str">
        <x:v>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J203" s="24" t="str">
        <x:v>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203" s="24" t="str">
        <x:v>Thoracolumbar fascia; oblique aponeuroses</x:v>
      </x:c>
      <x:c r="L203" s="24" t="str">
        <x:v>Thoracolumbar fascia and spinal ligaments contribute passive stability; NOT targeted for stretching</x:v>
      </x:c>
      <x:c r="M203" s="24" t="str">
        <x:v>Muscles: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Thoracolumbar fascia; oblique aponeuroses | Ligament context only: Thoracolumbar fascia and spinal ligaments contribute passive stability; NOT targeted for stretching</x:v>
      </x:c>
      <x:c r="N203" s="24" t="str">
        <x:v>Usually none expected (stretch, mobility or relaxation; any active movers are low-load)</x:v>
      </x:c>
      <x:c r="O203" s="24" t="str">
        <x:v>With knees bent, rotate gently toward floor while shoulders stay relaxed.</x:v>
      </x:c>
      <x:c r="P203" s="24" t="str">
        <x:v>Mat</x:v>
      </x:c>
      <x:c r="Q203" s="24" t="str">
        <x:v>2–3 × 8–12 controlled reps</x:v>
      </x:c>
      <x:c r="R203" s="24" t="str">
        <x:v>Progress gradually; stop with sharp pain, dizziness, or numbness.</x:v>
      </x:c>
      <x:c r="S203" s="24" t="str">
        <x:v>https://www.acsm.org/education-resources/trending-topics-resources/physical-activity-guidelines</x:v>
      </x:c>
      <x:c r="T203" s="24" t="str">
        <x:v>Anatomy-based mapping</x:v>
      </x:c>
    </x:row>
    <x:row r="204" ht="54" customHeight="1">
      <x:c r="A204" s="24" t="str">
        <x:v>EX0258</x:v>
      </x:c>
      <x:c r="B204" s="24" t="str">
        <x:v>Bird dog</x:v>
      </x:c>
      <x:c r="C204" s="24" t="str">
        <x:v>Back &amp; Spine</x:v>
      </x:c>
      <x:c r="D204" s="24" t="str">
        <x:v>Home</x:v>
      </x:c>
      <x:c r="E204" s="24" t="str">
        <x:v>Motor control</x:v>
      </x:c>
      <x:c r="F204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</x:v>
      </x:c>
      <x:c r="G204" s="24" t="str">
        <x:v>Rectus abdominis; External oblique; Internal oblique; Transversus abdominis</x:v>
      </x:c>
      <x:c r="H204" s="24" t="str">
        <x:v>Serratus anterior; Pectoralis minor; Gluteus medius; Gluteus minimus; Tensor fasciae latae</x:v>
      </x:c>
      <x:c r="I204" s="24" t="str">
        <x:v>—</x:v>
      </x:c>
      <x:c r="J204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maximus; Rectus abdominis; External oblique; Internal oblique; Transversus abdominis; Serratus anterior; Pectoralis minor; Gluteus medius; Gluteus minimus; Tensor fasciae latae</x:v>
      </x:c>
      <x:c r="K204" s="24" t="str">
        <x:v>Thoracolumbar fascia; multifidus fascial attachments</x:v>
      </x:c>
      <x:c r="L204" s="24" t="str">
        <x:v>Interspinous/supraspinous ligaments and ligamenta flava limit end-range motion; NOT intentionally stretched</x:v>
      </x:c>
      <x:c r="M204" s="24" t="str">
        <x:v>Muscles: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maximus; Rectus abdominis; External oblique; Internal oblique; Transversus abdominis; Serratus anterior; Pectoralis minor; Gluteus medius; Gluteus minimus; Tensor fasciae latae | Tendons/fascia: Thoracolumbar fascia; multifidus fascial attachments | Ligament context only: Interspinous/supraspinous ligaments and ligamenta flava limit end-range motion; NOT intentionally stretched</x:v>
      </x:c>
      <x:c r="N204" s="24" t="str">
        <x:v>Low-load activation, not ordinarily to fatigue: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</x:v>
      </x:c>
      <x:c r="O204" s="24" t="str">
        <x:v>From all fours reach opposite arm/leg while spine and pelvis stay quiet.</x:v>
      </x:c>
      <x:c r="P204" s="24" t="str">
        <x:v>Mat</x:v>
      </x:c>
      <x:c r="Q204" s="24" t="str">
        <x:v>1–2 × 5–10 controlled reps</x:v>
      </x:c>
      <x:c r="R204" s="24" t="str">
        <x:v>Progress gradually; stop with sharp pain, dizziness, or numbness.</x:v>
      </x:c>
      <x:c r="S204" s="24" t="str">
        <x:v>https://orthoinfo.aaos.org/globalassets/pdfs/spine-conditioning-program.pdf</x:v>
      </x:c>
      <x:c r="T204" s="24" t="str">
        <x:v>Anatomy-based mapping</x:v>
      </x:c>
    </x:row>
    <x:row r="205" ht="54" customHeight="1">
      <x:c r="A205" s="24" t="str">
        <x:v>EX0259</x:v>
      </x:c>
      <x:c r="B205" s="24" t="str">
        <x:v>Quadruped single-leg extension</x:v>
      </x:c>
      <x:c r="C205" s="24" t="str">
        <x:v>Back &amp; Spine</x:v>
      </x:c>
      <x:c r="D205" s="24" t="str">
        <x:v>Home</x:v>
      </x:c>
      <x:c r="E205" s="24" t="str">
        <x:v>Motor control</x:v>
      </x:c>
      <x:c r="F205" s="24" t="str">
        <x:v>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G205" s="24" t="str">
        <x:v>—</x:v>
      </x:c>
      <x:c r="H205" s="24" t="str">
        <x:v>Rectus abdominis; External oblique; Internal oblique; Transversus abdominis</x:v>
      </x:c>
      <x:c r="I205" s="24" t="str">
        <x:v>—</x:v>
      </x:c>
      <x:c r="J205" s="24" t="str">
        <x:v>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205" s="24" t="str">
        <x:v>Atlas-listed tendon/aponeurosis examples: Iliotibial tract aponeurosis and gluteal tendon; Costal-to-cervical tendons; Common erector spinae aponeurosis; rib slips; Long costal fascicular tendons; additional listed attachments</x:v>
      </x:c>
      <x:c r="L205" s="24" t="str">
        <x:v>Interspinous/supraspinous ligaments and ligamenta flava limit end-range motion; NOT intentionally stretched</x:v>
      </x:c>
      <x:c r="M205" s="24" t="str">
        <x:v>Muscles: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Atlas-listed tendon/aponeurosis examples: Iliotibial tract aponeurosis and gluteal tendon; Costal-to-cervical tendons; Common erector spinae aponeurosis; rib slips; Long costal fascicular tendons; additional listed attachments | Ligament context only: Interspinous/supraspinous ligaments and ligamenta flava limit end-range motion; NOT intentionally stretched</x:v>
      </x:c>
      <x:c r="N205" s="24" t="str">
        <x:v>Low-load activation, not ordinarily to fatigue: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O205" s="24" t="str">
        <x:v>On all fours extend one hip without extending lumbar spine.</x:v>
      </x:c>
      <x:c r="P205" s="24" t="str">
        <x:v>Mat</x:v>
      </x:c>
      <x:c r="Q205" s="24" t="str">
        <x:v>1–2 × 5–10 controlled reps</x:v>
      </x:c>
      <x:c r="R205" s="24" t="str">
        <x:v>Progress gradually; stop with sharp pain, dizziness, or numbness.</x:v>
      </x:c>
      <x:c r="S205" s="24" t="str">
        <x:v>https://orthoinfo.aaos.org/globalassets/pdfs/spine-conditioning-program.pdf</x:v>
      </x:c>
      <x:c r="T205" s="24" t="str">
        <x:v>Anatomy-based mapping</x:v>
      </x:c>
    </x:row>
    <x:row r="206" ht="54" customHeight="1">
      <x:c r="A206" s="24" t="str">
        <x:v>EX0260</x:v>
      </x:c>
      <x:c r="B206" s="24" t="str">
        <x:v>Prone back extension (small lift)</x:v>
      </x:c>
      <x:c r="C206" s="24" t="str">
        <x:v>Back &amp; Spine</x:v>
      </x:c>
      <x:c r="D206" s="24" t="str">
        <x:v>Home</x:v>
      </x:c>
      <x:c r="E206" s="24" t="str">
        <x:v>Isolation strength</x:v>
      </x:c>
      <x:c r="F206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G206" s="24" t="str">
        <x:v>Gluteus maximus</x:v>
      </x:c>
      <x:c r="H206" s="24" t="str">
        <x:v>Rectus abdominis; External oblique; Internal oblique; Transversus abdominis</x:v>
      </x:c>
      <x:c r="I206" s="24" t="str">
        <x:v>—</x:v>
      </x:c>
      <x:c r="J206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maximus; Rectus abdominis; External oblique; Internal oblique; Transversus abdominis</x:v>
      </x:c>
      <x:c r="K206" s="24" t="str">
        <x:v>Thoracolumbar fascia; erector spinae aponeurosis</x:v>
      </x:c>
      <x:c r="L206" s="24" t="str">
        <x:v>Interspinous/supraspinous ligaments and ligamenta flava limit end-range motion; NOT intentionally stretched</x:v>
      </x:c>
      <x:c r="M206" s="24" t="str">
        <x:v>Muscles: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maximus; Rectus abdominis; External oblique; Internal oblique; Transversus abdominis | Tendons/fascia: Thoracolumbar fascia; erector spinae aponeurosis | Ligament context only: Interspinous/supraspinous ligaments and ligamenta flava limit end-range motion; NOT intentionally stretched</x:v>
      </x:c>
      <x:c r="N206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</x:v>
      </x:c>
      <x:c r="O206" s="24" t="str">
        <x:v>Lying prone, lift chest a few centimeters while neck stays long.</x:v>
      </x:c>
      <x:c r="P206" s="24" t="str">
        <x:v>Mat</x:v>
      </x:c>
      <x:c r="Q206" s="24" t="str">
        <x:v>2–3 × 8–12 controlled reps</x:v>
      </x:c>
      <x:c r="R206" s="24" t="str">
        <x:v>Progress gradually; stop with sharp pain, dizziness, or numbness.</x:v>
      </x:c>
      <x:c r="S206" s="24" t="str">
        <x:v>https://orthoinfo.aaos.org/globalassets/pdfs/spine-conditioning-program.pdf</x:v>
      </x:c>
      <x:c r="T206" s="24" t="str">
        <x:v>Anatomy-based mapping</x:v>
      </x:c>
    </x:row>
    <x:row r="207" ht="54" customHeight="1">
      <x:c r="A207" s="24" t="str">
        <x:v>EX0261</x:v>
      </x:c>
      <x:c r="B207" s="24" t="str">
        <x:v>Superman alternating arms only</x:v>
      </x:c>
      <x:c r="C207" s="24" t="str">
        <x:v>Back &amp; Spine</x:v>
      </x:c>
      <x:c r="D207" s="24" t="str">
        <x:v>Home</x:v>
      </x:c>
      <x:c r="E207" s="24" t="str">
        <x:v>Isometric strength</x:v>
      </x:c>
      <x:c r="F207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G207" s="24" t="str">
        <x:v>Rhomboid major; Rhomboid minor; Trapezius</x:v>
      </x:c>
      <x:c r="H207" s="24" t="str">
        <x:v>Gluteus medius; Gluteus minimus; Tensor fasciae latae</x:v>
      </x:c>
      <x:c r="I207" s="24" t="str">
        <x:v>—</x:v>
      </x:c>
      <x:c r="J207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Rhomboid major; Rhomboid minor; Trapezius; Gluteus medius; Gluteus minimus; Tensor fasciae latae</x:v>
      </x:c>
      <x:c r="K207" s="24" t="str">
        <x:v>Atlas-listed tendon/aponeurosis examples: Costal-to-cervical tendons; Common erector spinae aponeurosis; rib slips; Long costal fascicular tendons; Mastoid insertion tendon; additional listed attachments</x:v>
      </x:c>
      <x:c r="L207" s="24" t="str">
        <x:v>Interspinous/supraspinous ligaments and ligamenta flava limit end-range motion; NOT intentionally stretched</x:v>
      </x:c>
      <x:c r="M207" s="24" t="str">
        <x:v>Muscles: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Rhomboid major; Rhomboid minor; Trapezius; Gluteus medius; Gluteus minimus; Tensor fasciae latae | Tendons/fascia: Atlas-listed tendon/aponeurosis examples: Costal-to-cervical tendons; Common erector spinae aponeurosis; rib slips; Long costal fascicular tendons; Mastoid insertion tendon; additional listed attachments | Ligament context only: Interspinous/supraspinous ligaments and ligamenta flava limit end-range motion; NOT intentionally stretched</x:v>
      </x:c>
      <x:c r="N207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Rhomboid major; Rhomboid minor; Trapezius</x:v>
      </x:c>
      <x:c r="O207" s="24" t="str">
        <x:v>Prone, lift one arm and opposite leg a little without high lumbar arch.</x:v>
      </x:c>
      <x:c r="P207" s="24" t="str">
        <x:v>Mat</x:v>
      </x:c>
      <x:c r="Q207" s="24" t="str">
        <x:v>2–3 × 8–12 controlled reps</x:v>
      </x:c>
      <x:c r="R207" s="24" t="str">
        <x:v>Avoid with painful lumbar extension or spinal instability.</x:v>
      </x:c>
      <x:c r="S207" s="24" t="str">
        <x:v>https://orthoinfo.aaos.org/globalassets/pdfs/spine-conditioning-program.pdf</x:v>
      </x:c>
      <x:c r="T207" s="24" t="str">
        <x:v>Anatomy-based mapping</x:v>
      </x:c>
    </x:row>
    <x:row r="208" ht="54" customHeight="1">
      <x:c r="A208" s="24" t="str">
        <x:v>EX0262</x:v>
      </x:c>
      <x:c r="B208" s="24" t="str">
        <x:v>Seated band row</x:v>
      </x:c>
      <x:c r="C208" s="24" t="str">
        <x:v>Back &amp; Spine</x:v>
      </x:c>
      <x:c r="D208" s="24" t="str">
        <x:v>Home</x:v>
      </x:c>
      <x:c r="E208" s="24" t="str">
        <x:v>Band strength</x:v>
      </x:c>
      <x:c r="F208" s="24" t="str">
        <x:v>Latissimus dorsi; Teres major; Trapezius; Rhomboid major; Rhomboid minor</x:v>
      </x:c>
      <x:c r="G208" s="24" t="str">
        <x:v>Biceps brachii long head; Biceps brachii short head; Brachialis; Brachioradialis</x:v>
      </x:c>
      <x:c r="H208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abdominis; Infraspinatus; Subscapularis; Supraspinatus; Teres minor</x:v>
      </x:c>
      <x:c r="I208" s="24" t="str">
        <x:v>—</x:v>
      </x:c>
      <x:c r="J208" s="24" t="str">
        <x:v>Latissimus dorsi; Teres major; Trapezius; Rhomboid major; Rhomboid minor; Biceps brachii long head; Biceps brachii short head; Brachialis; Brachioradialis;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abdominis; Infraspinatus; Subscapularis; Supraspinatus; Teres minor</x:v>
      </x:c>
      <x:c r="K208" s="24" t="str">
        <x:v>Atlas-listed tendon/aponeurosis examples: Flattened latissimus dorsi tendon; Teres major insertion tendon; Broad aponeuroses and scapular/clavicular tendinous insertions; Fibrous scapular insertion; additional listed attachments</x:v>
      </x:c>
      <x:c r="L208" s="24" t="str">
        <x:v>Interspinous/supraspinous ligaments and ligamenta flava limit end-range motion; NOT intentionally stretched</x:v>
      </x:c>
      <x:c r="M208" s="24" t="str">
        <x:v>Muscles: Latissimus dorsi; Teres major; Trapezius; Rhomboid major; Rhomboid minor; Biceps brachii long head; Biceps brachii short head; Brachialis; Brachioradialis;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abdominis; Infraspinatus; Subscapularis; Supraspinatus; Teres minor | Tendons/fascia: Atlas-listed tendon/aponeurosis examples: Flattened latissimus dorsi tendon; Teres major insertion tendon; Broad aponeuroses and scapular/clavicular tendinous insertions; Fibrous scapular insertion; additional listed attachments | Ligament context only: Interspinous/supraspinous ligaments and ligamenta flava limit end-range motion; NOT intentionally stretched</x:v>
      </x:c>
      <x:c r="N208" s="24" t="str">
        <x:v>Latissimus dorsi; Teres major; Trapezius; Rhomboid major; Rhomboid minor; Biceps brachii long head; Biceps brachii short head; Brachialis; Brachioradialis</x:v>
      </x:c>
      <x:c r="O208" s="24" t="str">
        <x:v>Band wrapped around secure support; pull elbows back, shoulder blades glide.</x:v>
      </x:c>
      <x:c r="P208" s="24" t="str">
        <x:v>Band; secure anchor</x:v>
      </x:c>
      <x:c r="Q208" s="24" t="str">
        <x:v>2–3 × 8–12 controlled reps</x:v>
      </x:c>
      <x:c r="R208" s="24" t="str">
        <x:v>Progress gradually; stop with sharp pain, dizziness, or numbness.</x:v>
      </x:c>
      <x:c r="S208" s="24" t="str">
        <x:v>https://orthoinfo.aaos.org/globalassets/pdfs/spine-conditioning-program.pdf</x:v>
      </x:c>
      <x:c r="T208" s="24" t="str">
        <x:v>Anatomy-based mapping</x:v>
      </x:c>
    </x:row>
    <x:row r="209" ht="54" customHeight="1">
      <x:c r="A209" s="24" t="str">
        <x:v>EX0263</x:v>
      </x:c>
      <x:c r="B209" s="24" t="str">
        <x:v>Standing band row</x:v>
      </x:c>
      <x:c r="C209" s="24" t="str">
        <x:v>Back &amp; Spine</x:v>
      </x:c>
      <x:c r="D209" s="24" t="str">
        <x:v>Home</x:v>
      </x:c>
      <x:c r="E209" s="24" t="str">
        <x:v>Band strength</x:v>
      </x:c>
      <x:c r="F209" s="24" t="str">
        <x:v>Latissimus dorsi; Teres major; Trapezius; Rhomboid major; Rhomboid minor</x:v>
      </x:c>
      <x:c r="G209" s="24" t="str">
        <x:v>Biceps brachii long head; Biceps brachii short head</x:v>
      </x:c>
      <x:c r="H209" s="24" t="str">
        <x:v>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209" s="24" t="str">
        <x:v>—</x:v>
      </x:c>
      <x:c r="J209" s="24" t="str">
        <x:v>Latissimus dorsi; Teres major; Trapezius; Rhomboid major; Rhomboid minor; Biceps brachii long head; Biceps brachii short head;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209" s="24" t="str">
        <x:v>Atlas-listed tendon/aponeurosis examples: Flattened latissimus dorsi tendon; Teres major insertion tendon; Broad aponeuroses and scapular/clavicular tendinous insertions; Fibrous scapular insertion; additional listed attachments</x:v>
      </x:c>
      <x:c r="L209" s="24" t="str">
        <x:v>Interspinous/supraspinous ligaments and ligamenta flava limit end-range motion; NOT intentionally stretched</x:v>
      </x:c>
      <x:c r="M209" s="24" t="str">
        <x:v>Muscles: Latissimus dorsi; Teres major; Trapezius; Rhomboid major; Rhomboid minor; Biceps brachii long head; Biceps brachii short head;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Flattened latissimus dorsi tendon; Teres major insertion tendon; Broad aponeuroses and scapular/clavicular tendinous insertions; Fibrous scapular insertion; additional listed attachments | Ligament context only: Interspinous/supraspinous ligaments and ligamenta flava limit end-range motion; NOT intentionally stretched</x:v>
      </x:c>
      <x:c r="N209" s="24" t="str">
        <x:v>Latissimus dorsi; Teres major; Trapezius; Rhomboid major; Rhomboid minor; Biceps brachii long head; Biceps brachii short head</x:v>
      </x:c>
      <x:c r="O209" s="24" t="str">
        <x:v>Pull anchored band to lower ribs with shoulders down.</x:v>
      </x:c>
      <x:c r="P209" s="24" t="str">
        <x:v>Band; secure anchor</x:v>
      </x:c>
      <x:c r="Q209" s="24" t="str">
        <x:v>2–3 × 8–12 controlled reps</x:v>
      </x:c>
      <x:c r="R209" s="24" t="str">
        <x:v>Progress gradually; stop with sharp pain, dizziness, or numbness.</x:v>
      </x:c>
      <x:c r="S209" s="24" t="str">
        <x:v>https://orthoinfo.aaos.org/globalassets/pdfs/spine-conditioning-program.pdf</x:v>
      </x:c>
      <x:c r="T209" s="24" t="str">
        <x:v>Anatomy-based mapping</x:v>
      </x:c>
    </x:row>
    <x:row r="210" ht="54" customHeight="1">
      <x:c r="A210" s="24" t="str">
        <x:v>EX0264</x:v>
      </x:c>
      <x:c r="B210" s="24" t="str">
        <x:v>Inverted row at secured bar</x:v>
      </x:c>
      <x:c r="C210" s="24" t="str">
        <x:v>Back &amp; Spine</x:v>
      </x:c>
      <x:c r="D210" s="24" t="str">
        <x:v>Home</x:v>
      </x:c>
      <x:c r="E210" s="24" t="str">
        <x:v>Compound strength</x:v>
      </x:c>
      <x:c r="F210" s="24" t="str">
        <x:v>Latissimus dorsi; Teres major; Trapezius; Rhomboid major; Rhomboid minor</x:v>
      </x:c>
      <x:c r="G210" s="24" t="str">
        <x:v>Biceps brachii long head; Biceps brachii short head; Brachialis; Brachioradialis</x:v>
      </x:c>
      <x:c r="H210" s="24" t="str">
        <x:v>Rectus abdominis; External oblique; Internal oblique; Transversus abdominis; Infraspinatus; Subscapularis; Supraspinatus; Teres minor; Gluteus maximus; Gluteus medius; Gluteus minimus</x:v>
      </x:c>
      <x:c r="I210" s="24" t="str">
        <x:v>—</x:v>
      </x:c>
      <x:c r="J210" s="24" t="str">
        <x:v>Latissimus dorsi; Teres major; Trapezius; Rhomboid major; Rhomboid minor; Biceps brachii long head; Biceps brachii short head; Brachialis; Brachioradialis; Rectus abdominis; External oblique; Internal oblique; Transversus abdominis; Infraspinatus; Subscapularis; Supraspinatus; Teres minor; Gluteus maximus; Gluteus medius; Gluteus minimus</x:v>
      </x:c>
      <x:c r="K210" s="24" t="str">
        <x:v>Atlas-listed tendon/aponeurosis examples: Flattened latissimus dorsi tendon; Teres major insertion tendon; Broad aponeuroses and scapular/clavicular tendinous insertions; Fibrous scapular insertion; additional listed attachments</x:v>
      </x:c>
      <x:c r="L210" s="24" t="str">
        <x:v>Interspinous/supraspinous ligaments and ligamenta flava limit end-range motion; NOT intentionally stretched</x:v>
      </x:c>
      <x:c r="M210" s="24" t="str">
        <x:v>Muscles: Latissimus dorsi; Teres major; Trapezius; Rhomboid major; Rhomboid minor; Biceps brachii long head; Biceps brachii short head; Brachialis; Brachioradialis; Rectus abdominis; External oblique; Internal oblique; Transversus abdominis; Infraspinatus; Subscapularis; Supraspinatus; Teres minor; Gluteus maximus; Gluteus medius; Gluteus minimus | Tendons/fascia: Atlas-listed tendon/aponeurosis examples: Flattened latissimus dorsi tendon; Teres major insertion tendon; Broad aponeuroses and scapular/clavicular tendinous insertions; Fibrous scapular insertion; additional listed attachments | Ligament context only: Interspinous/supraspinous ligaments and ligamenta flava limit end-range motion; NOT intentionally stretched</x:v>
      </x:c>
      <x:c r="N210" s="24" t="str">
        <x:v>Latissimus dorsi; Teres major; Trapezius; Rhomboid major; Rhomboid minor; Biceps brachii long head; Biceps brachii short head; Brachialis; Brachioradialis</x:v>
      </x:c>
      <x:c r="O210" s="24" t="str">
        <x:v>Hang under stable bar; pull chest upward without hips dropping.</x:v>
      </x:c>
      <x:c r="P210" s="24" t="str">
        <x:v>Rated secured bar</x:v>
      </x:c>
      <x:c r="Q210" s="24" t="str">
        <x:v>2–3 × 8–12 controlled reps</x:v>
      </x:c>
      <x:c r="R210" s="24" t="str">
        <x:v>Progress gradually; stop with sharp pain, dizziness, or numbness.</x:v>
      </x:c>
      <x:c r="S210" s="24" t="str">
        <x:v>https://orthoinfo.aaos.org/globalassets/pdfs/spine-conditioning-program.pdf</x:v>
      </x:c>
      <x:c r="T210" s="24" t="str">
        <x:v>Anatomy-based mapping</x:v>
      </x:c>
    </x:row>
    <x:row r="211" ht="54" customHeight="1">
      <x:c r="A211" s="24" t="str">
        <x:v>EX0265</x:v>
      </x:c>
      <x:c r="B211" s="24" t="str">
        <x:v>Assisted pull-up with band</x:v>
      </x:c>
      <x:c r="C211" s="24" t="str">
        <x:v>Back &amp; Spine</x:v>
      </x:c>
      <x:c r="D211" s="24" t="str">
        <x:v>Home</x:v>
      </x:c>
      <x:c r="E211" s="24" t="str">
        <x:v>Compound strength</x:v>
      </x:c>
      <x:c r="F211" s="24" t="str">
        <x:v>Latissimus dorsi; Teres major</x:v>
      </x:c>
      <x:c r="G211" s="24" t="str">
        <x:v>Biceps brachii long head; Biceps brachii short head; Rhomboid major; Rhomboid minor; Trapezius</x:v>
      </x:c>
      <x:c r="H211" s="24" t="str">
        <x:v>Rectus abdominis; External oblique; Internal oblique; Transversus abdominis; Infraspinatus; Subscapularis; Supraspinatus; Teres minor</x:v>
      </x:c>
      <x:c r="I211" s="24" t="str">
        <x:v>—</x:v>
      </x:c>
      <x:c r="J211" s="24" t="str">
        <x:v>Latissimus dorsi; Teres major; Biceps brachii long head; Biceps brachii short head; Rhomboid major; Rhomboid minor; Trapezius; Rectus abdominis; External oblique; Internal oblique; Transversus abdominis; Infraspinatus; Subscapularis; Supraspinatus; Teres minor</x:v>
      </x:c>
      <x:c r="K211" s="24" t="str">
        <x:v>Latissimus tendon; distal biceps tendon</x:v>
      </x:c>
      <x:c r="L211" s="24" t="str">
        <x:v>Interspinous/supraspinous ligaments and ligamenta flava limit end-range motion; NOT intentionally stretched</x:v>
      </x:c>
      <x:c r="M211" s="24" t="str">
        <x:v>Muscles: Latissimus dorsi; Teres major; Biceps brachii long head; Biceps brachii short head; Rhomboid major; Rhomboid minor; Trapezius; Rectus abdominis; External oblique; Internal oblique; Transversus abdominis; Infraspinatus; Subscapularis; Supraspinatus; Teres minor | Tendons/fascia: Latissimus tendon; distal biceps tendon | Ligament context only: Interspinous/supraspinous ligaments and ligamenta flava limit end-range motion; NOT intentionally stretched</x:v>
      </x:c>
      <x:c r="N211" s="24" t="str">
        <x:v>Latissimus dorsi; Teres major; Biceps brachii long head; Biceps brachii short head; Rhomboid major; Rhomboid minor; Trapezius</x:v>
      </x:c>
      <x:c r="O211" s="24" t="str">
        <x:v>Use rated pull-up bar and properly attached assistance band; pull chin toward bar.</x:v>
      </x:c>
      <x:c r="P211" s="24" t="str">
        <x:v>Rated pull-up bar/band</x:v>
      </x:c>
      <x:c r="Q211" s="24" t="str">
        <x:v>2–3 × 8–12 controlled reps</x:v>
      </x:c>
      <x:c r="R211" s="24" t="str">
        <x:v>Avoid improvised doorframes or unverified anchors.</x:v>
      </x:c>
      <x:c r="S211" s="24" t="str">
        <x:v>https://orthoinfo.aaos.org/globalassets/pdfs/spine-conditioning-program.pdf</x:v>
      </x:c>
      <x:c r="T211" s="24" t="str">
        <x:v>Anatomy-based mapping</x:v>
      </x:c>
    </x:row>
    <x:row r="212" ht="54" customHeight="1">
      <x:c r="A212" s="24" t="str">
        <x:v>EX0266</x:v>
      </x:c>
      <x:c r="B212" s="24" t="str">
        <x:v>Chin-up with supinated grip</x:v>
      </x:c>
      <x:c r="C212" s="24" t="str">
        <x:v>Back &amp; Spine</x:v>
      </x:c>
      <x:c r="D212" s="24" t="str">
        <x:v>Home</x:v>
      </x:c>
      <x:c r="E212" s="24" t="str">
        <x:v>Compound strength</x:v>
      </x:c>
      <x:c r="F212" s="24" t="str">
        <x:v>Latissimus dorsi; Biceps brachii long head; Biceps brachii short head</x:v>
      </x:c>
      <x:c r="G212" s="24" t="str">
        <x:v>Teres major; Rhomboid major; Rhomboid minor; Trapezius</x:v>
      </x:c>
      <x:c r="H212" s="24" t="str">
        <x:v>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I212" s="24" t="str">
        <x:v>—</x:v>
      </x:c>
      <x:c r="J212" s="24" t="str">
        <x:v>Latissimus dorsi; Biceps brachii long head; Biceps brachii short head; Teres major; Rhomboid major; Rhomboid minor; Trapezius;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K212" s="24" t="str">
        <x:v>Distal biceps tendon; latissimus tendon</x:v>
      </x:c>
      <x:c r="L212" s="24" t="str">
        <x:v>Interspinous/supraspinous ligaments and ligamenta flava limit end-range motion; NOT intentionally stretched</x:v>
      </x:c>
      <x:c r="M212" s="24" t="str">
        <x:v>Muscles: Latissimus dorsi; Biceps brachii long head; Biceps brachii short head; Teres major; Rhomboid major; Rhomboid minor; Trapezius;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 | Tendons/fascia: Distal biceps tendon; latissimus tendon | Ligament context only: Interspinous/supraspinous ligaments and ligamenta flava limit end-range motion; NOT intentionally stretched</x:v>
      </x:c>
      <x:c r="N212" s="24" t="str">
        <x:v>Latissimus dorsi; Biceps brachii long head; Biceps brachii short head; Teres major; Rhomboid major; Rhomboid minor; Trapezius</x:v>
      </x:c>
      <x:c r="O212" s="24" t="str">
        <x:v>Underhand hang on safe bar; draw elbows down to ribs.</x:v>
      </x:c>
      <x:c r="P212" s="24" t="str">
        <x:v>Rated bar</x:v>
      </x:c>
      <x:c r="Q212" s="24" t="str">
        <x:v>2–3 × 8–12 controlled reps</x:v>
      </x:c>
      <x:c r="R212" s="24" t="str">
        <x:v>Progress gradually; stop with sharp pain, dizziness, or numbness.</x:v>
      </x:c>
      <x:c r="S212" s="24" t="str">
        <x:v>https://orthoinfo.aaos.org/globalassets/pdfs/spine-conditioning-program.pdf</x:v>
      </x:c>
      <x:c r="T212" s="24" t="str">
        <x:v>Anatomy-based mapping</x:v>
      </x:c>
    </x:row>
    <x:row r="213" ht="54" customHeight="1">
      <x:c r="A213" s="24" t="str">
        <x:v>EX0275</x:v>
      </x:c>
      <x:c r="B213" s="24" t="str">
        <x:v>Cat-cow spinal mobility</x:v>
      </x:c>
      <x:c r="C213" s="24" t="str">
        <x:v>Back &amp; Spine</x:v>
      </x:c>
      <x:c r="D213" s="24" t="str">
        <x:v>Home</x:v>
      </x:c>
      <x:c r="E213" s="24" t="str">
        <x:v>Mobility</x:v>
      </x:c>
      <x:c r="F213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G213" s="24" t="str">
        <x:v>—</x:v>
      </x:c>
      <x:c r="H213" s="24" t="str">
        <x:v>—</x:v>
      </x:c>
      <x:c r="I213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J213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213" s="24" t="str">
        <x:v>Atlas-listed tendon/aponeurosis examples: Costal-to-cervical tendons; Common erector spinae aponeurosis; rib slips; Long costal fascicular tendons; Mastoid insertion tendon; additional listed attachments</x:v>
      </x:c>
      <x:c r="L213" s="24" t="str">
        <x:v>Interspinous/supraspinous ligaments and ligamenta flava limit end-range motion; NOT intentionally stretched</x:v>
      </x:c>
      <x:c r="M213" s="24" t="str">
        <x:v>Muscles: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Atlas-listed tendon/aponeurosis examples: Costal-to-cervical tendons; Common erector spinae aponeurosis; rib slips; Long costal fascicular tendons; Mastoid insertion tendon; additional listed attachments | Ligament context only: Interspinous/supraspinous ligaments and ligamenta flava limit end-range motion; NOT intentionally stretched</x:v>
      </x:c>
      <x:c r="N213" s="24" t="str">
        <x:v>Usually none expected (stretch, mobility or relaxation; any active movers are low-load)</x:v>
      </x:c>
      <x:c r="O213" s="24" t="str">
        <x:v>Move gently between spinal flexion and extension segment by segment.</x:v>
      </x:c>
      <x:c r="P213" s="24" t="str">
        <x:v>Mat</x:v>
      </x:c>
      <x:c r="Q213" s="24" t="str">
        <x:v>1–2 × 5–10 controlled reps</x:v>
      </x:c>
      <x:c r="R213" s="24" t="str">
        <x:v>Progress gradually; stop with sharp pain, dizziness, or numbness.</x:v>
      </x:c>
      <x:c r="S213" s="24" t="str">
        <x:v>https://orthoinfo.aaos.org/globalassets/pdfs/spine-conditioning-program.pdf</x:v>
      </x:c>
      <x:c r="T213" s="24" t="str">
        <x:v>Anatomy-based mapping</x:v>
      </x:c>
    </x:row>
    <x:row r="214" ht="54" customHeight="1">
      <x:c r="A214" s="24" t="str">
        <x:v>EX0276</x:v>
      </x:c>
      <x:c r="B214" s="24" t="str">
        <x:v>Quadruped thoracic rotation</x:v>
      </x:c>
      <x:c r="C214" s="24" t="str">
        <x:v>Back &amp; Spine</x:v>
      </x:c>
      <x:c r="D214" s="24" t="str">
        <x:v>Home</x:v>
      </x:c>
      <x:c r="E214" s="24" t="str">
        <x:v>Mobility</x:v>
      </x:c>
      <x:c r="F214" s="24" t="str">
        <x:v>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G214" s="24" t="str">
        <x:v>—</x:v>
      </x:c>
      <x:c r="H214" s="24" t="str">
        <x:v>—</x:v>
      </x:c>
      <x:c r="I214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J214" s="24" t="str">
        <x:v>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214" s="24" t="str">
        <x:v>Atlas-listed tendon/aponeurosis examples: Broad external oblique aponeurosis; Internal oblique aponeurosis; conjoint tendon; Transversus aponeurosis; conjoint tendon; Costal-to-cervical tendons; additional listed attachments</x:v>
      </x:c>
      <x:c r="L214" s="24" t="str">
        <x:v>Interspinous/supraspinous ligaments and ligamenta flava limit end-range motion; NOT intentionally stretched</x:v>
      </x:c>
      <x:c r="M214" s="24" t="str">
        <x:v>Muscles: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Broad external oblique aponeurosis; Internal oblique aponeurosis; conjoint tendon; Transversus aponeurosis; conjoint tendon; Costal-to-cervical tendons; additional listed attachments | Ligament context only: Interspinous/supraspinous ligaments and ligamenta flava limit end-range motion; NOT intentionally stretched</x:v>
      </x:c>
      <x:c r="N214" s="24" t="str">
        <x:v>Usually none expected (stretch, mobility or relaxation; any active movers are low-load)</x:v>
      </x:c>
      <x:c r="O214" s="24" t="str">
        <x:v>On all fours, put one hand behind head and rotate thorax toward ceiling.</x:v>
      </x:c>
      <x:c r="P214" s="24" t="str">
        <x:v>Mat</x:v>
      </x:c>
      <x:c r="Q214" s="24" t="str">
        <x:v>1–2 × 5–10 controlled reps</x:v>
      </x:c>
      <x:c r="R214" s="24" t="str">
        <x:v>Progress gradually; stop with sharp pain, dizziness, or numbness.</x:v>
      </x:c>
      <x:c r="S214" s="24" t="str">
        <x:v>https://orthoinfo.aaos.org/globalassets/pdfs/spine-conditioning-program.pdf</x:v>
      </x:c>
      <x:c r="T214" s="24" t="str">
        <x:v>Anatomy-based mapping</x:v>
      </x:c>
    </x:row>
    <x:row r="215" ht="54" customHeight="1">
      <x:c r="A215" s="24" t="str">
        <x:v>EX0277</x:v>
      </x:c>
      <x:c r="B215" s="24" t="str">
        <x:v>Open-book thoracic rotation</x:v>
      </x:c>
      <x:c r="C215" s="24" t="str">
        <x:v>Back &amp; Spine</x:v>
      </x:c>
      <x:c r="D215" s="24" t="str">
        <x:v>Home</x:v>
      </x:c>
      <x:c r="E215" s="24" t="str">
        <x:v>Active stretch</x:v>
      </x:c>
      <x:c r="F215" s="24" t="str">
        <x:v>External oblique; Internal oblique; Transversus abdominis</x:v>
      </x:c>
      <x:c r="G215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H215" s="24" t="str">
        <x:v>—</x:v>
      </x:c>
      <x:c r="I215" s="24" t="str">
        <x:v>Pectoralis major; External oblique; Internal oblique; Transversus abdominis</x:v>
      </x:c>
      <x:c r="J215" s="24" t="str">
        <x:v>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Pectoralis major</x:v>
      </x:c>
      <x:c r="K215" s="24" t="str">
        <x:v>Atlas-listed tendon/aponeurosis examples: Broad external oblique aponeurosis; Internal oblique aponeurosis; conjoint tendon; Transversus aponeurosis; conjoint tendon; Costal-to-cervical tendons; additional listed attachments</x:v>
      </x:c>
      <x:c r="L215" s="24" t="str">
        <x:v>Interspinous/supraspinous ligaments and ligamenta flava limit end-range motion; NOT intentionally stretched</x:v>
      </x:c>
      <x:c r="M215" s="24" t="str">
        <x:v>Muscles: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Pectoralis major | Tendons/fascia: Atlas-listed tendon/aponeurosis examples: Broad external oblique aponeurosis; Internal oblique aponeurosis; conjoint tendon; Transversus aponeurosis; conjoint tendon; Costal-to-cervical tendons; additional listed attachments | Ligament context only: Interspinous/supraspinous ligaments and ligamenta flava limit end-range motion; NOT intentionally stretched</x:v>
      </x:c>
      <x:c r="N215" s="24" t="str">
        <x:v>Usually none expected (stretch, mobility or relaxation; any active movers are low-load)</x:v>
      </x:c>
      <x:c r="O215" s="24" t="str">
        <x:v>Side-lying with knees stacked, open upper arm toward opposite side.</x:v>
      </x:c>
      <x:c r="P215" s="24" t="str">
        <x:v>Mat</x:v>
      </x:c>
      <x:c r="Q215" s="24" t="str">
        <x:v>2–3 × 8–12 controlled reps</x:v>
      </x:c>
      <x:c r="R215" s="24" t="str">
        <x:v>Progress gradually; stop with sharp pain, dizziness, or numbness.</x:v>
      </x:c>
      <x:c r="S215" s="24" t="str">
        <x:v>https://orthoinfo.aaos.org/globalassets/pdfs/spine-conditioning-program.pdf</x:v>
      </x:c>
      <x:c r="T215" s="24" t="str">
        <x:v>Anatomy-based mapping</x:v>
      </x:c>
    </x:row>
    <x:row r="216" ht="54" customHeight="1">
      <x:c r="A216" s="24" t="str">
        <x:v>EX0278</x:v>
      </x:c>
      <x:c r="B216" s="24" t="str">
        <x:v>Child's pose lat + erector stretch</x:v>
      </x:c>
      <x:c r="C216" s="24" t="str">
        <x:v>Back &amp; Spine</x:v>
      </x:c>
      <x:c r="D216" s="24" t="str">
        <x:v>Home</x:v>
      </x:c>
      <x:c r="E216" s="24" t="str">
        <x:v>Passive stretch</x:v>
      </x:c>
      <x:c r="F216" s="24" t="str">
        <x:v>—</x:v>
      </x:c>
      <x:c r="G216" s="24" t="str">
        <x:v>—</x:v>
      </x:c>
      <x:c r="H216" s="24" t="str">
        <x:v>—</x:v>
      </x:c>
      <x:c r="I216" s="24" t="str">
        <x:v>Latissimus dorsi;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J216" s="24" t="str">
        <x:v>Latissimus dorsi;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216" s="24" t="str">
        <x:v>Thoracolumbar fascia</x:v>
      </x:c>
      <x:c r="L216" s="24" t="str">
        <x:v>Interspinous/supraspinous ligaments and ligamenta flava limit end-range motion; NOT intentionally stretched</x:v>
      </x:c>
      <x:c r="M216" s="24" t="str">
        <x:v>Muscles: Latissimus dorsi;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Thoracolumbar fascia | Ligament context only: Interspinous/supraspinous ligaments and ligamenta flava limit end-range motion; NOT intentionally stretched</x:v>
      </x:c>
      <x:c r="N216" s="24" t="str">
        <x:v>Usually none expected (stretch, mobility or relaxation; any active movers are low-load)</x:v>
      </x:c>
      <x:c r="O216" s="24" t="str">
        <x:v>Sit hips toward heels and reach arms forward while breathing.</x:v>
      </x:c>
      <x:c r="P216" s="24" t="str">
        <x:v>Mat</x:v>
      </x:c>
      <x:c r="Q216" s="24" t="str">
        <x:v>2–3 × 8–12 controlled reps</x:v>
      </x:c>
      <x:c r="R216" s="24" t="str">
        <x:v>Progress gradually; stop with sharp pain, dizziness, or numbness.</x:v>
      </x:c>
      <x:c r="S216" s="24" t="str">
        <x:v>https://orthoinfo.aaos.org/globalassets/pdfs/spine-conditioning-program.pdf</x:v>
      </x:c>
      <x:c r="T216" s="24" t="str">
        <x:v>Anatomy-based mapping</x:v>
      </x:c>
    </x:row>
    <x:row r="217" ht="54" customHeight="1">
      <x:c r="A217" s="24" t="str">
        <x:v>EX0279</x:v>
      </x:c>
      <x:c r="B217" s="24" t="str">
        <x:v>Standing thoracic extension over chair back</x:v>
      </x:c>
      <x:c r="C217" s="24" t="str">
        <x:v>Back &amp; Spine</x:v>
      </x:c>
      <x:c r="D217" s="24" t="str">
        <x:v>Home</x:v>
      </x:c>
      <x:c r="E217" s="24" t="str">
        <x:v>Active stretch</x:v>
      </x:c>
      <x:c r="F217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G217" s="24" t="str">
        <x:v>—</x:v>
      </x:c>
      <x:c r="H217" s="24" t="str">
        <x:v>—</x:v>
      </x:c>
      <x:c r="I217" s="24" t="str">
        <x:v>Rectus abdominis; Pectoralis major</x:v>
      </x:c>
      <x:c r="J217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Pectoralis major</x:v>
      </x:c>
      <x:c r="K217" s="24" t="str">
        <x:v>Atlas-listed tendon/aponeurosis examples: Costal-to-cervical tendons; Common erector spinae aponeurosis; rib slips; Long costal fascicular tendons; Mastoid insertion tendon; additional listed attachments</x:v>
      </x:c>
      <x:c r="L217" s="24" t="str">
        <x:v>Interspinous/supraspinous ligaments and ligamenta flava limit end-range motion; NOT intentionally stretched</x:v>
      </x:c>
      <x:c r="M217" s="24" t="str">
        <x:v>Muscles: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Pectoralis major | Tendons/fascia: Atlas-listed tendon/aponeurosis examples: Costal-to-cervical tendons; Common erector spinae aponeurosis; rib slips; Long costal fascicular tendons; Mastoid insertion tendon; additional listed attachments | Ligament context only: Interspinous/supraspinous ligaments and ligamenta flava limit end-range motion; NOT intentionally stretched</x:v>
      </x:c>
      <x:c r="N217" s="24" t="str">
        <x:v>Usually none expected (stretch, mobility or relaxation; any active movers are low-load)</x:v>
      </x:c>
      <x:c r="O217" s="24" t="str">
        <x:v>Hands behind head, extend upper back over padded chair top only.</x:v>
      </x:c>
      <x:c r="P217" s="24" t="str">
        <x:v>Sturdy chair</x:v>
      </x:c>
      <x:c r="Q217" s="24" t="str">
        <x:v>2–3 × 8–12 controlled reps</x:v>
      </x:c>
      <x:c r="R217" s="24" t="str">
        <x:v>Progress gradually; stop with sharp pain, dizziness, or numbness.</x:v>
      </x:c>
      <x:c r="S217" s="24" t="str">
        <x:v>https://orthoinfo.aaos.org/globalassets/pdfs/spine-conditioning-program.pdf</x:v>
      </x:c>
      <x:c r="T217" s="24" t="str">
        <x:v>Anatomy-based mapping</x:v>
      </x:c>
    </x:row>
    <x:row r="218" ht="54" customHeight="1">
      <x:c r="A218" s="24" t="str">
        <x:v>EX0280</x:v>
      </x:c>
      <x:c r="B218" s="24" t="str">
        <x:v>Gentle knee-to-chest lumbar flexion</x:v>
      </x:c>
      <x:c r="C218" s="24" t="str">
        <x:v>Back &amp; Spine</x:v>
      </x:c>
      <x:c r="D218" s="24" t="str">
        <x:v>Home</x:v>
      </x:c>
      <x:c r="E218" s="24" t="str">
        <x:v>Passive stretch</x:v>
      </x:c>
      <x:c r="F218" s="24" t="str">
        <x:v>—</x:v>
      </x:c>
      <x:c r="G218" s="24" t="str">
        <x:v>—</x:v>
      </x:c>
      <x:c r="H218" s="24" t="str">
        <x:v>—</x:v>
      </x:c>
      <x:c r="I218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</x:v>
      </x:c>
      <x:c r="J218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</x:v>
      </x:c>
      <x:c r="K218" s="24" t="str">
        <x:v>Atlas-listed tendon/aponeurosis examples: Costal-to-cervical tendons; Common erector spinae aponeurosis; rib slips; Long costal fascicular tendons; Mastoid insertion tendon; additional listed attachments</x:v>
      </x:c>
      <x:c r="L218" s="24" t="str">
        <x:v>Interspinous/supraspinous ligaments and ligamenta flava limit end-range motion; NOT intentionally stretched</x:v>
      </x:c>
      <x:c r="M218" s="24" t="str">
        <x:v>Muscles: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 | Tendons/fascia: Atlas-listed tendon/aponeurosis examples: Costal-to-cervical tendons; Common erector spinae aponeurosis; rib slips; Long costal fascicular tendons; Mastoid insertion tendon; additional listed attachments | Ligament context only: Interspinous/supraspinous ligaments and ligamenta flava limit end-range motion; NOT intentionally stretched</x:v>
      </x:c>
      <x:c r="N218" s="24" t="str">
        <x:v>Usually none expected (stretch, mobility or relaxation; any active movers are low-load)</x:v>
      </x:c>
      <x:c r="O218" s="24" t="str">
        <x:v>Supine, draw one knee toward chest while lower back relaxes.</x:v>
      </x:c>
      <x:c r="P218" s="24" t="str">
        <x:v>Mat</x:v>
      </x:c>
      <x:c r="Q218" s="24" t="str">
        <x:v>2–3 × 8–12 controlled reps</x:v>
      </x:c>
      <x:c r="R218" s="24" t="str">
        <x:v>Progress gradually; stop with sharp pain, dizziness, or numbness.</x:v>
      </x:c>
      <x:c r="S218" s="24" t="str">
        <x:v>https://orthoinfo.aaos.org/globalassets/pdfs/spine-conditioning-program.pdf</x:v>
      </x:c>
      <x:c r="T218" s="24" t="str">
        <x:v>Anatomy-based mapping</x:v>
      </x:c>
    </x:row>
    <x:row r="219" ht="54" customHeight="1">
      <x:c r="A219" s="24" t="str">
        <x:v>EX0281</x:v>
      </x:c>
      <x:c r="B219" s="24" t="str">
        <x:v>Single-leg deadlift isometric trunk hold</x:v>
      </x:c>
      <x:c r="C219" s="24" t="str">
        <x:v>Back &amp; Spine</x:v>
      </x:c>
      <x:c r="D219" s="24" t="str">
        <x:v>Home</x:v>
      </x:c>
      <x:c r="E219" s="24" t="str">
        <x:v>Isometric strength</x:v>
      </x:c>
      <x:c r="F219" s="24" t="str">
        <x:v>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Quadratus lumborum</x:v>
      </x:c>
      <x:c r="G219" s="24" t="str">
        <x:v>Gluteus maximus; Biceps femoris long head; Biceps femoris short head; Semimembranosus; Semitendinosus</x:v>
      </x:c>
      <x:c r="H219" s="24" t="str">
        <x:v>Rectus abdominis; External oblique; Internal oblique; Transversus abdominis; Gluteus medius; Gluteus minimus; Tensor fasciae latae</x:v>
      </x:c>
      <x:c r="I219" s="24" t="str">
        <x:v>—</x:v>
      </x:c>
      <x:c r="J219" s="24" t="str">
        <x:v>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Quadratus lumborum; Gluteus maximus; Biceps femoris long head; Biceps femoris short head; Semimembranosus; Semitendinosus; Rectus abdominis; External oblique; Internal oblique; Transversus abdominis; Gluteus medius; Gluteus minimus; Tensor fasciae latae</x:v>
      </x:c>
      <x:c r="K219" s="24" t="str">
        <x:v>Atlas-listed tendon/aponeurosis examples: Short segmental tendons; Lumbar multifidus segmental tendons; Minute interlaminar tendons; Minute fascicular tendons; additional listed attachments</x:v>
      </x:c>
      <x:c r="L219" s="24" t="str">
        <x:v>Interspinous/supraspinous ligaments and ligamenta flava limit end-range motion; NOT intentionally stretched</x:v>
      </x:c>
      <x:c r="M219" s="24" t="str">
        <x:v>Muscles: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Quadratus lumborum; Gluteus maximus; Biceps femoris long head; Biceps femoris short head; Semimembranosus; Semitendinosus; Rectus abdominis; External oblique; Internal oblique; Transversus abdominis; Gluteus medius; Gluteus minimus; Tensor fasciae latae | Tendons/fascia: Atlas-listed tendon/aponeurosis examples: Short segmental tendons; Lumbar multifidus segmental tendons; Minute interlaminar tendons; Minute fascicular tendons; additional listed attachments | Ligament context only: Interspinous/supraspinous ligaments and ligamenta flava limit end-range motion; NOT intentionally stretched</x:v>
      </x:c>
      <x:c r="N219" s="24" t="str">
        <x:v>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Quadratus lumborum; Gluteus maximus; Biceps femoris long head; Biceps femoris short head; Semimembranosus; Semitendinosus</x:v>
      </x:c>
      <x:c r="O219" s="24" t="str">
        <x:v>Hold short single-leg hinge maintaining neutral spine.</x:v>
      </x:c>
      <x:c r="P219" s="24" t="str">
        <x:v>Floor</x:v>
      </x:c>
      <x:c r="Q219" s="24" t="str">
        <x:v>2–3 × 8–12 controlled reps</x:v>
      </x:c>
      <x:c r="R219" s="24" t="str">
        <x:v>Progress gradually; stop with sharp pain, dizziness, or numbness.</x:v>
      </x:c>
      <x:c r="S219" s="24" t="str">
        <x:v>https://orthoinfo.aaos.org/globalassets/pdfs/spine-conditioning-program.pdf</x:v>
      </x:c>
      <x:c r="T219" s="24" t="str">
        <x:v>Anatomy-based mapping</x:v>
      </x:c>
    </x:row>
    <x:row r="220" ht="54" customHeight="1">
      <x:c r="A220" s="24" t="str">
        <x:v>EX0282</x:v>
      </x:c>
      <x:c r="B220" s="24" t="str">
        <x:v>Breathing with thoracic rib expansion</x:v>
      </x:c>
      <x:c r="C220" s="24" t="str">
        <x:v>Back &amp; Spine</x:v>
      </x:c>
      <x:c r="D220" s="24" t="str">
        <x:v>Home</x:v>
      </x:c>
      <x:c r="E220" s="24" t="str">
        <x:v>Breathing</x:v>
      </x:c>
      <x:c r="F220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</x:v>
      </x:c>
      <x:c r="G220" s="24" t="str">
        <x:v>Rectus abdominis; External oblique; Internal oblique; Transversus abdominis</x:v>
      </x:c>
      <x:c r="H220" s="24" t="str">
        <x:v>—</x:v>
      </x:c>
      <x:c r="I220" s="24" t="str">
        <x:v>—</x:v>
      </x:c>
      <x:c r="J220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</x:v>
      </x:c>
      <x:c r="K220" s="24" t="str">
        <x:v>Intercostal muscle aponeuroses and costal attachments</x:v>
      </x:c>
      <x:c r="L220" s="24" t="str">
        <x:v>Costovertebral/costotransverse ligaments stabilize ribs; avoid forced mobilization</x:v>
      </x:c>
      <x:c r="M220" s="24" t="str">
        <x:v>Muscles: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 | Tendons/fascia: Intercostal muscle aponeuroses and costal attachments | Ligament context only: Costovertebral/costotransverse ligaments stabilize ribs; avoid forced mobilization</x:v>
      </x:c>
      <x:c r="N220" s="24" t="str">
        <x:v>Low-load activation, not ordinarily to fatigue: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</x:v>
      </x:c>
      <x:c r="O220" s="24" t="str">
        <x:v>Slow comfortable breaths allowing lower ribs to expand outward.</x:v>
      </x:c>
      <x:c r="P220" s="24" t="str">
        <x:v>None</x:v>
      </x:c>
      <x:c r="Q220" s="24" t="str">
        <x:v>1–2 × 5–10 controlled reps</x:v>
      </x:c>
      <x:c r="R220" s="24" t="str">
        <x:v>Progress gradually; stop with sharp pain, dizziness, or numbness.</x:v>
      </x:c>
      <x:c r="S220" s="24" t="str">
        <x:v>https://orthoinfo.aaos.org/globalassets/pdfs/spine-conditioning-program.pdf</x:v>
      </x:c>
      <x:c r="T220" s="24" t="str">
        <x:v>Anatomy-based mapping</x:v>
      </x:c>
    </x:row>
    <x:row r="221" ht="54" customHeight="1">
      <x:c r="A221" s="24" t="str">
        <x:v>EX0283</x:v>
      </x:c>
      <x:c r="B221" s="24" t="str">
        <x:v>Thoracic extension prone sphinx breathing</x:v>
      </x:c>
      <x:c r="C221" s="24" t="str">
        <x:v>Back &amp; Spine</x:v>
      </x:c>
      <x:c r="D221" s="24" t="str">
        <x:v>Home</x:v>
      </x:c>
      <x:c r="E221" s="24" t="str">
        <x:v>Breathing</x:v>
      </x:c>
      <x:c r="F221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G221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H221" s="24" t="str">
        <x:v>Rectus abdominis; External oblique; Internal oblique; Transversus abdominis</x:v>
      </x:c>
      <x:c r="I221" s="24" t="str">
        <x:v>—</x:v>
      </x:c>
      <x:c r="J221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221" s="24" t="str">
        <x:v>Atlas-listed tendon/aponeurosis examples: Central tendon; Central tendon; crural tendons; Segmental rib-to-rib muscle attachment; Costal-to-cervical tendons; additional listed attachments</x:v>
      </x:c>
      <x:c r="L221" s="24" t="str">
        <x:v>Interspinous/supraspinous ligaments and ligamenta flava limit end-range motion; NOT intentionally stretched</x:v>
      </x:c>
      <x:c r="M221" s="24" t="str">
        <x:v>Muscles: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Atlas-listed tendon/aponeurosis examples: Central tendon; Central tendon; crural tendons; Segmental rib-to-rib muscle attachment; Costal-to-cervical tendons; additional listed attachments | Ligament context only: Interspinous/supraspinous ligaments and ligamenta flava limit end-range motion; NOT intentionally stretched</x:v>
      </x:c>
      <x:c r="N221" s="24" t="str">
        <x:v>Low-load activation, not ordinarily to fatigue: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O221" s="24" t="str">
        <x:v>Prone on forearms breathe gently into expanding lower ribs.</x:v>
      </x:c>
      <x:c r="P221" s="24" t="str">
        <x:v>Mat</x:v>
      </x:c>
      <x:c r="Q221" s="24" t="str">
        <x:v>1–2 × 5–10 controlled reps</x:v>
      </x:c>
      <x:c r="R221" s="24" t="str">
        <x:v>Progress gradually; stop with sharp pain, dizziness, or numbness.</x:v>
      </x:c>
      <x:c r="S221" s="24" t="str">
        <x:v>https://orthoinfo.aaos.org/globalassets/pdfs/spine-conditioning-program.pdf</x:v>
      </x:c>
      <x:c r="T221" s="24" t="str">
        <x:v>Anatomy-based mapping</x:v>
      </x:c>
    </x:row>
    <x:row r="222" ht="54" customHeight="1">
      <x:c r="A222" s="24" t="str">
        <x:v>EX0284</x:v>
      </x:c>
      <x:c r="B222" s="24" t="str">
        <x:v>Gentle chin tuck lying supine</x:v>
      </x:c>
      <x:c r="C222" s="24" t="str">
        <x:v>Neck</x:v>
      </x:c>
      <x:c r="D222" s="24" t="str">
        <x:v>Home</x:v>
      </x:c>
      <x:c r="E222" s="24" t="str">
        <x:v>Motor control</x:v>
      </x:c>
      <x:c r="F222" s="24" t="str">
        <x:v>Longus colli inferior oblique part; Longus colli superior oblique part; Longus colli vertical part; Longus capitis; Rectus capitis anterior</x:v>
      </x:c>
      <x:c r="G222" s="24" t="str">
        <x:v>—</x:v>
      </x:c>
      <x:c r="H222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I222" s="24" t="str">
        <x:v>—</x:v>
      </x:c>
      <x:c r="J222" s="24" t="str">
        <x:v>Longus colli inferior oblique part; Longus colli superior oblique part; Longus colli vertical part; Longus capitis; Rectus capitis anterior;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K222" s="24" t="str">
        <x:v>Deep cervical flexor fascia</x:v>
      </x:c>
      <x:c r="L222" s="24" t="str">
        <x:v>Nuchal and cervical capsular ligaments stabilize spine; NOT intentionally stretched</x:v>
      </x:c>
      <x:c r="M222" s="24" t="str">
        <x:v>Muscles: Longus colli inferior oblique part; Longus colli superior oblique part; Longus colli vertical part; Longus capitis; Rectus capitis anterior; Splenius capitis; Splenius cervicis; Semispinalis capitis; Semispinalis cervicis; Longissimus capitis; Longissimus cervicis; Levator scapulae; Obliquus capitis inferior; Obliquus capitis superior; Rectus capitis posterior major; Rectus capitis posterior minor | Tendons/fascia: Deep cervical flexor fascia | Ligament context only: Nuchal and cervical capsular ligaments stabilize spine; NOT intentionally stretched</x:v>
      </x:c>
      <x:c r="N222" s="24" t="str">
        <x:v>Low-load activation, not ordinarily to fatigue: Longus colli inferior oblique part; Longus colli superior oblique part; Longus colli vertical part; Longus capitis; Rectus capitis anterior</x:v>
      </x:c>
      <x:c r="O222" s="24" t="str">
        <x:v>Make tiny nod as if saying yes; do not press chin to chest.</x:v>
      </x:c>
      <x:c r="P222" s="24" t="str">
        <x:v>Mat</x:v>
      </x:c>
      <x:c r="Q222" s="24" t="str">
        <x:v>1–2 × 5–10 controlled reps</x:v>
      </x:c>
      <x:c r="R222" s="24" t="str">
        <x:v>Progress gradually; stop with sharp pain, dizziness, or numbness.</x:v>
      </x:c>
      <x:c r="S222" s="24" t="str">
        <x:v>https://orthoinfo.aaos.org/globalassets/pdfs/spine-conditioning-program.pdf</x:v>
      </x:c>
      <x:c r="T222" s="24" t="str">
        <x:v>Anatomy-based mapping</x:v>
      </x:c>
    </x:row>
    <x:row r="223" ht="54" customHeight="1">
      <x:c r="A223" s="24" t="str">
        <x:v>EX0285</x:v>
      </x:c>
      <x:c r="B223" s="24" t="str">
        <x:v>Seated chin tuck (axial elongation)</x:v>
      </x:c>
      <x:c r="C223" s="24" t="str">
        <x:v>Neck</x:v>
      </x:c>
      <x:c r="D223" s="24" t="str">
        <x:v>Home</x:v>
      </x:c>
      <x:c r="E223" s="24" t="str">
        <x:v>Motor control</x:v>
      </x:c>
      <x:c r="F223" s="24" t="str">
        <x:v>Longus colli inferior oblique part; Longus colli superior oblique part; Longus colli vertical part; Longus capitis</x:v>
      </x:c>
      <x:c r="G223" s="24" t="str">
        <x:v>Rectus capitis anterior</x:v>
      </x:c>
      <x:c r="H223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I223" s="24" t="str">
        <x:v>—</x:v>
      </x:c>
      <x:c r="J223" s="24" t="str">
        <x:v>Longus colli inferior oblique part; Longus colli superior oblique part; Longus colli vertical part; Longus capitis; Rectus capitis anterior;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K223" s="24" t="str">
        <x:v>Atlas-listed tendon/aponeurosis examples: Segmental tendon slips; Small segmental tendons; Fleshy and tendinous vertebral insertions; Basilar occipital insertion tendon; additional listed attachments</x:v>
      </x:c>
      <x:c r="L223" s="24" t="str">
        <x:v>Nuchal and cervical capsular ligaments stabilize spine; NOT intentionally stretched</x:v>
      </x:c>
      <x:c r="M223" s="24" t="str">
        <x:v>Muscles: Longus colli inferior oblique part; Longus colli superior oblique part; Longus colli vertical part; Longus capitis; Rectus capitis anterior; Splenius capitis; Splenius cervicis; Semispinalis capitis; Semispinalis cervicis; Longissimus capitis; Longissimus cervicis; Levator scapulae; Obliquus capitis inferior; Obliquus capitis superior; Rectus capitis posterior major; Rectus capitis posterior minor | Tendons/fascia: Atlas-listed tendon/aponeurosis examples: Segmental tendon slips; Small segmental tendons; Fleshy and tendinous vertebral insertions; Basilar occipital insertion tendon; additional listed attachments | Ligament context only: Nuchal and cervical capsular ligaments stabilize spine; NOT intentionally stretched</x:v>
      </x:c>
      <x:c r="N223" s="24" t="str">
        <x:v>Low-load activation, not ordinarily to fatigue: Longus colli inferior oblique part; Longus colli superior oblique part; Longus colli vertical part; Longus capitis</x:v>
      </x:c>
      <x:c r="O223" s="24" t="str">
        <x:v>Slide head horizontally backward over shoulders without looking down.</x:v>
      </x:c>
      <x:c r="P223" s="24" t="str">
        <x:v>Chair</x:v>
      </x:c>
      <x:c r="Q223" s="24" t="str">
        <x:v>1–2 × 5–10 controlled reps</x:v>
      </x:c>
      <x:c r="R223" s="24" t="str">
        <x:v>Progress gradually; stop with sharp pain, dizziness, or numbness.</x:v>
      </x:c>
      <x:c r="S223" s="24" t="str">
        <x:v>https://orthoinfo.aaos.org/globalassets/pdfs/spine-conditioning-program.pdf</x:v>
      </x:c>
      <x:c r="T223" s="24" t="str">
        <x:v>Anatomy-based mapping</x:v>
      </x:c>
    </x:row>
    <x:row r="224" ht="54" customHeight="1">
      <x:c r="A224" s="24" t="str">
        <x:v>EX0286</x:v>
      </x:c>
      <x:c r="B224" s="24" t="str">
        <x:v>Deep neck flexor nod with towel</x:v>
      </x:c>
      <x:c r="C224" s="24" t="str">
        <x:v>Neck</x:v>
      </x:c>
      <x:c r="D224" s="24" t="str">
        <x:v>Home</x:v>
      </x:c>
      <x:c r="E224" s="24" t="str">
        <x:v>Isometric strength</x:v>
      </x:c>
      <x:c r="F224" s="24" t="str">
        <x:v>Longus colli inferior oblique part; Longus colli superior oblique part; Longus colli vertical part; Longus capitis</x:v>
      </x:c>
      <x:c r="G224" s="24" t="str">
        <x:v>Sternocleidomastoid clavicular head; Sternocleidomastoid sternal head</x:v>
      </x:c>
      <x:c r="H224" s="24" t="str">
        <x:v>Obliquus capitis inferior; Obliquus capitis superior; Rectus capitis posterior major; Rectus capitis posterior minor</x:v>
      </x:c>
      <x:c r="I224" s="24" t="str">
        <x:v>—</x:v>
      </x:c>
      <x:c r="J224" s="24" t="str">
        <x:v>Longus colli inferior oblique part; Longus colli superior oblique part; Longus colli vertical part; Longus capitis; Sternocleidomastoid clavicular head; Sternocleidomastoid sternal head; Obliquus capitis inferior; Obliquus capitis superior; Rectus capitis posterior major; Rectus capitis posterior minor</x:v>
      </x:c>
      <x:c r="K224" s="24" t="str">
        <x:v>Atlas-listed tendon/aponeurosis examples: Segmental tendon slips; Small segmental tendons; Fleshy and tendinous vertebral insertions; Basilar occipital insertion tendon; additional listed attachments</x:v>
      </x:c>
      <x:c r="L224" s="24" t="str">
        <x:v>Nuchal and cervical capsular ligaments stabilize spine; NOT intentionally stretched</x:v>
      </x:c>
      <x:c r="M224" s="24" t="str">
        <x:v>Muscles: Longus colli inferior oblique part; Longus colli superior oblique part; Longus colli vertical part; Longus capitis; Sternocleidomastoid clavicular head; Sternocleidomastoid sternal head; Obliquus capitis inferior; Obliquus capitis superior; Rectus capitis posterior major; Rectus capitis posterior minor | Tendons/fascia: Atlas-listed tendon/aponeurosis examples: Segmental tendon slips; Small segmental tendons; Fleshy and tendinous vertebral insertions; Basilar occipital insertion tendon; additional listed attachments | Ligament context only: Nuchal and cervical capsular ligaments stabilize spine; NOT intentionally stretched</x:v>
      </x:c>
      <x:c r="N224" s="24" t="str">
        <x:v>Longus colli inferior oblique part; Longus colli superior oblique part; Longus colli vertical part; Longus capitis; Sternocleidomastoid clavicular head; Sternocleidomastoid sternal head</x:v>
      </x:c>
      <x:c r="O224" s="24" t="str">
        <x:v>Lie on back with towel under head, make barely visible nod, breathe.</x:v>
      </x:c>
      <x:c r="P224" s="24" t="str">
        <x:v>Small towel</x:v>
      </x:c>
      <x:c r="Q224" s="24" t="str">
        <x:v>2–3 × 8–12 controlled reps</x:v>
      </x:c>
      <x:c r="R224" s="24" t="str">
        <x:v>Progress gradually; stop with sharp pain, dizziness, or numbness.</x:v>
      </x:c>
      <x:c r="S224" s="24" t="str">
        <x:v>https://orthoinfo.aaos.org/globalassets/pdfs/spine-conditioning-program.pdf</x:v>
      </x:c>
      <x:c r="T224" s="24" t="str">
        <x:v>Anatomy-based mapping</x:v>
      </x:c>
    </x:row>
    <x:row r="225" ht="54" customHeight="1">
      <x:c r="A225" s="24" t="str">
        <x:v>EX0287</x:v>
      </x:c>
      <x:c r="B225" s="24" t="str">
        <x:v>Neck isometric flexion hand resistance</x:v>
      </x:c>
      <x:c r="C225" s="24" t="str">
        <x:v>Neck</x:v>
      </x:c>
      <x:c r="D225" s="24" t="str">
        <x:v>Home</x:v>
      </x:c>
      <x:c r="E225" s="24" t="str">
        <x:v>Isometric strength</x:v>
      </x:c>
      <x:c r="F225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</x:v>
      </x:c>
      <x:c r="G225" s="24" t="str">
        <x:v>Omohyoid inferior belly; Omohyoid superior belly; Sternohyoid; Sternothyroid; Thyrohyoid; Geniohyoid; Mylohyoid; Digastric anterior belly; Digastric posterior belly; Stylohyoid</x:v>
      </x:c>
      <x:c r="H225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I225" s="24" t="str">
        <x:v>—</x:v>
      </x:c>
      <x:c r="J225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Omohyoid inferior belly; Omohyoid superior belly; Sternohyoid; Sternothyroid; Thyrohyoid; Geniohyoid; Mylohyoid; Digastric anterior belly; Digastric posterior belly; Stylohyoid;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K225" s="24" t="str">
        <x:v>Atlas-listed tendon/aponeurosis examples: Segmental tendon slips; Small segmental tendons; Fleshy and tendinous vertebral insertions; Basilar occipital insertion tendon; additional listed attachments</x:v>
      </x:c>
      <x:c r="L225" s="24" t="str">
        <x:v>Nuchal and cervical capsular ligaments stabilize spine; NOT intentionally stretched</x:v>
      </x:c>
      <x:c r="M225" s="24" t="str">
        <x:v>Muscles: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Omohyoid inferior belly; Omohyoid superior belly; Sternohyoid; Sternothyroid; Thyrohyoid; Geniohyoid; Mylohyoid; Digastric anterior belly; Digastric posterior belly; Stylohyoid; Splenius capitis; Splenius cervicis; Semispinalis capitis; Semispinalis cervicis; Longissimus capitis; Longissimus cervicis; Levator scapulae; Obliquus capitis inferior; Obliquus capitis superior; Rectus capitis posterior major; Rectus capitis posterior minor | Tendons/fascia: Atlas-listed tendon/aponeurosis examples: Segmental tendon slips; Small segmental tendons; Fleshy and tendinous vertebral insertions; Basilar occipital insertion tendon; additional listed attachments | Ligament context only: Nuchal and cervical capsular ligaments stabilize spine; NOT intentionally stretched</x:v>
      </x:c>
      <x:c r="N225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Omohyoid inferior belly; Omohyoid superior belly; Sternohyoid; Sternothyroid; Thyrohyoid; Geniohyoid; Mylohyoid; Digastric anterior belly; Digastric posterior belly; Stylohyoid</x:v>
      </x:c>
      <x:c r="O225" s="24" t="str">
        <x:v>Palm on forehead; press gently forward against stationary hand.</x:v>
      </x:c>
      <x:c r="P225" s="24" t="str">
        <x:v>Hand</x:v>
      </x:c>
      <x:c r="Q225" s="24" t="str">
        <x:v>2–3 × 8–12 controlled reps</x:v>
      </x:c>
      <x:c r="R225" s="24" t="str">
        <x:v>Progress gradually; stop with sharp pain, dizziness, or numbness.</x:v>
      </x:c>
      <x:c r="S225" s="24" t="str">
        <x:v>https://orthoinfo.aaos.org/globalassets/pdfs/spine-conditioning-program.pdf</x:v>
      </x:c>
      <x:c r="T225" s="24" t="str">
        <x:v>Anatomy-based mapping</x:v>
      </x:c>
    </x:row>
    <x:row r="226" ht="54" customHeight="1">
      <x:c r="A226" s="24" t="str">
        <x:v>EX0288</x:v>
      </x:c>
      <x:c r="B226" s="24" t="str">
        <x:v>Neck isometric extension hand resistance</x:v>
      </x:c>
      <x:c r="C226" s="24" t="str">
        <x:v>Neck</x:v>
      </x:c>
      <x:c r="D226" s="24" t="str">
        <x:v>Home</x:v>
      </x:c>
      <x:c r="E226" s="24" t="str">
        <x:v>Isometric strength</x:v>
      </x:c>
      <x:c r="F226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G226" s="24" t="str">
        <x:v>Trapezius</x:v>
      </x:c>
      <x:c r="H226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</x:v>
      </x:c>
      <x:c r="I226" s="24" t="str">
        <x:v>—</x:v>
      </x:c>
      <x:c r="J226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minor; Trapezius;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</x:v>
      </x:c>
      <x:c r="K226" s="24" t="str">
        <x:v>Atlas-listed tendon/aponeurosis examples: Flat occipital/mastoid insertion tendon; Small fascicular tendons; Broad occipital insertion and tendinous intersections; Cervical insertion tendons; additional listed attachments</x:v>
      </x:c>
      <x:c r="L226" s="24" t="str">
        <x:v>Nuchal and cervical capsular ligaments stabilize spine; NOT intentionally stretched</x:v>
      </x:c>
      <x:c r="M226" s="24" t="str">
        <x:v>Muscles: Splenius capitis; Splenius cervicis; Semispinalis capitis; Semispinalis cervicis; Longissimus capitis; Longissimus cervicis; Levator scapulae; Obliquus capitis inferior; Obliquus capitis superior; Rectus capitis posterior major; Rectus capitis posterior minor; Trapezius;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 | Tendons/fascia: Atlas-listed tendon/aponeurosis examples: Flat occipital/mastoid insertion tendon; Small fascicular tendons; Broad occipital insertion and tendinous intersections; Cervical insertion tendons; additional listed attachments | Ligament context only: Nuchal and cervical capsular ligaments stabilize spine; NOT intentionally stretched</x:v>
      </x:c>
      <x:c r="N226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minor; Trapezius</x:v>
      </x:c>
      <x:c r="O226" s="24" t="str">
        <x:v>Palm behind head; press gently backward without moving neck.</x:v>
      </x:c>
      <x:c r="P226" s="24" t="str">
        <x:v>Hand</x:v>
      </x:c>
      <x:c r="Q226" s="24" t="str">
        <x:v>2–3 × 8–12 controlled reps</x:v>
      </x:c>
      <x:c r="R226" s="24" t="str">
        <x:v>Progress gradually; stop with sharp pain, dizziness, or numbness.</x:v>
      </x:c>
      <x:c r="S226" s="24" t="str">
        <x:v>https://orthoinfo.aaos.org/globalassets/pdfs/spine-conditioning-program.pdf</x:v>
      </x:c>
      <x:c r="T226" s="24" t="str">
        <x:v>Anatomy-based mapping</x:v>
      </x:c>
    </x:row>
    <x:row r="227" ht="54" customHeight="1">
      <x:c r="A227" s="24" t="str">
        <x:v>EX0289</x:v>
      </x:c>
      <x:c r="B227" s="24" t="str">
        <x:v>Neck isometric lateral flexion</x:v>
      </x:c>
      <x:c r="C227" s="24" t="str">
        <x:v>Neck</x:v>
      </x:c>
      <x:c r="D227" s="24" t="str">
        <x:v>Home</x:v>
      </x:c>
      <x:c r="E227" s="24" t="str">
        <x:v>Isometric strength</x:v>
      </x:c>
      <x:c r="F227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minor; Intertransversarii cervicis anteriores; Intertransversarii cervicis posteriores</x:v>
      </x:c>
      <x:c r="G227" s="24" t="str">
        <x:v>—</x:v>
      </x:c>
      <x:c r="H227" s="24" t="str">
        <x:v>Rectus abdominis; External oblique; Internal oblique; Transversus abdominis</x:v>
      </x:c>
      <x:c r="I227" s="24" t="str">
        <x:v>—</x:v>
      </x:c>
      <x:c r="J227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minor; Intertransversarii cervicis anteriores; Intertransversarii cervicis posteriores; Rectus abdominis; External oblique; Internal oblique; Transversus abdominis</x:v>
      </x:c>
      <x:c r="K227" s="24" t="str">
        <x:v>Atlas-listed tendon/aponeurosis examples: Segmental tendon slips; Small segmental tendons; Fleshy and tendinous vertebral insertions; Basilar occipital insertion tendon; additional listed attachments</x:v>
      </x:c>
      <x:c r="L227" s="24" t="str">
        <x:v>Nuchal and cervical capsular ligaments stabilize spine; NOT intentionally stretched</x:v>
      </x:c>
      <x:c r="M227" s="24" t="str">
        <x:v>Muscles: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minor; Intertransversarii cervicis anteriores; Intertransversarii cervicis posteriores; Rectus abdominis; External oblique; Internal oblique; Transversus abdominis | Tendons/fascia: Atlas-listed tendon/aponeurosis examples: Segmental tendon slips; Small segmental tendons; Fleshy and tendinous vertebral insertions; Basilar occipital insertion tendon; additional listed attachments | Ligament context only: Nuchal and cervical capsular ligaments stabilize spine; NOT intentionally stretched</x:v>
      </x:c>
      <x:c r="N227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minor; Intertransversarii cervicis anteriores; Intertransversarii cervicis posteriores</x:v>
      </x:c>
      <x:c r="O227" s="24" t="str">
        <x:v>Palm against temple, press sideways at low force without turning head.</x:v>
      </x:c>
      <x:c r="P227" s="24" t="str">
        <x:v>Hand</x:v>
      </x:c>
      <x:c r="Q227" s="24" t="str">
        <x:v>2–3 × 8–12 controlled reps</x:v>
      </x:c>
      <x:c r="R227" s="24" t="str">
        <x:v>Progress gradually; stop with sharp pain, dizziness, or numbness.</x:v>
      </x:c>
      <x:c r="S227" s="24" t="str">
        <x:v>https://orthoinfo.aaos.org/globalassets/pdfs/spine-conditioning-program.pdf</x:v>
      </x:c>
      <x:c r="T227" s="24" t="str">
        <x:v>Anatomy-based mapping</x:v>
      </x:c>
    </x:row>
    <x:row r="228" ht="54" customHeight="1">
      <x:c r="A228" s="24" t="str">
        <x:v>EX0290</x:v>
      </x:c>
      <x:c r="B228" s="24" t="str">
        <x:v>Neck isometric rotation</x:v>
      </x:c>
      <x:c r="C228" s="24" t="str">
        <x:v>Neck</x:v>
      </x:c>
      <x:c r="D228" s="24" t="str">
        <x:v>Home</x:v>
      </x:c>
      <x:c r="E228" s="24" t="str">
        <x:v>Isometric strength</x:v>
      </x:c>
      <x:c r="F228" s="24" t="str">
        <x:v>Sternocleidomastoid clavicular head; Sternocleidomastoid sternal head; Splenius capitis; Obliquus capitis inferior; Obliquus capitis superior; Multifidus cervical fascicles</x:v>
      </x:c>
      <x:c r="G228" s="24" t="str">
        <x:v>Splenius cervicis; Semispinalis capitis; Semispinalis cervicis; Longissimus capitis; Longissimus cervicis; Levator scapulae; Rectus capitis posterior major; Rectus capitis posterior minor</x:v>
      </x:c>
      <x:c r="H228" s="24" t="str">
        <x:v>—</x:v>
      </x:c>
      <x:c r="I228" s="24" t="str">
        <x:v>—</x:v>
      </x:c>
      <x:c r="J228" s="24" t="str">
        <x:v>Sternocleidomastoid clavicular head; Sternocleidomastoid sternal head; Splenius capitis; Obliquus capitis inferior; Obliquus capitis superior; Multifidus cervical fascicles; Splenius cervicis; Semispinalis capitis; Semispinalis cervicis; Longissimus capitis; Longissimus cervicis; Levator scapulae; Rectus capitis posterior major; Rectus capitis posterior minor</x:v>
      </x:c>
      <x:c r="K228" s="24" t="str">
        <x:v>Atlas-listed tendon/aponeurosis examples: Clavicular aponeurosis/mastoid tendon; Sternal tendon and mastoid aponeurosis; Flat occipital/mastoid insertion tendon; Short C1 transverse process insertion tendon; additional listed attachments</x:v>
      </x:c>
      <x:c r="L228" s="24" t="str">
        <x:v>Nuchal and cervical capsular ligaments stabilize spine; NOT intentionally stretched</x:v>
      </x:c>
      <x:c r="M228" s="24" t="str">
        <x:v>Muscles: Sternocleidomastoid clavicular head; Sternocleidomastoid sternal head; Splenius capitis; Obliquus capitis inferior; Obliquus capitis superior; Multifidus cervical fascicles; Splenius cervicis; Semispinalis capitis; Semispinalis cervicis; Longissimus capitis; Longissimus cervicis; Levator scapulae; Rectus capitis posterior major; Rectus capitis posterior minor | Tendons/fascia: Atlas-listed tendon/aponeurosis examples: Clavicular aponeurosis/mastoid tendon; Sternal tendon and mastoid aponeurosis; Flat occipital/mastoid insertion tendon; Short C1 transverse process insertion tendon; additional listed attachments | Ligament context only: Nuchal and cervical capsular ligaments stabilize spine; NOT intentionally stretched</x:v>
      </x:c>
      <x:c r="N228" s="24" t="str">
        <x:v>Sternocleidomastoid clavicular head; Sternocleidomastoid sternal head; Splenius capitis; Obliquus capitis inferior; Obliquus capitis superior; Multifidus cervical fascicles; Splenius cervicis; Semispinalis capitis; Semispinalis cervicis; Longissimus capitis; Longissimus cervicis; Levator scapulae; Rectus capitis posterior major; Rectus capitis posterior minor</x:v>
      </x:c>
      <x:c r="O228" s="24" t="str">
        <x:v>Hand at temple; gently turn against stationary hand.</x:v>
      </x:c>
      <x:c r="P228" s="24" t="str">
        <x:v>Hand</x:v>
      </x:c>
      <x:c r="Q228" s="24" t="str">
        <x:v>2–3 × 8–12 controlled reps</x:v>
      </x:c>
      <x:c r="R228" s="24" t="str">
        <x:v>Progress gradually; stop with sharp pain, dizziness, or numbness.</x:v>
      </x:c>
      <x:c r="S228" s="24" t="str">
        <x:v>https://orthoinfo.aaos.org/globalassets/pdfs/spine-conditioning-program.pdf</x:v>
      </x:c>
      <x:c r="T228" s="24" t="str">
        <x:v>Anatomy-based mapping</x:v>
      </x:c>
    </x:row>
    <x:row r="229" ht="54" customHeight="1">
      <x:c r="A229" s="24" t="str">
        <x:v>EX0291</x:v>
      </x:c>
      <x:c r="B229" s="24" t="str">
        <x:v>Cervical rotation active range</x:v>
      </x:c>
      <x:c r="C229" s="24" t="str">
        <x:v>Neck</x:v>
      </x:c>
      <x:c r="D229" s="24" t="str">
        <x:v>Home</x:v>
      </x:c>
      <x:c r="E229" s="24" t="str">
        <x:v>Mobility</x:v>
      </x:c>
      <x:c r="F229" s="24" t="str">
        <x:v>Sternocleidomastoid clavicular head; Sternocleidomastoid sternal head; Splenius capitis; Splenius cervicis; Obliquus capitis inferior; Obliquus capitis superior; Rectus capitis posterior major; Rectus capitis posterior minor</x:v>
      </x:c>
      <x:c r="G229" s="24" t="str">
        <x:v>—</x:v>
      </x:c>
      <x:c r="H229" s="24" t="str">
        <x:v>Longus colli inferior oblique part; Longus colli superior oblique part; Longus colli vertical part; Longus capitis; Rectus capitis anterior; Rectus capitis lateralis; Anterior scalene; Middle scalene; Posterior scalene</x:v>
      </x:c>
      <x:c r="I229" s="24" t="str">
        <x:v>Sternocleidomastoid clavicular head; Sternocleidomastoid sternal head</x:v>
      </x:c>
      <x:c r="J229" s="24" t="str">
        <x:v>Sternocleidomastoid clavicular head; Sternocleidomastoid sternal head; Splenius capitis; Splenius cervicis; Obliquus capitis inferior; Obliquus capitis superior; Rectus capitis posterior major; Rectus capitis posterior minor; Longus colli inferior oblique part; Longus colli superior oblique part; Longus colli vertical part; Longus capitis; Rectus capitis anterior; Rectus capitis lateralis; Anterior scalene; Middle scalene; Posterior scalene</x:v>
      </x:c>
      <x:c r="K229" s="24" t="str">
        <x:v>Atlas-listed tendon/aponeurosis examples: Clavicular aponeurosis/mastoid tendon; Sternal tendon and mastoid aponeurosis; Flat occipital/mastoid insertion tendon; Small fascicular tendons; additional listed attachments</x:v>
      </x:c>
      <x:c r="L229" s="24" t="str">
        <x:v>Nuchal and cervical capsular ligaments stabilize spine; NOT intentionally stretched</x:v>
      </x:c>
      <x:c r="M229" s="24" t="str">
        <x:v>Muscles: Sternocleidomastoid clavicular head; Sternocleidomastoid sternal head; Splenius capitis; Splenius cervicis; Obliquus capitis inferior; Obliquus capitis superior; Rectus capitis posterior major; Rectus capitis posterior minor; Longus colli inferior oblique part; Longus colli superior oblique part; Longus colli vertical part; Longus capitis; Rectus capitis anterior; Rectus capitis lateralis; Anterior scalene; Middle scalene; Posterior scalene | Tendons/fascia: Atlas-listed tendon/aponeurosis examples: Clavicular aponeurosis/mastoid tendon; Sternal tendon and mastoid aponeurosis; Flat occipital/mastoid insertion tendon; Small fascicular tendons; additional listed attachments | Ligament context only: Nuchal and cervical capsular ligaments stabilize spine; NOT intentionally stretched</x:v>
      </x:c>
      <x:c r="N229" s="24" t="str">
        <x:v>Usually none expected (stretch, mobility or relaxation; any active movers are low-load)</x:v>
      </x:c>
      <x:c r="O229" s="24" t="str">
        <x:v>Turn head each way slowly with chin level.</x:v>
      </x:c>
      <x:c r="P229" s="24" t="str">
        <x:v>None</x:v>
      </x:c>
      <x:c r="Q229" s="24" t="str">
        <x:v>1–2 × 5–10 controlled reps</x:v>
      </x:c>
      <x:c r="R229" s="24" t="str">
        <x:v>Progress gradually; stop with sharp pain, dizziness, or numbness.</x:v>
      </x:c>
      <x:c r="S229" s="24" t="str">
        <x:v>https://orthoinfo.aaos.org/globalassets/pdfs/spine-conditioning-program.pdf</x:v>
      </x:c>
      <x:c r="T229" s="24" t="str">
        <x:v>Anatomy-based mapping</x:v>
      </x:c>
    </x:row>
    <x:row r="230" ht="54" customHeight="1">
      <x:c r="A230" s="24" t="str">
        <x:v>EX0292</x:v>
      </x:c>
      <x:c r="B230" s="24" t="str">
        <x:v>Cervical lateral bending active range</x:v>
      </x:c>
      <x:c r="C230" s="24" t="str">
        <x:v>Neck</x:v>
      </x:c>
      <x:c r="D230" s="24" t="str">
        <x:v>Home</x:v>
      </x:c>
      <x:c r="E230" s="24" t="str">
        <x:v>Mobility</x:v>
      </x:c>
      <x:c r="F230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G230" s="24" t="str">
        <x:v>—</x:v>
      </x:c>
      <x:c r="H230" s="24" t="str">
        <x:v>—</x:v>
      </x:c>
      <x:c r="I230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</x:v>
      </x:c>
      <x:c r="J230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K230" s="24" t="str">
        <x:v>Atlas-listed tendon/aponeurosis examples: Segmental tendon slips; Small segmental tendons; Fleshy and tendinous vertebral insertions; Basilar occipital insertion tendon; additional listed attachments</x:v>
      </x:c>
      <x:c r="L230" s="24" t="str">
        <x:v>Nuchal and cervical capsular ligaments stabilize spine; NOT intentionally stretched</x:v>
      </x:c>
      <x:c r="M230" s="24" t="str">
        <x:v>Muscles: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 | Tendons/fascia: Atlas-listed tendon/aponeurosis examples: Segmental tendon slips; Small segmental tendons; Fleshy and tendinous vertebral insertions; Basilar occipital insertion tendon; additional listed attachments | Ligament context only: Nuchal and cervical capsular ligaments stabilize spine; NOT intentionally stretched</x:v>
      </x:c>
      <x:c r="N230" s="24" t="str">
        <x:v>Usually none expected (stretch, mobility or relaxation; any active movers are low-load)</x:v>
      </x:c>
      <x:c r="O230" s="24" t="str">
        <x:v>Tilt ear toward shoulder gently without hiking shoulder.</x:v>
      </x:c>
      <x:c r="P230" s="24" t="str">
        <x:v>None</x:v>
      </x:c>
      <x:c r="Q230" s="24" t="str">
        <x:v>1–2 × 5–10 controlled reps</x:v>
      </x:c>
      <x:c r="R230" s="24" t="str">
        <x:v>Progress gradually; stop with sharp pain, dizziness, or numbness.</x:v>
      </x:c>
      <x:c r="S230" s="24" t="str">
        <x:v>https://orthoinfo.aaos.org/globalassets/pdfs/spine-conditioning-program.pdf</x:v>
      </x:c>
      <x:c r="T230" s="24" t="str">
        <x:v>Anatomy-based mapping</x:v>
      </x:c>
    </x:row>
    <x:row r="231" ht="54" customHeight="1">
      <x:c r="A231" s="24" t="str">
        <x:v>EX0293</x:v>
      </x:c>
      <x:c r="B231" s="24" t="str">
        <x:v>Suboccipital gentle nod / yes-no</x:v>
      </x:c>
      <x:c r="C231" s="24" t="str">
        <x:v>Neck</x:v>
      </x:c>
      <x:c r="D231" s="24" t="str">
        <x:v>Home</x:v>
      </x:c>
      <x:c r="E231" s="24" t="str">
        <x:v>Motor control</x:v>
      </x:c>
      <x:c r="F231" s="24" t="str">
        <x:v>Obliquus capitis inferior; Obliquus capitis superior; Rectus capitis posterior major; Rectus capitis posterior minor; Rectus capitis anterior; Rectus capitis lateralis</x:v>
      </x:c>
      <x:c r="G231" s="24" t="str">
        <x:v>Longus colli inferior oblique part; Longus colli superior oblique part; Longus colli vertical part</x:v>
      </x:c>
      <x:c r="H231" s="24" t="str">
        <x:v>—</x:v>
      </x:c>
      <x:c r="I231" s="24" t="str">
        <x:v>—</x:v>
      </x:c>
      <x:c r="J231" s="24" t="str">
        <x:v>Obliquus capitis inferior; Obliquus capitis superior; Rectus capitis posterior major; Rectus capitis posterior minor; Rectus capitis anterior; Rectus capitis lateralis; Longus colli inferior oblique part; Longus colli superior oblique part; Longus colli vertical part</x:v>
      </x:c>
      <x:c r="K231" s="24" t="str">
        <x:v>Atlas-listed tendon/aponeurosis examples: Short C1 transverse process insertion tendon; Short occipital insertion tendon; Occipital insertion tendon; Short occipital tendon; additional listed attachments</x:v>
      </x:c>
      <x:c r="L231" s="24" t="str">
        <x:v>Nuchal and cervical capsular ligaments stabilize spine; NOT intentionally stretched</x:v>
      </x:c>
      <x:c r="M231" s="24" t="str">
        <x:v>Muscles: Obliquus capitis inferior; Obliquus capitis superior; Rectus capitis posterior major; Rectus capitis posterior minor; Rectus capitis anterior; Rectus capitis lateralis; Longus colli inferior oblique part; Longus colli superior oblique part; Longus colli vertical part | Tendons/fascia: Atlas-listed tendon/aponeurosis examples: Short C1 transverse process insertion tendon; Short occipital insertion tendon; Occipital insertion tendon; Short occipital tendon; additional listed attachments | Ligament context only: Nuchal and cervical capsular ligaments stabilize spine; NOT intentionally stretched</x:v>
      </x:c>
      <x:c r="N231" s="24" t="str">
        <x:v>Low-load activation, not ordinarily to fatigue: Obliquus capitis inferior; Obliquus capitis superior; Rectus capitis posterior major; Rectus capitis posterior minor; Rectus capitis anterior; Rectus capitis lateralis</x:v>
      </x:c>
      <x:c r="O231" s="24" t="str">
        <x:v>With neck supported, do small pain-free nod and rotation.</x:v>
      </x:c>
      <x:c r="P231" s="24" t="str">
        <x:v>Rolled towel</x:v>
      </x:c>
      <x:c r="Q231" s="24" t="str">
        <x:v>1–2 × 5–10 controlled reps</x:v>
      </x:c>
      <x:c r="R231" s="24" t="str">
        <x:v>Progress gradually; stop with sharp pain, dizziness, or numbness.</x:v>
      </x:c>
      <x:c r="S231" s="24" t="str">
        <x:v>https://orthoinfo.aaos.org/globalassets/pdfs/spine-conditioning-program.pdf</x:v>
      </x:c>
      <x:c r="T231" s="24" t="str">
        <x:v>Anatomy-based mapping</x:v>
      </x:c>
    </x:row>
    <x:row r="232" ht="54" customHeight="1">
      <x:c r="A232" s="24" t="str">
        <x:v>EX0294</x:v>
      </x:c>
      <x:c r="B232" s="24" t="str">
        <x:v>Scapular retraction posture drill</x:v>
      </x:c>
      <x:c r="C232" s="24" t="str">
        <x:v>Neck</x:v>
      </x:c>
      <x:c r="D232" s="24" t="str">
        <x:v>Home</x:v>
      </x:c>
      <x:c r="E232" s="24" t="str">
        <x:v>Motor control</x:v>
      </x:c>
      <x:c r="F232" s="24" t="str">
        <x:v>Rhomboid major; Rhomboid minor; Trapezius</x:v>
      </x:c>
      <x:c r="G232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H232" s="24" t="str">
        <x:v>Longus colli inferior oblique part; Longus colli superior oblique part; Longus colli vertical part</x:v>
      </x:c>
      <x:c r="I232" s="24" t="str">
        <x:v>—</x:v>
      </x:c>
      <x:c r="J232" s="24" t="str">
        <x:v>Rhomboid major; Rhomboid minor; Trapezius; Splenius capitis; Splenius cervicis; Semispinalis capitis; Semispinalis cervicis; Longissimus capitis; Longissimus cervicis; Levator scapulae; Obliquus capitis inferior; Obliquus capitis superior; Rectus capitis posterior major; Rectus capitis posterior minor; Longus colli inferior oblique part; Longus colli superior oblique part; Longus colli vertical part</x:v>
      </x:c>
      <x:c r="K232" s="24" t="str">
        <x:v>Atlas-listed tendon/aponeurosis examples: Fibrous scapular insertion; Fibrous insertion slips; Broad aponeuroses and scapular/clavicular tendinous insertions; Flat occipital/mastoid insertion tendon; additional listed attachments</x:v>
      </x:c>
      <x:c r="L232" s="24" t="str">
        <x:v>Nuchal and cervical capsular ligaments stabilize spine; NOT intentionally stretched</x:v>
      </x:c>
      <x:c r="M232" s="24" t="str">
        <x:v>Muscles: Rhomboid major; Rhomboid minor; Trapezius; Splenius capitis; Splenius cervicis; Semispinalis capitis; Semispinalis cervicis; Longissimus capitis; Longissimus cervicis; Levator scapulae; Obliquus capitis inferior; Obliquus capitis superior; Rectus capitis posterior major; Rectus capitis posterior minor; Longus colli inferior oblique part; Longus colli superior oblique part; Longus colli vertical part | Tendons/fascia: Atlas-listed tendon/aponeurosis examples: Fibrous scapular insertion; Fibrous insertion slips; Broad aponeuroses and scapular/clavicular tendinous insertions; Flat occipital/mastoid insertion tendon; additional listed attachments | Ligament context only: Nuchal and cervical capsular ligaments stabilize spine; NOT intentionally stretched</x:v>
      </x:c>
      <x:c r="N232" s="24" t="str">
        <x:v>Low-load activation, not ordinarily to fatigue: Rhomboid major; Rhomboid minor; Trapezius</x:v>
      </x:c>
      <x:c r="O232" s="24" t="str">
        <x:v>Gently bring shoulder blades back and down without neck tension.</x:v>
      </x:c>
      <x:c r="P232" s="24" t="str">
        <x:v>None</x:v>
      </x:c>
      <x:c r="Q232" s="24" t="str">
        <x:v>1–2 × 5–10 controlled reps</x:v>
      </x:c>
      <x:c r="R232" s="24" t="str">
        <x:v>Progress gradually; stop with sharp pain, dizziness, or numbness.</x:v>
      </x:c>
      <x:c r="S232" s="24" t="str">
        <x:v>https://orthoinfo.aaos.org/globalassets/pdfs/spine-conditioning-program.pdf</x:v>
      </x:c>
      <x:c r="T232" s="24" t="str">
        <x:v>Anatomy-based mapping</x:v>
      </x:c>
    </x:row>
    <x:row r="233" ht="54" customHeight="1">
      <x:c r="A233" s="24" t="str">
        <x:v>EX0295</x:v>
      </x:c>
      <x:c r="B233" s="24" t="str">
        <x:v>Seated sternocleidomastoid stretch</x:v>
      </x:c>
      <x:c r="C233" s="24" t="str">
        <x:v>Neck</x:v>
      </x:c>
      <x:c r="D233" s="24" t="str">
        <x:v>Home</x:v>
      </x:c>
      <x:c r="E233" s="24" t="str">
        <x:v>Passive stretch</x:v>
      </x:c>
      <x:c r="F233" s="24" t="str">
        <x:v>—</x:v>
      </x:c>
      <x:c r="G233" s="24" t="str">
        <x:v>—</x:v>
      </x:c>
      <x:c r="H233" s="24" t="str">
        <x:v>—</x:v>
      </x:c>
      <x:c r="I233" s="24" t="str">
        <x:v>Sternocleidomastoid clavicular head; Sternocleidomastoid sternal head</x:v>
      </x:c>
      <x:c r="J233" s="24" t="str">
        <x:v>Sternocleidomastoid clavicular head; Sternocleidomastoid sternal head</x:v>
      </x:c>
      <x:c r="K233" s="24" t="str">
        <x:v>Atlas-listed tendon/aponeurosis examples: Clavicular aponeurosis/mastoid tendon; Sternal tendon and mastoid aponeurosis</x:v>
      </x:c>
      <x:c r="L233" s="24" t="str">
        <x:v>Nuchal and cervical capsular ligaments stabilize spine; NOT intentionally stretched</x:v>
      </x:c>
      <x:c r="M233" s="24" t="str">
        <x:v>Muscles: Sternocleidomastoid clavicular head; Sternocleidomastoid sternal head | Tendons/fascia: Atlas-listed tendon/aponeurosis examples: Clavicular aponeurosis/mastoid tendon; Sternal tendon and mastoid aponeurosis | Ligament context only: Nuchal and cervical capsular ligaments stabilize spine; NOT intentionally stretched</x:v>
      </x:c>
      <x:c r="N233" s="24" t="str">
        <x:v>Usually none expected (stretch, mobility or relaxation; any active movers are low-load)</x:v>
      </x:c>
      <x:c r="O233" s="24" t="str">
        <x:v>Slowly side-bend head away and turn slightly toward stretched side.</x:v>
      </x:c>
      <x:c r="P233" s="24" t="str">
        <x:v>Chair</x:v>
      </x:c>
      <x:c r="Q233" s="24" t="str">
        <x:v>2–3 × 8–12 controlled reps</x:v>
      </x:c>
      <x:c r="R233" s="24" t="str">
        <x:v>Avoid compressing front of neck; do not force dizziness/tingling.</x:v>
      </x:c>
      <x:c r="S233" s="24" t="str">
        <x:v>https://orthoinfo.aaos.org/globalassets/pdfs/spine-conditioning-program.pdf</x:v>
      </x:c>
      <x:c r="T233" s="24" t="str">
        <x:v>Anatomy-based mapping</x:v>
      </x:c>
    </x:row>
    <x:row r="234" ht="54" customHeight="1">
      <x:c r="A234" s="24" t="str">
        <x:v>EX0296</x:v>
      </x:c>
      <x:c r="B234" s="24" t="str">
        <x:v>Gentle upper trapezius stretch</x:v>
      </x:c>
      <x:c r="C234" s="24" t="str">
        <x:v>Neck</x:v>
      </x:c>
      <x:c r="D234" s="24" t="str">
        <x:v>Home</x:v>
      </x:c>
      <x:c r="E234" s="24" t="str">
        <x:v>Passive stretch</x:v>
      </x:c>
      <x:c r="F234" s="24" t="str">
        <x:v>—</x:v>
      </x:c>
      <x:c r="G234" s="24" t="str">
        <x:v>—</x:v>
      </x:c>
      <x:c r="H234" s="24" t="str">
        <x:v>—</x:v>
      </x:c>
      <x:c r="I234" s="24" t="str">
        <x:v>Trapezius; Levator scapulae</x:v>
      </x:c>
      <x:c r="J234" s="24" t="str">
        <x:v>Trapezius; Levator scapulae</x:v>
      </x:c>
      <x:c r="K234" s="24" t="str">
        <x:v>Atlas-listed tendon/aponeurosis examples: Broad aponeuroses and scapular/clavicular tendinous insertions; Short aponeurotic scapular attachment</x:v>
      </x:c>
      <x:c r="L234" s="24" t="str">
        <x:v>Nuchal and cervical capsular ligaments stabilize spine; NOT intentionally stretched</x:v>
      </x:c>
      <x:c r="M234" s="24" t="str">
        <x:v>Muscles: Trapezius; Levator scapulae | Tendons/fascia: Atlas-listed tendon/aponeurosis examples: Broad aponeuroses and scapular/clavicular tendinous insertions; Short aponeurotic scapular attachment | Ligament context only: Nuchal and cervical capsular ligaments stabilize spine; NOT intentionally stretched</x:v>
      </x:c>
      <x:c r="N234" s="24" t="str">
        <x:v>Usually none expected (stretch, mobility or relaxation; any active movers are low-load)</x:v>
      </x:c>
      <x:c r="O234" s="24" t="str">
        <x:v>Let ear tilt away from shoulder while arm remains relaxed.</x:v>
      </x:c>
      <x:c r="P234" s="24" t="str">
        <x:v>Chair</x:v>
      </x:c>
      <x:c r="Q234" s="24" t="str">
        <x:v>2–3 × 8–12 controlled reps</x:v>
      </x:c>
      <x:c r="R234" s="24" t="str">
        <x:v>Progress gradually; stop with sharp pain, dizziness, or numbness.</x:v>
      </x:c>
      <x:c r="S234" s="24" t="str">
        <x:v>https://orthoinfo.aaos.org/globalassets/pdfs/spine-conditioning-program.pdf</x:v>
      </x:c>
      <x:c r="T234" s="24" t="str">
        <x:v>Anatomy-based mapping</x:v>
      </x:c>
    </x:row>
    <x:row r="235" ht="54" customHeight="1">
      <x:c r="A235" s="24" t="str">
        <x:v>EX0297</x:v>
      </x:c>
      <x:c r="B235" s="24" t="str">
        <x:v>Levator scapulae stretch</x:v>
      </x:c>
      <x:c r="C235" s="24" t="str">
        <x:v>Neck</x:v>
      </x:c>
      <x:c r="D235" s="24" t="str">
        <x:v>Home</x:v>
      </x:c>
      <x:c r="E235" s="24" t="str">
        <x:v>Passive stretch</x:v>
      </x:c>
      <x:c r="F235" s="24" t="str">
        <x:v>—</x:v>
      </x:c>
      <x:c r="G235" s="24" t="str">
        <x:v>—</x:v>
      </x:c>
      <x:c r="H235" s="24" t="str">
        <x:v>—</x:v>
      </x:c>
      <x:c r="I235" s="24" t="str">
        <x:v>Levator scapulae</x:v>
      </x:c>
      <x:c r="J235" s="24" t="str">
        <x:v>Levator scapulae</x:v>
      </x:c>
      <x:c r="K235" s="24" t="str">
        <x:v>Atlas-listed tendon/aponeurosis examples: Short aponeurotic scapular attachment</x:v>
      </x:c>
      <x:c r="L235" s="24" t="str">
        <x:v>Nuchal and cervical capsular ligaments stabilize spine; NOT intentionally stretched</x:v>
      </x:c>
      <x:c r="M235" s="24" t="str">
        <x:v>Muscles: Levator scapulae | Tendons/fascia: Atlas-listed tendon/aponeurosis examples: Short aponeurotic scapular attachment | Ligament context only: Nuchal and cervical capsular ligaments stabilize spine; NOT intentionally stretched</x:v>
      </x:c>
      <x:c r="N235" s="24" t="str">
        <x:v>Usually none expected (stretch, mobility or relaxation; any active movers are low-load)</x:v>
      </x:c>
      <x:c r="O235" s="24" t="str">
        <x:v>Look diagonally toward armpit, apply only very gentle neck flexion.</x:v>
      </x:c>
      <x:c r="P235" s="24" t="str">
        <x:v>Chair</x:v>
      </x:c>
      <x:c r="Q235" s="24" t="str">
        <x:v>2–3 × 8–12 controlled reps</x:v>
      </x:c>
      <x:c r="R235" s="24" t="str">
        <x:v>Progress gradually; stop with sharp pain, dizziness, or numbness.</x:v>
      </x:c>
      <x:c r="S235" s="24" t="str">
        <x:v>https://orthoinfo.aaos.org/globalassets/pdfs/spine-conditioning-program.pdf</x:v>
      </x:c>
      <x:c r="T235" s="24" t="str">
        <x:v>Anatomy-based mapping</x:v>
      </x:c>
    </x:row>
    <x:row r="236" ht="54" customHeight="1">
      <x:c r="A236" s="24" t="str">
        <x:v>EX0298</x:v>
      </x:c>
      <x:c r="B236" s="24" t="str">
        <x:v>Scalene gentle lateral neck stretch</x:v>
      </x:c>
      <x:c r="C236" s="24" t="str">
        <x:v>Neck</x:v>
      </x:c>
      <x:c r="D236" s="24" t="str">
        <x:v>Home</x:v>
      </x:c>
      <x:c r="E236" s="24" t="str">
        <x:v>Passive stretch</x:v>
      </x:c>
      <x:c r="F236" s="24" t="str">
        <x:v>—</x:v>
      </x:c>
      <x:c r="G236" s="24" t="str">
        <x:v>—</x:v>
      </x:c>
      <x:c r="H236" s="24" t="str">
        <x:v>—</x:v>
      </x:c>
      <x:c r="I236" s="24" t="str">
        <x:v>Anterior scalene; Middle scalene; Posterior scalene</x:v>
      </x:c>
      <x:c r="J236" s="24" t="str">
        <x:v>Anterior scalene; Middle scalene; Posterior scalene</x:v>
      </x:c>
      <x:c r="K236" s="24" t="str">
        <x:v>Atlas-listed tendon/aponeurosis examples: Scalene insertion tendon; Costal insertion tendon</x:v>
      </x:c>
      <x:c r="L236" s="24" t="str">
        <x:v>Nuchal and cervical capsular ligaments stabilize spine; NOT intentionally stretched</x:v>
      </x:c>
      <x:c r="M236" s="24" t="str">
        <x:v>Muscles: Anterior scalene; Middle scalene; Posterior scalene | Tendons/fascia: Atlas-listed tendon/aponeurosis examples: Scalene insertion tendon; Costal insertion tendon | Ligament context only: Nuchal and cervical capsular ligaments stabilize spine; NOT intentionally stretched</x:v>
      </x:c>
      <x:c r="N236" s="24" t="str">
        <x:v>Usually none expected (stretch, mobility or relaxation; any active movers are low-load)</x:v>
      </x:c>
      <x:c r="O236" s="24" t="str">
        <x:v>With shoulders down, tip head slightly away without strong extension.</x:v>
      </x:c>
      <x:c r="P236" s="24" t="str">
        <x:v>Chair</x:v>
      </x:c>
      <x:c r="Q236" s="24" t="str">
        <x:v>2–3 × 8–12 controlled reps</x:v>
      </x:c>
      <x:c r="R236" s="24" t="str">
        <x:v>No pressure to front/lateral neck; avoid if vascular symptoms.</x:v>
      </x:c>
      <x:c r="S236" s="24" t="str">
        <x:v>https://orthoinfo.aaos.org/globalassets/pdfs/spine-conditioning-program.pdf</x:v>
      </x:c>
      <x:c r="T236" s="24" t="str">
        <x:v>Anatomy-based mapping</x:v>
      </x:c>
    </x:row>
    <x:row r="237" ht="54" customHeight="1">
      <x:c r="A237" s="24" t="str">
        <x:v>EX0299</x:v>
      </x:c>
      <x:c r="B237" s="24" t="str">
        <x:v>Seated cervical extensor stretch</x:v>
      </x:c>
      <x:c r="C237" s="24" t="str">
        <x:v>Neck</x:v>
      </x:c>
      <x:c r="D237" s="24" t="str">
        <x:v>Home</x:v>
      </x:c>
      <x:c r="E237" s="24" t="str">
        <x:v>Passive stretch</x:v>
      </x:c>
      <x:c r="F237" s="24" t="str">
        <x:v>—</x:v>
      </x:c>
      <x:c r="G237" s="24" t="str">
        <x:v>—</x:v>
      </x:c>
      <x:c r="H237" s="24" t="str">
        <x:v>—</x:v>
      </x:c>
      <x:c r="I237" s="24" t="str">
        <x:v>Splenius capitis; Splenius cervicis; Obliquus capitis inferior; Obliquus capitis superior; Rectus capitis posterior major; Rectus capitis posterior minor</x:v>
      </x:c>
      <x:c r="J237" s="24" t="str">
        <x:v>Splenius capitis; Splenius cervicis; Obliquus capitis inferior; Obliquus capitis superior; Rectus capitis posterior major; Rectus capitis posterior minor</x:v>
      </x:c>
      <x:c r="K237" s="24" t="str">
        <x:v>Atlas-listed tendon/aponeurosis examples: Flat occipital/mastoid insertion tendon; Small fascicular tendons; Short C1 transverse process insertion tendon; Short occipital insertion tendon; additional listed attachments</x:v>
      </x:c>
      <x:c r="L237" s="24" t="str">
        <x:v>Nuchal and cervical capsular ligaments stabilize spine; NOT intentionally stretched</x:v>
      </x:c>
      <x:c r="M237" s="24" t="str">
        <x:v>Muscles: Splenius capitis; Splenius cervicis; Obliquus capitis inferior; Obliquus capitis superior; Rectus capitis posterior major; Rectus capitis posterior minor | Tendons/fascia: Atlas-listed tendon/aponeurosis examples: Flat occipital/mastoid insertion tendon; Small fascicular tendons; Short C1 transverse process insertion tendon; Short occipital insertion tendon; additional listed attachments | Ligament context only: Nuchal and cervical capsular ligaments stabilize spine; NOT intentionally stretched</x:v>
      </x:c>
      <x:c r="N237" s="24" t="str">
        <x:v>Usually none expected (stretch, mobility or relaxation; any active movers are low-load)</x:v>
      </x:c>
      <x:c r="O237" s="24" t="str">
        <x:v>Nod chin slightly toward chest without traction.</x:v>
      </x:c>
      <x:c r="P237" s="24" t="str">
        <x:v>Chair</x:v>
      </x:c>
      <x:c r="Q237" s="24" t="str">
        <x:v>2–3 × 8–12 controlled reps</x:v>
      </x:c>
      <x:c r="R237" s="24" t="str">
        <x:v>Progress gradually; stop with sharp pain, dizziness, or numbness.</x:v>
      </x:c>
      <x:c r="S237" s="24" t="str">
        <x:v>https://orthoinfo.aaos.org/globalassets/pdfs/spine-conditioning-program.pdf</x:v>
      </x:c>
      <x:c r="T237" s="24" t="str">
        <x:v>Anatomy-based mapping</x:v>
      </x:c>
    </x:row>
    <x:row r="238" ht="54" customHeight="1">
      <x:c r="A238" s="24" t="str">
        <x:v>EX0300</x:v>
      </x:c>
      <x:c r="B238" s="24" t="str">
        <x:v>Prone low-level cervical extension</x:v>
      </x:c>
      <x:c r="C238" s="24" t="str">
        <x:v>Neck</x:v>
      </x:c>
      <x:c r="D238" s="24" t="str">
        <x:v>Home</x:v>
      </x:c>
      <x:c r="E238" s="24" t="str">
        <x:v>Isolation strength</x:v>
      </x:c>
      <x:c r="F238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G238" s="24" t="str">
        <x:v>—</x:v>
      </x:c>
      <x:c r="H238" s="24" t="str">
        <x:v>Rhomboid major; Rhomboid minor; Trapezius</x:v>
      </x:c>
      <x:c r="I238" s="24" t="str">
        <x:v>—</x:v>
      </x:c>
      <x:c r="J238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minor; Rhomboid major; Rhomboid minor; Trapezius</x:v>
      </x:c>
      <x:c r="K238" s="24" t="str">
        <x:v>Nuchal ligament acts as passive restraint; not a stretch goal</x:v>
      </x:c>
      <x:c r="L238" s="24" t="str">
        <x:v>Nuchal and cervical capsular ligaments stabilize spine; NOT intentionally stretched</x:v>
      </x:c>
      <x:c r="M238" s="24" t="str">
        <x:v>Muscles: Splenius capitis; Splenius cervicis; Semispinalis capitis; Semispinalis cervicis; Longissimus capitis; Longissimus cervicis; Levator scapulae; Obliquus capitis inferior; Obliquus capitis superior; Rectus capitis posterior major; Rectus capitis posterior minor; Rhomboid major; Rhomboid minor; Trapezius | Tendons/fascia: Nuchal ligament acts as passive restraint; not a stretch goal | Ligament context only: Nuchal and cervical capsular ligaments stabilize spine; NOT intentionally stretched</x:v>
      </x:c>
      <x:c r="N238" s="24" t="str">
        <x:v>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O238" s="24" t="str">
        <x:v>Lying prone forehead supported, hover nose a centimeter without craning.</x:v>
      </x:c>
      <x:c r="P238" s="24" t="str">
        <x:v>Towel</x:v>
      </x:c>
      <x:c r="Q238" s="24" t="str">
        <x:v>2–3 × 8–12 controlled reps</x:v>
      </x:c>
      <x:c r="R238" s="24" t="str">
        <x:v>Progress gradually; stop with sharp pain, dizziness, or numbness.</x:v>
      </x:c>
      <x:c r="S238" s="24" t="str">
        <x:v>https://orthoinfo.aaos.org/globalassets/pdfs/spine-conditioning-program.pdf</x:v>
      </x:c>
      <x:c r="T238" s="24" t="str">
        <x:v>Anatomy-based mapping</x:v>
      </x:c>
    </x:row>
    <x:row r="239" ht="54" customHeight="1">
      <x:c r="A239" s="24" t="str">
        <x:v>EX0301</x:v>
      </x:c>
      <x:c r="B239" s="24" t="str">
        <x:v>Gentle neck side-lying hold</x:v>
      </x:c>
      <x:c r="C239" s="24" t="str">
        <x:v>Neck</x:v>
      </x:c>
      <x:c r="D239" s="24" t="str">
        <x:v>Home</x:v>
      </x:c>
      <x:c r="E239" s="24" t="str">
        <x:v>Isometric strength</x:v>
      </x:c>
      <x:c r="F239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G239" s="24" t="str">
        <x:v>—</x:v>
      </x:c>
      <x:c r="H239" s="24" t="str">
        <x:v>—</x:v>
      </x:c>
      <x:c r="I239" s="24" t="str">
        <x:v>—</x:v>
      </x:c>
      <x:c r="J239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K239" s="24" t="str">
        <x:v>Atlas-listed tendon/aponeurosis examples: Segmental tendon slips; Small segmental tendons; Fleshy and tendinous vertebral insertions; Basilar occipital insertion tendon; additional listed attachments</x:v>
      </x:c>
      <x:c r="L239" s="24" t="str">
        <x:v>Nuchal and cervical capsular ligaments stabilize spine; NOT intentionally stretched</x:v>
      </x:c>
      <x:c r="M239" s="24" t="str">
        <x:v>Muscles: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 | Tendons/fascia: Atlas-listed tendon/aponeurosis examples: Segmental tendon slips; Small segmental tendons; Fleshy and tendinous vertebral insertions; Basilar occipital insertion tendon; additional listed attachments | Ligament context only: Nuchal and cervical capsular ligaments stabilize spine; NOT intentionally stretched</x:v>
      </x:c>
      <x:c r="N239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O239" s="24" t="str">
        <x:v>Side-lying with pillow support, gently lift head just enough to align neck.</x:v>
      </x:c>
      <x:c r="P239" s="24" t="str">
        <x:v>Pillow</x:v>
      </x:c>
      <x:c r="Q239" s="24" t="str">
        <x:v>2–3 × 8–12 controlled reps</x:v>
      </x:c>
      <x:c r="R239" s="24" t="str">
        <x:v>Progress gradually; stop with sharp pain, dizziness, or numbness.</x:v>
      </x:c>
      <x:c r="S239" s="24" t="str">
        <x:v>https://orthoinfo.aaos.org/globalassets/pdfs/spine-conditioning-program.pdf</x:v>
      </x:c>
      <x:c r="T239" s="24" t="str">
        <x:v>Anatomy-based mapping</x:v>
      </x:c>
    </x:row>
    <x:row r="240" ht="54" customHeight="1">
      <x:c r="A240" s="24" t="str">
        <x:v>EX0302</x:v>
      </x:c>
      <x:c r="B240" s="24" t="str">
        <x:v>Band resisted scapular elevation for neck/scapula</x:v>
      </x:c>
      <x:c r="C240" s="24" t="str">
        <x:v>Neck</x:v>
      </x:c>
      <x:c r="D240" s="24" t="str">
        <x:v>Home</x:v>
      </x:c>
      <x:c r="E240" s="24" t="str">
        <x:v>Band strength</x:v>
      </x:c>
      <x:c r="F240" s="24" t="str">
        <x:v>Trapezius; Levator scapulae</x:v>
      </x:c>
      <x:c r="G240" s="24" t="str">
        <x:v>—</x:v>
      </x:c>
      <x:c r="H240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</x:v>
      </x:c>
      <x:c r="I240" s="24" t="str">
        <x:v>—</x:v>
      </x:c>
      <x:c r="J240" s="24" t="str">
        <x:v>Trapezius; Levator scapulae;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</x:v>
      </x:c>
      <x:c r="K240" s="24" t="str">
        <x:v>Atlas-listed tendon/aponeurosis examples: Broad aponeuroses and scapular/clavicular tendinous insertions; Short aponeurotic scapular attachment</x:v>
      </x:c>
      <x:c r="L240" s="24" t="str">
        <x:v>Nuchal and cervical capsular ligaments stabilize spine; NOT intentionally stretched</x:v>
      </x:c>
      <x:c r="M240" s="24" t="str">
        <x:v>Muscles: Trapezius; Levator scapulae;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 | Tendons/fascia: Atlas-listed tendon/aponeurosis examples: Broad aponeuroses and scapular/clavicular tendinous insertions; Short aponeurotic scapular attachment | Ligament context only: Nuchal and cervical capsular ligaments stabilize spine; NOT intentionally stretched</x:v>
      </x:c>
      <x:c r="N240" s="24" t="str">
        <x:v>Trapezius; Levator scapulae</x:v>
      </x:c>
      <x:c r="O240" s="24" t="str">
        <x:v>Use light band shrug without actively sidebending neck.</x:v>
      </x:c>
      <x:c r="P240" s="24" t="str">
        <x:v>Band</x:v>
      </x:c>
      <x:c r="Q240" s="24" t="str">
        <x:v>2–3 × 8–12 controlled reps</x:v>
      </x:c>
      <x:c r="R240" s="24" t="str">
        <x:v>Progress gradually; stop with sharp pain, dizziness, or numbness.</x:v>
      </x:c>
      <x:c r="S240" s="24" t="str">
        <x:v>https://orthoinfo.aaos.org/globalassets/pdfs/spine-conditioning-program.pdf</x:v>
      </x:c>
      <x:c r="T240" s="24" t="str">
        <x:v>Anatomy-based mapping</x:v>
      </x:c>
    </x:row>
    <x:row r="241" ht="54" customHeight="1">
      <x:c r="A241" s="24" t="str">
        <x:v>EX0303</x:v>
      </x:c>
      <x:c r="B241" s="24" t="str">
        <x:v>Overhead shoulder mobility with neck neutral</x:v>
      </x:c>
      <x:c r="C241" s="24" t="str">
        <x:v>Neck</x:v>
      </x:c>
      <x:c r="D241" s="24" t="str">
        <x:v>Home</x:v>
      </x:c>
      <x:c r="E241" s="24" t="str">
        <x:v>Mobility</x:v>
      </x:c>
      <x:c r="F241" s="24" t="str">
        <x:v>Trapezius; Serratus anterior</x:v>
      </x:c>
      <x:c r="G241" s="24" t="str">
        <x:v>Deltoid; Supraspinatus</x:v>
      </x:c>
      <x:c r="H241" s="24" t="str">
        <x:v>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I241" s="24" t="str">
        <x:v>—</x:v>
      </x:c>
      <x:c r="J241" s="24" t="str">
        <x:v>Trapezius; Serratus anterior; Deltoid; Supraspinatus;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</x:v>
      </x:c>
      <x:c r="K241" s="24" t="str">
        <x:v>Atlas-listed tendon/aponeurosis examples: Broad aponeuroses and scapular/clavicular tendinous insertions; Muscular/slip attachments; no dominant distal tendon; Deltoid insertion tendon; Supraspinatus tendon blends with shoulder capsule</x:v>
      </x:c>
      <x:c r="L241" s="24" t="str">
        <x:v>Nuchal and cervical capsular ligaments stabilize spine; NOT intentionally stretched</x:v>
      </x:c>
      <x:c r="M241" s="24" t="str">
        <x:v>Muscles: Trapezius; Serratus anterior; Deltoid; Supraspinatus; Longus colli inferior oblique part; Longus colli superior oblique part; Longus colli vertical part; Longus capitis; Rectus capitis anterior; Rectus capitis lateralis; Sternocleidomastoid clavicular head; Sternocleidomastoid sternal head; Anterior scalene; Middle scalene; Posterior scalene; Splenius capitis; Splenius cervicis; Semispinalis capitis; Semispinalis cervicis; Longissimus capitis; Longissimus cervicis; Levator scapulae; Obliquus capitis inferior; Obliquus capitis superior; Rectus capitis posterior major; Rectus capitis posterior minor | Tendons/fascia: Atlas-listed tendon/aponeurosis examples: Broad aponeuroses and scapular/clavicular tendinous insertions; Muscular/slip attachments; no dominant distal tendon; Deltoid insertion tendon; Supraspinatus tendon blends with shoulder capsule | Ligament context only: Nuchal and cervical capsular ligaments stabilize spine; NOT intentionally stretched</x:v>
      </x:c>
      <x:c r="N241" s="24" t="str">
        <x:v>Usually none expected (stretch, mobility or relaxation; any active movers are low-load)</x:v>
      </x:c>
      <x:c r="O241" s="24" t="str">
        <x:v>Slide arms overhead keeping chin tucked and ribs low.</x:v>
      </x:c>
      <x:c r="P241" s="24" t="str">
        <x:v>Wall</x:v>
      </x:c>
      <x:c r="Q241" s="24" t="str">
        <x:v>1–2 × 5–10 controlled reps</x:v>
      </x:c>
      <x:c r="R241" s="24" t="str">
        <x:v>Progress gradually; stop with sharp pain, dizziness, or numbness.</x:v>
      </x:c>
      <x:c r="S241" s="24" t="str">
        <x:v>https://orthoinfo.aaos.org/globalassets/pdfs/spine-conditioning-program.pdf</x:v>
      </x:c>
      <x:c r="T241" s="24" t="str">
        <x:v>Anatomy-based mapping</x:v>
      </x:c>
    </x:row>
    <x:row r="242" ht="54" customHeight="1">
      <x:c r="A242" s="24" t="str">
        <x:v>EX0304</x:v>
      </x:c>
      <x:c r="B242" s="24" t="str">
        <x:v>Diaphragmatic breathing supine</x:v>
      </x:c>
      <x:c r="C242" s="24" t="str">
        <x:v>Thorax &amp; Breathing</x:v>
      </x:c>
      <x:c r="D242" s="24" t="str">
        <x:v>Home</x:v>
      </x:c>
      <x:c r="E242" s="24" t="str">
        <x:v>Breathing</x:v>
      </x:c>
      <x:c r="F242" s="24" t="str">
        <x:v>Diaphragm costal part; Diaphragm lumbar part / crura; Diaphragm sternal part</x:v>
      </x:c>
      <x:c r="G242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H242" s="24" t="str">
        <x:v>Rectus abdominis; External oblique; Internal oblique; Transversus abdominis;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I242" s="24" t="str">
        <x:v>—</x:v>
      </x:c>
      <x:c r="J242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Rectus abdominis; External oblique; Internal oblique; Transversus abdominis;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K242" s="24" t="str">
        <x:v>Diaphragm costal/central tendon</x:v>
      </x:c>
      <x:c r="L242" s="24" t="str">
        <x:v>Rib ligaments move physiologically, not stretched intentionally</x:v>
      </x:c>
      <x:c r="M242" s="24" t="str">
        <x:v>Muscles: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Rectus abdominis; External oblique; Internal oblique; Transversus abdominis;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 | Tendons/fascia: Diaphragm costal/central tendon | Ligament context only: Rib ligaments move physiologically, not stretched intentionally</x:v>
      </x:c>
      <x:c r="N242" s="24" t="str">
        <x:v>Low-load activation, not ordinarily to fatigue: Diaphragm costal part; Diaphragm lumbar part / crura; Diaphragm sternal part</x:v>
      </x:c>
      <x:c r="O242" s="24" t="str">
        <x:v>Breathe in quietly through nose, lower ribs expand; exhale without straining.</x:v>
      </x:c>
      <x:c r="P242" s="24" t="str">
        <x:v>Mat</x:v>
      </x:c>
      <x:c r="Q242" s="24" t="str">
        <x:v>1–2 × 5–10 controlled reps</x:v>
      </x:c>
      <x:c r="R242" s="24" t="str">
        <x:v>Progress gradually; stop with sharp pain, dizziness, or numbness.</x:v>
      </x:c>
      <x:c r="S242" s="24" t="str">
        <x:v>https://www.acsm.org/education-resources/trending-topics-resources/physical-activity-guidelines</x:v>
      </x:c>
      <x:c r="T242" s="24" t="str">
        <x:v>Anatomy-based mapping</x:v>
      </x:c>
    </x:row>
    <x:row r="243" ht="54" customHeight="1">
      <x:c r="A243" s="24" t="str">
        <x:v>EX0305</x:v>
      </x:c>
      <x:c r="B243" s="24" t="str">
        <x:v>360-degree lower-rib breathing</x:v>
      </x:c>
      <x:c r="C243" s="24" t="str">
        <x:v>Thorax &amp; Breathing</x:v>
      </x:c>
      <x:c r="D243" s="24" t="str">
        <x:v>Home</x:v>
      </x:c>
      <x:c r="E243" s="24" t="str">
        <x:v>Breathing</x:v>
      </x:c>
      <x:c r="F243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G243" s="24" t="str">
        <x:v>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</x:v>
      </x:c>
      <x:c r="H243" s="24" t="str">
        <x:v>Rectus abdominis; External oblique; Internal oblique; Transversus abdominis</x:v>
      </x:c>
      <x:c r="I243" s="24" t="str">
        <x:v>—</x:v>
      </x:c>
      <x:c r="J243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</x:v>
      </x:c>
      <x:c r="K243" s="24" t="str">
        <x:v>Atlas-listed tendon/aponeurosis examples: Central tendon; Central tendon; crural tendons; Segmental rib-to-rib muscle attachment; Minute rib insertion tendon; additional listed attachments</x:v>
      </x:c>
      <x:c r="L243" s="24" t="str">
        <x:v>Costovertebral/costotransverse ligaments guide rib motion; NOT actively stretched</x:v>
      </x:c>
      <x:c r="M243" s="24" t="str">
        <x:v>Muscles: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 | Tendons/fascia: Atlas-listed tendon/aponeurosis examples: Central tendon; Central tendon; crural tendons; Segmental rib-to-rib muscle attachment; Minute rib insertion tendon; additional listed attachments | Ligament context only: Costovertebral/costotransverse ligaments guide rib motion; NOT actively stretched</x:v>
      </x:c>
      <x:c r="N243" s="24" t="str">
        <x:v>Low-load activation, not ordinarily to fatigue: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O243" s="24" t="str">
        <x:v>Wrap hands around lower ribs; expand front/sides/back with relaxed inspiration.</x:v>
      </x:c>
      <x:c r="P243" s="24" t="str">
        <x:v>None</x:v>
      </x:c>
      <x:c r="Q243" s="24" t="str">
        <x:v>1–2 × 5–10 controlled reps</x:v>
      </x:c>
      <x:c r="R243" s="24" t="str">
        <x:v>Progress gradually; stop with sharp pain, dizziness, or numbness.</x:v>
      </x:c>
      <x:c r="S243" s="24" t="str">
        <x:v>https://www.acsm.org/education-resources/trending-topics-resources/physical-activity-guidelines</x:v>
      </x:c>
      <x:c r="T243" s="24" t="str">
        <x:v>Anatomy-based mapping</x:v>
      </x:c>
    </x:row>
    <x:row r="244" ht="54" customHeight="1">
      <x:c r="A244" s="24" t="str">
        <x:v>EX0306</x:v>
      </x:c>
      <x:c r="B244" s="24" t="str">
        <x:v>Seated pursed-lip exhale</x:v>
      </x:c>
      <x:c r="C244" s="24" t="str">
        <x:v>Thorax &amp; Breathing</x:v>
      </x:c>
      <x:c r="D244" s="24" t="str">
        <x:v>Home</x:v>
      </x:c>
      <x:c r="E244" s="24" t="str">
        <x:v>Breathing</x:v>
      </x:c>
      <x:c r="F244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External oblique; Internal oblique; Transversus abdominis</x:v>
      </x:c>
      <x:c r="G244" s="24" t="str">
        <x:v>Diaphragm costal part; Diaphragm lumbar part / crura; Diaphragm sternal part</x:v>
      </x:c>
      <x:c r="H244" s="24" t="str">
        <x:v>—</x:v>
      </x:c>
      <x:c r="I244" s="24" t="str">
        <x:v>—</x:v>
      </x:c>
      <x:c r="J244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External oblique; Internal oblique; Transversus abdominis; Diaphragm costal part; Diaphragm lumbar part / crura; Diaphragm sternal part</x:v>
      </x:c>
      <x:c r="K244" s="24" t="str">
        <x:v>Atlas-listed tendon/aponeurosis examples: Segmental rib-to-rib muscle attachment; Broad external oblique aponeurosis; Internal oblique aponeurosis; conjoint tendon; Transversus aponeurosis; conjoint tendon; additional listed attachments</x:v>
      </x:c>
      <x:c r="L244" s="24" t="str">
        <x:v>Costovertebral/costotransverse ligaments guide rib motion; NOT actively stretched</x:v>
      </x:c>
      <x:c r="M244" s="24" t="str">
        <x:v>Muscles: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External oblique; Internal oblique; Transversus abdominis; Diaphragm costal part; Diaphragm lumbar part / crura; Diaphragm sternal part | Tendons/fascia: Atlas-listed tendon/aponeurosis examples: Segmental rib-to-rib muscle attachment; Broad external oblique aponeurosis; Internal oblique aponeurosis; conjoint tendon; Transversus aponeurosis; conjoint tendon; additional listed attachments | Ligament context only: Costovertebral/costotransverse ligaments guide rib motion; NOT actively stretched</x:v>
      </x:c>
      <x:c r="N244" s="24" t="str">
        <x:v>Low-load activation, not ordinarily to fatigue: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External oblique; Internal oblique; Transversus abdominis</x:v>
      </x:c>
      <x:c r="O244" s="24" t="str">
        <x:v>Inhale calmly through nose, exhale slowly through pursed lips.</x:v>
      </x:c>
      <x:c r="P244" s="24" t="str">
        <x:v>Chair</x:v>
      </x:c>
      <x:c r="Q244" s="24" t="str">
        <x:v>1–2 × 5–10 controlled reps</x:v>
      </x:c>
      <x:c r="R244" s="24" t="str">
        <x:v>Progress gradually; stop with sharp pain, dizziness, or numbness.</x:v>
      </x:c>
      <x:c r="S244" s="24" t="str">
        <x:v>https://www.acsm.org/education-resources/trending-topics-resources/physical-activity-guidelines</x:v>
      </x:c>
      <x:c r="T244" s="24" t="str">
        <x:v>Anatomy-based mapping</x:v>
      </x:c>
    </x:row>
    <x:row r="245" ht="54" customHeight="1">
      <x:c r="A245" s="24" t="str">
        <x:v>EX0307</x:v>
      </x:c>
      <x:c r="B245" s="24" t="str">
        <x:v>Segmental lateral rib expansion breathing</x:v>
      </x:c>
      <x:c r="C245" s="24" t="str">
        <x:v>Thorax &amp; Breathing</x:v>
      </x:c>
      <x:c r="D245" s="24" t="str">
        <x:v>Home</x:v>
      </x:c>
      <x:c r="E245" s="24" t="str">
        <x:v>Breathing</x:v>
      </x:c>
      <x:c r="F245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</x:v>
      </x:c>
      <x:c r="G245" s="24" t="str">
        <x:v>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</x:v>
      </x:c>
      <x:c r="H245" s="24" t="str">
        <x:v>Rectus abdominis; External oblique; Internal oblique; Transversus abdominis</x:v>
      </x:c>
      <x:c r="I245" s="24" t="str">
        <x:v>—</x:v>
      </x:c>
      <x:c r="J245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</x:v>
      </x:c>
      <x:c r="K245" s="24" t="str">
        <x:v>Atlas-listed tendon/aponeurosis examples: Segmental rib-to-rib muscle attachment; Central tendon; Central tendon; crural tendons; Minute rib insertion tendon; additional listed attachments</x:v>
      </x:c>
      <x:c r="L245" s="24" t="str">
        <x:v>Costovertebral/costotransverse ligaments guide rib motion; NOT actively stretched</x:v>
      </x:c>
      <x:c r="M245" s="24" t="str">
        <x:v>Muscles: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 | Tendons/fascia: Atlas-listed tendon/aponeurosis examples: Segmental rib-to-rib muscle attachment; Central tendon; Central tendon; crural tendons; Minute rib insertion tendon; additional listed attachments | Ligament context only: Costovertebral/costotransverse ligaments guide rib motion; NOT actively stretched</x:v>
      </x:c>
      <x:c r="N245" s="24" t="str">
        <x:v>Low-load activation, not ordinarily to fatigue: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</x:v>
      </x:c>
      <x:c r="O245" s="24" t="str">
        <x:v>Hands around side ribs; inhale slowly toward hands without forcing.</x:v>
      </x:c>
      <x:c r="P245" s="24" t="str">
        <x:v>None</x:v>
      </x:c>
      <x:c r="Q245" s="24" t="str">
        <x:v>1–2 × 5–10 controlled reps</x:v>
      </x:c>
      <x:c r="R245" s="24" t="str">
        <x:v>Progress gradually; stop with sharp pain, dizziness, or numbness.</x:v>
      </x:c>
      <x:c r="S245" s="24" t="str">
        <x:v>https://www.acsm.org/education-resources/trending-topics-resources/physical-activity-guidelines</x:v>
      </x:c>
      <x:c r="T245" s="24" t="str">
        <x:v>Anatomy-based mapping</x:v>
      </x:c>
    </x:row>
    <x:row r="246" ht="54" customHeight="1">
      <x:c r="A246" s="24" t="str">
        <x:v>EX0309</x:v>
      </x:c>
      <x:c r="B246" s="24" t="str">
        <x:v>Physiologic costal expansion in standing reach</x:v>
      </x:c>
      <x:c r="C246" s="24" t="str">
        <x:v>Thorax &amp; Breathing</x:v>
      </x:c>
      <x:c r="D246" s="24" t="str">
        <x:v>Home</x:v>
      </x:c>
      <x:c r="E246" s="24" t="str">
        <x:v>Mobility</x:v>
      </x:c>
      <x:c r="F246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</x:v>
      </x:c>
      <x:c r="G246" s="24" t="str">
        <x:v>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Trapezius; Serratus anterior</x:v>
      </x:c>
      <x:c r="H246" s="24" t="str">
        <x:v>Rectus abdominis; External oblique; Internal oblique; Transversus abdominis</x:v>
      </x:c>
      <x:c r="I246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J246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Trapezius; Serratus anterior; Rectus abdominis; External oblique; Internal oblique; Transversus abdominis</x:v>
      </x:c>
      <x:c r="K246" s="24" t="str">
        <x:v>Atlas-listed tendon/aponeurosis examples: Segmental rib-to-rib muscle attachment; Central tendon; Central tendon; crural tendons; Minute rib insertion tendon; additional listed attachments</x:v>
      </x:c>
      <x:c r="L246" s="24" t="str">
        <x:v>Costovertebral/costotransverse ligaments guide rib motion; NOT actively stretched</x:v>
      </x:c>
      <x:c r="M246" s="24" t="str">
        <x:v>Muscles: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Trapezius; Serratus anterior; Rectus abdominis; External oblique; Internal oblique; Transversus abdominis | Tendons/fascia: Atlas-listed tendon/aponeurosis examples: Segmental rib-to-rib muscle attachment; Central tendon; Central tendon; crural tendons; Minute rib insertion tendon; additional listed attachments | Ligament context only: Costovertebral/costotransverse ligaments guide rib motion; NOT actively stretched</x:v>
      </x:c>
      <x:c r="N246" s="24" t="str">
        <x:v>Usually none expected (stretch, mobility or relaxation; any active movers are low-load)</x:v>
      </x:c>
      <x:c r="O246" s="24" t="str">
        <x:v>Inhale with arms lifting to comfortable height, exhale on lowering.</x:v>
      </x:c>
      <x:c r="P246" s="24" t="str">
        <x:v>None</x:v>
      </x:c>
      <x:c r="Q246" s="24" t="str">
        <x:v>1–2 × 5–10 controlled reps</x:v>
      </x:c>
      <x:c r="R246" s="24" t="str">
        <x:v>Progress gradually; stop with sharp pain, dizziness, or numbness.</x:v>
      </x:c>
      <x:c r="S246" s="24" t="str">
        <x:v>https://www.acsm.org/education-resources/trending-topics-resources/physical-activity-guidelines</x:v>
      </x:c>
      <x:c r="T246" s="24" t="str">
        <x:v>Anatomy-based mapping</x:v>
      </x:c>
    </x:row>
    <x:row r="247" ht="54" customHeight="1">
      <x:c r="A247" s="24" t="str">
        <x:v>EX0310</x:v>
      </x:c>
      <x:c r="B247" s="24" t="str">
        <x:v>Gentle lateral rib stretch with overhead reach</x:v>
      </x:c>
      <x:c r="C247" s="24" t="str">
        <x:v>Thorax &amp; Breathing</x:v>
      </x:c>
      <x:c r="D247" s="24" t="str">
        <x:v>Home</x:v>
      </x:c>
      <x:c r="E247" s="24" t="str">
        <x:v>Active stretch</x:v>
      </x:c>
      <x:c r="F247" s="24" t="str">
        <x:v>External oblique; Internal oblique; Transversus abdominis; Trapezius; Serratus anterior</x:v>
      </x:c>
      <x:c r="G247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H247" s="24" t="str">
        <x:v>—</x:v>
      </x:c>
      <x:c r="I247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Quadratus lumborum</x:v>
      </x:c>
      <x:c r="J247" s="24" t="str">
        <x:v>External oblique; Internal oblique; Transversus abdominis; Trapezius; Serratus anterior;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Quadratus lumborum</x:v>
      </x:c>
      <x:c r="K247" s="24" t="str">
        <x:v>Atlas-listed tendon/aponeurosis examples: Broad external oblique aponeurosis; Internal oblique aponeurosis; conjoint tendon; Transversus aponeurosis; conjoint tendon; Broad aponeuroses and scapular/clavicular tendinous insertions; additional listed attachments</x:v>
      </x:c>
      <x:c r="L247" s="24" t="str">
        <x:v>Costovertebral/costotransverse ligaments guide rib motion; NOT actively stretched</x:v>
      </x:c>
      <x:c r="M247" s="24" t="str">
        <x:v>Muscles: External oblique; Internal oblique; Transversus abdominis; Trapezius; Serratus anterior;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Quadratus lumborum | Tendons/fascia: Atlas-listed tendon/aponeurosis examples: Broad external oblique aponeurosis; Internal oblique aponeurosis; conjoint tendon; Transversus aponeurosis; conjoint tendon; Broad aponeuroses and scapular/clavicular tendinous insertions; additional listed attachments | Ligament context only: Costovertebral/costotransverse ligaments guide rib motion; NOT actively stretched</x:v>
      </x:c>
      <x:c r="N247" s="24" t="str">
        <x:v>Usually none expected (stretch, mobility or relaxation; any active movers are low-load)</x:v>
      </x:c>
      <x:c r="O247" s="24" t="str">
        <x:v>Raise arm and side bend away while breathing into side ribs.</x:v>
      </x:c>
      <x:c r="P247" s="24" t="str">
        <x:v>None</x:v>
      </x:c>
      <x:c r="Q247" s="24" t="str">
        <x:v>2–3 × 8–12 controlled reps</x:v>
      </x:c>
      <x:c r="R247" s="24" t="str">
        <x:v>Progress gradually; stop with sharp pain, dizziness, or numbness.</x:v>
      </x:c>
      <x:c r="S247" s="24" t="str">
        <x:v>https://www.acsm.org/education-resources/trending-topics-resources/physical-activity-guidelines</x:v>
      </x:c>
      <x:c r="T247" s="24" t="str">
        <x:v>Anatomy-based mapping</x:v>
      </x:c>
    </x:row>
    <x:row r="248" ht="54" customHeight="1">
      <x:c r="A248" s="24" t="str">
        <x:v>EX0311</x:v>
      </x:c>
      <x:c r="B248" s="24" t="str">
        <x:v>Resisted exhalation (blow through straw)</x:v>
      </x:c>
      <x:c r="C248" s="24" t="str">
        <x:v>Thorax &amp; Breathing</x:v>
      </x:c>
      <x:c r="D248" s="24" t="str">
        <x:v>Home</x:v>
      </x:c>
      <x:c r="E248" s="24" t="str">
        <x:v>Breathing</x:v>
      </x:c>
      <x:c r="F248" s="24" t="str">
        <x:v>External oblique; Internal oblique; Transversus abdominis;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G248" s="24" t="str">
        <x:v>Diaphragm costal part; Diaphragm lumbar part / crura; Diaphragm sternal part</x:v>
      </x:c>
      <x:c r="H248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I248" s="24" t="str">
        <x:v>—</x:v>
      </x:c>
      <x:c r="J248" s="24" t="str">
        <x:v>External oblique; Internal oblique; Transversus abdominis;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K248" s="24" t="str">
        <x:v>Atlas-listed tendon/aponeurosis examples: Broad external oblique aponeurosis; Internal oblique aponeurosis; conjoint tendon; Transversus aponeurosis; conjoint tendon; Segmental rib-to-rib muscle attachment; additional listed attachments</x:v>
      </x:c>
      <x:c r="L248" s="24" t="str">
        <x:v>Costovertebral/costotransverse ligaments guide rib motion; NOT actively stretched</x:v>
      </x:c>
      <x:c r="M248" s="24" t="str">
        <x:v>Muscles: External oblique; Internal oblique; Transversus abdominis;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 | Tendons/fascia: Atlas-listed tendon/aponeurosis examples: Broad external oblique aponeurosis; Internal oblique aponeurosis; conjoint tendon; Transversus aponeurosis; conjoint tendon; Segmental rib-to-rib muscle attachment; additional listed attachments | Ligament context only: Costovertebral/costotransverse ligaments guide rib motion; NOT actively stretched</x:v>
      </x:c>
      <x:c r="N248" s="24" t="str">
        <x:v>Low-load activation, not ordinarily to fatigue: External oblique; Internal oblique; Transversus abdominis;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O248" s="24" t="str">
        <x:v>Exhale smoothly through wide straw without straining.</x:v>
      </x:c>
      <x:c r="P248" s="24" t="str">
        <x:v>Wide straw</x:v>
      </x:c>
      <x:c r="Q248" s="24" t="str">
        <x:v>1–2 × 5–10 controlled reps</x:v>
      </x:c>
      <x:c r="R248" s="24" t="str">
        <x:v>Stop if lightheaded; do not use prolonged breath holds.</x:v>
      </x:c>
      <x:c r="S248" s="24" t="str">
        <x:v>https://www.acsm.org/education-resources/trending-topics-resources/physical-activity-guidelines</x:v>
      </x:c>
      <x:c r="T248" s="24" t="str">
        <x:v>Anatomy-based mapping</x:v>
      </x:c>
    </x:row>
    <x:row r="249" ht="54" customHeight="1">
      <x:c r="A249" s="24" t="str">
        <x:v>EX0312</x:v>
      </x:c>
      <x:c r="B249" s="24" t="str">
        <x:v>Seated thoracic expansion with band around lower ribs</x:v>
      </x:c>
      <x:c r="C249" s="24" t="str">
        <x:v>Thorax &amp; Breathing</x:v>
      </x:c>
      <x:c r="D249" s="24" t="str">
        <x:v>Home</x:v>
      </x:c>
      <x:c r="E249" s="24" t="str">
        <x:v>Breathing</x:v>
      </x:c>
      <x:c r="F249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G249" s="24" t="str">
        <x:v>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</x:v>
      </x:c>
      <x:c r="H249" s="24" t="str">
        <x:v>Rectus abdominis; External oblique; Internal oblique; Transversus abdominis</x:v>
      </x:c>
      <x:c r="I249" s="24" t="str">
        <x:v>—</x:v>
      </x:c>
      <x:c r="J249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</x:v>
      </x:c>
      <x:c r="K249" s="24" t="str">
        <x:v>Atlas-listed tendon/aponeurosis examples: Central tendon; Central tendon; crural tendons; Segmental rib-to-rib muscle attachment; Minute rib insertion tendon; additional listed attachments</x:v>
      </x:c>
      <x:c r="L249" s="24" t="str">
        <x:v>Costovertebral/costotransverse ligaments guide rib motion; NOT actively stretched</x:v>
      </x:c>
      <x:c r="M249" s="24" t="str">
        <x:v>Muscles: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 | Tendons/fascia: Atlas-listed tendon/aponeurosis examples: Central tendon; Central tendon; crural tendons; Segmental rib-to-rib muscle attachment; Minute rib insertion tendon; additional listed attachments | Ligament context only: Costovertebral/costotransverse ligaments guide rib motion; NOT actively stretched</x:v>
      </x:c>
      <x:c r="N249" s="24" t="str">
        <x:v>Low-load activation, not ordinarily to fatigue: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O249" s="24" t="str">
        <x:v>Place loose elastic around ribs for tactile cue, not restrictive resistance.</x:v>
      </x:c>
      <x:c r="P249" s="24" t="str">
        <x:v>Loose loop band</x:v>
      </x:c>
      <x:c r="Q249" s="24" t="str">
        <x:v>1–2 × 5–10 controlled reps</x:v>
      </x:c>
      <x:c r="R249" s="24" t="str">
        <x:v>Progress gradually; stop with sharp pain, dizziness, or numbness.</x:v>
      </x:c>
      <x:c r="S249" s="24" t="str">
        <x:v>https://www.acsm.org/education-resources/trending-topics-resources/physical-activity-guidelines</x:v>
      </x:c>
      <x:c r="T249" s="24" t="str">
        <x:v>Anatomy-based mapping</x:v>
      </x:c>
    </x:row>
    <x:row r="250" ht="54" customHeight="1">
      <x:c r="A250" s="24" t="str">
        <x:v>EX0313</x:v>
      </x:c>
      <x:c r="B250" s="24" t="str">
        <x:v>Gentle cough coordination drill (not maximal)</x:v>
      </x:c>
      <x:c r="C250" s="24" t="str">
        <x:v>Thorax &amp; Breathing</x:v>
      </x:c>
      <x:c r="D250" s="24" t="str">
        <x:v>Home</x:v>
      </x:c>
      <x:c r="E250" s="24" t="str">
        <x:v>Functional activation</x:v>
      </x:c>
      <x:c r="F250" s="24" t="str">
        <x:v>External oblique; Internal oblique; Transversus abdominis;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</x:v>
      </x:c>
      <x:c r="G250" s="24" t="str">
        <x:v>—</x:v>
      </x:c>
      <x:c r="H250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I250" s="24" t="str">
        <x:v>—</x:v>
      </x:c>
      <x:c r="J250" s="24" t="str">
        <x:v>External oblique; Internal oblique; Transversus abdominis;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K250" s="24" t="str">
        <x:v>Atlas-listed tendon/aponeurosis examples: Broad external oblique aponeurosis; Internal oblique aponeurosis; conjoint tendon; Transversus aponeurosis; conjoint tendon; Segmental rib-to-rib muscle attachment; additional listed attachments</x:v>
      </x:c>
      <x:c r="L250" s="24" t="str">
        <x:v>Costovertebral/costotransverse ligaments guide rib motion; NOT actively stretched</x:v>
      </x:c>
      <x:c r="M250" s="24" t="str">
        <x:v>Muscles: External oblique; Internal oblique; Transversus abdominis;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 | Tendons/fascia: Atlas-listed tendon/aponeurosis examples: Broad external oblique aponeurosis; Internal oblique aponeurosis; conjoint tendon; Transversus aponeurosis; conjoint tendon; Segmental rib-to-rib muscle attachment; additional listed attachments | Ligament context only: Costovertebral/costotransverse ligaments guide rib motion; NOT actively stretched</x:v>
      </x:c>
      <x:c r="N250" s="24" t="str">
        <x:v>Low-load activation, not ordinarily to fatigue: External oblique; Internal oblique; Transversus abdominis;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</x:v>
      </x:c>
      <x:c r="O250" s="24" t="str">
        <x:v>Practice one comfortable throat clear or light cough only if needed.</x:v>
      </x:c>
      <x:c r="P250" s="24" t="str">
        <x:v>None</x:v>
      </x:c>
      <x:c r="Q250" s="24" t="str">
        <x:v>1–2 × 5–10 controlled reps</x:v>
      </x:c>
      <x:c r="R250" s="24" t="str">
        <x:v>Avoid repetitive hard coughing as training.</x:v>
      </x:c>
      <x:c r="S250" s="24" t="str">
        <x:v>https://www.acsm.org/education-resources/trending-topics-resources/physical-activity-guidelines</x:v>
      </x:c>
      <x:c r="T250" s="24" t="str">
        <x:v>Anatomy-based mapping</x:v>
      </x:c>
    </x:row>
    <x:row r="251" ht="54" customHeight="1">
      <x:c r="A251" s="24" t="str">
        <x:v>EX0314</x:v>
      </x:c>
      <x:c r="B251" s="24" t="str">
        <x:v>Scapular posterior rib activation with breathing</x:v>
      </x:c>
      <x:c r="C251" s="24" t="str">
        <x:v>Thorax &amp; Breathing</x:v>
      </x:c>
      <x:c r="D251" s="24" t="str">
        <x:v>Home</x:v>
      </x:c>
      <x:c r="E251" s="24" t="str">
        <x:v>Breathing</x:v>
      </x:c>
      <x:c r="F251" s="24" t="str">
        <x:v>Serratus posterior superior; Serratus posterior inferior;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</x:v>
      </x:c>
      <x:c r="G251" s="24" t="str">
        <x:v>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</x:v>
      </x:c>
      <x:c r="H251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251" s="24" t="str">
        <x:v>—</x:v>
      </x:c>
      <x:c r="J251" s="24" t="str">
        <x:v>Serratus posterior superior; Serratus posterior inferior;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251" s="24" t="str">
        <x:v>Atlas-listed tendon/aponeurosis examples: Thin aponeurosis; Broad aponeurotic origins/insertions; Minute rib insertion tendon; Short costal tendon slips; additional listed attachments</x:v>
      </x:c>
      <x:c r="L251" s="24" t="str">
        <x:v>Costovertebral/costotransverse ligaments guide rib motion; NOT actively stretched</x:v>
      </x:c>
      <x:c r="M251" s="24" t="str">
        <x:v>Muscles: Serratus posterior superior; Serratus posterior inferior;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Diaphragm costal part; Diaphragm lumbar part / crura; Diaphragm sternal part;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Thin aponeurosis; Broad aponeurotic origins/insertions; Minute rib insertion tendon; Short costal tendon slips; additional listed attachments | Ligament context only: Costovertebral/costotransverse ligaments guide rib motion; NOT actively stretched</x:v>
      </x:c>
      <x:c r="N251" s="24" t="str">
        <x:v>Low-load activation, not ordinarily to fatigue: Serratus posterior superior; Serratus posterior inferior;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</x:v>
      </x:c>
      <x:c r="O251" s="24" t="str">
        <x:v>Inhale expanding posterior ribs while arms rest supported in front.</x:v>
      </x:c>
      <x:c r="P251" s="24" t="str">
        <x:v>Chair</x:v>
      </x:c>
      <x:c r="Q251" s="24" t="str">
        <x:v>1–2 × 5–10 controlled reps</x:v>
      </x:c>
      <x:c r="R251" s="24" t="str">
        <x:v>Progress gradually; stop with sharp pain, dizziness, or numbness.</x:v>
      </x:c>
      <x:c r="S251" s="24" t="str">
        <x:v>https://www.acsm.org/education-resources/trending-topics-resources/physical-activity-guidelines</x:v>
      </x:c>
      <x:c r="T251" s="24" t="str">
        <x:v>Anatomy-based mapping</x:v>
      </x:c>
    </x:row>
    <x:row r="252" ht="54" customHeight="1">
      <x:c r="A252" s="24" t="str">
        <x:v>EX0315</x:v>
      </x:c>
      <x:c r="B252" s="24" t="str">
        <x:v>Gentle controlled nasal inspiration</x:v>
      </x:c>
      <x:c r="C252" s="24" t="str">
        <x:v>Thorax &amp; Breathing</x:v>
      </x:c>
      <x:c r="D252" s="24" t="str">
        <x:v>Home</x:v>
      </x:c>
      <x:c r="E252" s="24" t="str">
        <x:v>Breathing</x:v>
      </x:c>
      <x:c r="F252" s="24" t="str">
        <x:v>Diaphragm costal part; Diaphragm lumbar part / crura; Diaphragm sternal part;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G252" s="24" t="str">
        <x:v>—</x:v>
      </x:c>
      <x:c r="H252" s="24" t="str">
        <x:v>Rectus abdominis; External oblique; Internal oblique; Transversus abdominis</x:v>
      </x:c>
      <x:c r="I252" s="24" t="str">
        <x:v>—</x:v>
      </x:c>
      <x:c r="J252" s="24" t="str">
        <x:v>Diaphragm costal part; Diaphragm lumbar part / crura; Diaphragm sternal part;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Rectus abdominis; External oblique; Internal oblique; Transversus abdominis</x:v>
      </x:c>
      <x:c r="K252" s="24" t="str">
        <x:v>Atlas-listed tendon/aponeurosis examples: Central tendon; Central tendon; crural tendons; Minute rib insertion tendon; Short costal tendon slips; additional listed attachments</x:v>
      </x:c>
      <x:c r="L252" s="24" t="str">
        <x:v>Costovertebral/costotransverse ligaments guide rib motion; NOT actively stretched</x:v>
      </x:c>
      <x:c r="M252" s="24" t="str">
        <x:v>Muscles: Diaphragm costal part; Diaphragm lumbar part / crura; Diaphragm sternal part;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Rectus abdominis; External oblique; Internal oblique; Transversus abdominis | Tendons/fascia: Atlas-listed tendon/aponeurosis examples: Central tendon; Central tendon; crural tendons; Minute rib insertion tendon; Short costal tendon slips; additional listed attachments | Ligament context only: Costovertebral/costotransverse ligaments guide rib motion; NOT actively stretched</x:v>
      </x:c>
      <x:c r="N252" s="24" t="str">
        <x:v>Low-load activation, not ordinarily to fatigue: Diaphragm costal part; Diaphragm lumbar part / crura; Diaphragm sternal part;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O252" s="24" t="str">
        <x:v>Slow inhale through nose, pause only naturally, exhale relaxed.</x:v>
      </x:c>
      <x:c r="P252" s="24" t="str">
        <x:v>None</x:v>
      </x:c>
      <x:c r="Q252" s="24" t="str">
        <x:v>1–2 × 5–10 controlled reps</x:v>
      </x:c>
      <x:c r="R252" s="24" t="str">
        <x:v>Progress gradually; stop with sharp pain, dizziness, or numbness.</x:v>
      </x:c>
      <x:c r="S252" s="24" t="str">
        <x:v>https://www.acsm.org/education-resources/trending-topics-resources/physical-activity-guidelines</x:v>
      </x:c>
      <x:c r="T252" s="24" t="str">
        <x:v>Anatomy-based mapping</x:v>
      </x:c>
    </x:row>
    <x:row r="253" ht="54" customHeight="1">
      <x:c r="A253" s="24" t="str">
        <x:v>EX0316</x:v>
      </x:c>
      <x:c r="B253" s="24" t="str">
        <x:v>Gentle smile then relax</x:v>
      </x:c>
      <x:c r="C253" s="24" t="str">
        <x:v>Head &amp; Face</x:v>
      </x:c>
      <x:c r="D253" s="24" t="str">
        <x:v>Home</x:v>
      </x:c>
      <x:c r="E253" s="24" t="str">
        <x:v>Functional activation</x:v>
      </x:c>
      <x:c r="F253" s="24" t="str">
        <x:v>Zygomaticus major; Zygomaticus minor; Levator anguli oris; Risorius; Levator labii superioris</x:v>
      </x:c>
      <x:c r="G253" s="24" t="str">
        <x:v>Orbicularis oris marginal part</x:v>
      </x:c>
      <x:c r="H253" s="24" t="str">
        <x:v>—</x:v>
      </x:c>
      <x:c r="I253" s="24" t="str">
        <x:v>—</x:v>
      </x:c>
      <x:c r="J253" s="24" t="str">
        <x:v>Zygomaticus major; Zygomaticus minor; Levator anguli oris; Risorius; Levator labii superioris; Orbicularis oris marginal part</x:v>
      </x:c>
      <x:c r="K253" s="24" t="str">
        <x:v>Atlas-listed tendon/aponeurosis examples: Modiolus fibromuscular junction; Dermal musculofascial insertion; Modiolus junction; Thin fascial fibers; additional listed attachments</x:v>
      </x:c>
      <x:c r="L253" s="24" t="str">
        <x:v>TMJ ligament/capsule where relevant; no deliberate ligament stretching</x:v>
      </x:c>
      <x:c r="M253" s="24" t="str">
        <x:v>Muscles: Zygomaticus major; Zygomaticus minor; Levator anguli oris; Risorius; Levator labii superioris; Orbicularis oris marginal part | Tendons/fascia: Atlas-listed tendon/aponeurosis examples: Modiolus fibromuscular junction; Dermal musculofascial insertion; Modiolus junction; Thin fascial fibers; additional listed attachments | Ligament context only: TMJ ligament/capsule where relevant; no deliberate ligament stretching</x:v>
      </x:c>
      <x:c r="N253" s="24" t="str">
        <x:v>Low-load activation, not ordinarily to fatigue: Zygomaticus major; Zygomaticus minor; Levator anguli oris; Risorius; Levator labii superioris</x:v>
      </x:c>
      <x:c r="O253" s="24" t="str">
        <x:v>Smile gently and relax facial muscles; avoid clenching jaw.</x:v>
      </x:c>
      <x:c r="P253" s="24" t="str">
        <x:v>Mirror</x:v>
      </x:c>
      <x:c r="Q253" s="24" t="str">
        <x:v>1–2 × 5–10 controlled reps</x:v>
      </x:c>
      <x:c r="R253" s="24" t="str">
        <x:v>Progress gradually; stop with sharp pain, dizziness, or numbness.</x:v>
      </x:c>
      <x:c r="S253" s="24" t="str">
        <x:v>https://www.acsm.org/education-resources/trending-topics-resources/physical-activity-guidelines</x:v>
      </x:c>
      <x:c r="T253" s="24" t="str">
        <x:v>Anatomy-based mapping</x:v>
      </x:c>
    </x:row>
    <x:row r="254" ht="54" customHeight="1">
      <x:c r="A254" s="24" t="str">
        <x:v>EX0317</x:v>
      </x:c>
      <x:c r="B254" s="24" t="str">
        <x:v>Closed-lip smile without teeth</x:v>
      </x:c>
      <x:c r="C254" s="24" t="str">
        <x:v>Head &amp; Face</x:v>
      </x:c>
      <x:c r="D254" s="24" t="str">
        <x:v>Home</x:v>
      </x:c>
      <x:c r="E254" s="24" t="str">
        <x:v>Functional activation</x:v>
      </x:c>
      <x:c r="F254" s="24" t="str">
        <x:v>Risorius; Zygomaticus major; Levator anguli oris</x:v>
      </x:c>
      <x:c r="G254" s="24" t="str">
        <x:v>—</x:v>
      </x:c>
      <x:c r="H254" s="24" t="str">
        <x:v>—</x:v>
      </x:c>
      <x:c r="I254" s="24" t="str">
        <x:v>—</x:v>
      </x:c>
      <x:c r="J254" s="24" t="str">
        <x:v>Risorius; Zygomaticus major; Levator anguli oris</x:v>
      </x:c>
      <x:c r="K254" s="24" t="str">
        <x:v>Atlas-listed tendon/aponeurosis examples: Thin fascial fibers; Modiolus fibromuscular junction; Modiolus junction</x:v>
      </x:c>
      <x:c r="L254" s="24" t="str">
        <x:v>TMJ ligament/capsule where relevant; no deliberate ligament stretching</x:v>
      </x:c>
      <x:c r="M254" s="24" t="str">
        <x:v>Muscles: Risorius; Zygomaticus major; Levator anguli oris | Tendons/fascia: Atlas-listed tendon/aponeurosis examples: Thin fascial fibers; Modiolus fibromuscular junction; Modiolus junction | Ligament context only: TMJ ligament/capsule where relevant; no deliberate ligament stretching</x:v>
      </x:c>
      <x:c r="N254" s="24" t="str">
        <x:v>Low-load activation, not ordinarily to fatigue: Risorius; Zygomaticus major; Levator anguli oris</x:v>
      </x:c>
      <x:c r="O254" s="24" t="str">
        <x:v>Draw mouth corners sideways gently; release.</x:v>
      </x:c>
      <x:c r="P254" s="24" t="str">
        <x:v>Mirror</x:v>
      </x:c>
      <x:c r="Q254" s="24" t="str">
        <x:v>1–2 × 5–10 controlled reps</x:v>
      </x:c>
      <x:c r="R254" s="24" t="str">
        <x:v>Progress gradually; stop with sharp pain, dizziness, or numbness.</x:v>
      </x:c>
      <x:c r="S254" s="24" t="str">
        <x:v>https://www.acsm.org/education-resources/trending-topics-resources/physical-activity-guidelines</x:v>
      </x:c>
      <x:c r="T254" s="24" t="str">
        <x:v>Anatomy-based mapping</x:v>
      </x:c>
    </x:row>
    <x:row r="255" ht="54" customHeight="1">
      <x:c r="A255" s="24" t="str">
        <x:v>EX0318</x:v>
      </x:c>
      <x:c r="B255" s="24" t="str">
        <x:v>Upper lip lift</x:v>
      </x:c>
      <x:c r="C255" s="24" t="str">
        <x:v>Head &amp; Face</x:v>
      </x:c>
      <x:c r="D255" s="24" t="str">
        <x:v>Home</x:v>
      </x:c>
      <x:c r="E255" s="24" t="str">
        <x:v>Functional activation</x:v>
      </x:c>
      <x:c r="F255" s="24" t="str">
        <x:v>Levator labii superioris; Levator labii superioris alaeque nasi; Zygomaticus minor</x:v>
      </x:c>
      <x:c r="G255" s="24" t="str">
        <x:v>—</x:v>
      </x:c>
      <x:c r="H255" s="24" t="str">
        <x:v>—</x:v>
      </x:c>
      <x:c r="I255" s="24" t="str">
        <x:v>—</x:v>
      </x:c>
      <x:c r="J255" s="24" t="str">
        <x:v>Levator labii superioris; Levator labii superioris alaeque nasi; Zygomaticus minor</x:v>
      </x:c>
      <x:c r="K255" s="24" t="str">
        <x:v>Atlas-listed tendon/aponeurosis examples: Dermal fibers; Dermal insertions; Dermal musculofascial insertion</x:v>
      </x:c>
      <x:c r="L255" s="24" t="str">
        <x:v>TMJ ligament/capsule where relevant; no deliberate ligament stretching</x:v>
      </x:c>
      <x:c r="M255" s="24" t="str">
        <x:v>Muscles: Levator labii superioris; Levator labii superioris alaeque nasi; Zygomaticus minor | Tendons/fascia: Atlas-listed tendon/aponeurosis examples: Dermal fibers; Dermal insertions; Dermal musculofascial insertion | Ligament context only: TMJ ligament/capsule where relevant; no deliberate ligament stretching</x:v>
      </x:c>
      <x:c r="N255" s="24" t="str">
        <x:v>Low-load activation, not ordinarily to fatigue: Levator labii superioris; Levator labii superioris alaeque nasi; Zygomaticus minor</x:v>
      </x:c>
      <x:c r="O255" s="24" t="str">
        <x:v>Raise upper lip slightly while keeping jaw relaxed.</x:v>
      </x:c>
      <x:c r="P255" s="24" t="str">
        <x:v>Mirror</x:v>
      </x:c>
      <x:c r="Q255" s="24" t="str">
        <x:v>1–2 × 5–10 controlled reps</x:v>
      </x:c>
      <x:c r="R255" s="24" t="str">
        <x:v>Progress gradually; stop with sharp pain, dizziness, or numbness.</x:v>
      </x:c>
      <x:c r="S255" s="24" t="str">
        <x:v>https://www.acsm.org/education-resources/trending-topics-resources/physical-activity-guidelines</x:v>
      </x:c>
      <x:c r="T255" s="24" t="str">
        <x:v>Anatomy-based mapping</x:v>
      </x:c>
    </x:row>
    <x:row r="256" ht="54" customHeight="1">
      <x:c r="A256" s="24" t="str">
        <x:v>EX0319</x:v>
      </x:c>
      <x:c r="B256" s="24" t="str">
        <x:v>Lower lip depression / mild pout</x:v>
      </x:c>
      <x:c r="C256" s="24" t="str">
        <x:v>Head &amp; Face</x:v>
      </x:c>
      <x:c r="D256" s="24" t="str">
        <x:v>Home</x:v>
      </x:c>
      <x:c r="E256" s="24" t="str">
        <x:v>Functional activation</x:v>
      </x:c>
      <x:c r="F256" s="24" t="str">
        <x:v>Depressor labii inferioris; Depressor anguli oris; Mentalis</x:v>
      </x:c>
      <x:c r="G256" s="24" t="str">
        <x:v>—</x:v>
      </x:c>
      <x:c r="H256" s="24" t="str">
        <x:v>—</x:v>
      </x:c>
      <x:c r="I256" s="24" t="str">
        <x:v>—</x:v>
      </x:c>
      <x:c r="J256" s="24" t="str">
        <x:v>Depressor labii inferioris; Depressor anguli oris; Mentalis</x:v>
      </x:c>
      <x:c r="K256" s="24" t="str">
        <x:v>Atlas-listed tendon/aponeurosis examples: Dermal fascicles; Modiolus insertion; Dermal insertion</x:v>
      </x:c>
      <x:c r="L256" s="24" t="str">
        <x:v>TMJ ligament/capsule where relevant; no deliberate ligament stretching</x:v>
      </x:c>
      <x:c r="M256" s="24" t="str">
        <x:v>Muscles: Depressor labii inferioris; Depressor anguli oris; Mentalis | Tendons/fascia: Atlas-listed tendon/aponeurosis examples: Dermal fascicles; Modiolus insertion; Dermal insertion | Ligament context only: TMJ ligament/capsule where relevant; no deliberate ligament stretching</x:v>
      </x:c>
      <x:c r="N256" s="24" t="str">
        <x:v>Low-load activation, not ordinarily to fatigue: Depressor labii inferioris; Depressor anguli oris; Mentalis</x:v>
      </x:c>
      <x:c r="O256" s="24" t="str">
        <x:v>Draw lower lip downward then gently purse without jaw clench.</x:v>
      </x:c>
      <x:c r="P256" s="24" t="str">
        <x:v>Mirror</x:v>
      </x:c>
      <x:c r="Q256" s="24" t="str">
        <x:v>1–2 × 5–10 controlled reps</x:v>
      </x:c>
      <x:c r="R256" s="24" t="str">
        <x:v>Progress gradually; stop with sharp pain, dizziness, or numbness.</x:v>
      </x:c>
      <x:c r="S256" s="24" t="str">
        <x:v>https://www.acsm.org/education-resources/trending-topics-resources/physical-activity-guidelines</x:v>
      </x:c>
      <x:c r="T256" s="24" t="str">
        <x:v>Anatomy-based mapping</x:v>
      </x:c>
    </x:row>
    <x:row r="257" ht="54" customHeight="1">
      <x:c r="A257" s="24" t="str">
        <x:v>EX0320</x:v>
      </x:c>
      <x:c r="B257" s="24" t="str">
        <x:v>Eyebrow frown and release</x:v>
      </x:c>
      <x:c r="C257" s="24" t="str">
        <x:v>Head &amp; Face</x:v>
      </x:c>
      <x:c r="D257" s="24" t="str">
        <x:v>Home</x:v>
      </x:c>
      <x:c r="E257" s="24" t="str">
        <x:v>Functional activation</x:v>
      </x:c>
      <x:c r="F257" s="24" t="str">
        <x:v>Corrugator supercilii; Procerus</x:v>
      </x:c>
      <x:c r="G257" s="24" t="str">
        <x:v>—</x:v>
      </x:c>
      <x:c r="H257" s="24" t="str">
        <x:v>—</x:v>
      </x:c>
      <x:c r="I257" s="24" t="str">
        <x:v>—</x:v>
      </x:c>
      <x:c r="J257" s="24" t="str">
        <x:v>Corrugator supercilii; Procerus</x:v>
      </x:c>
      <x:c r="K257" s="24" t="str">
        <x:v>Atlas-listed tendon/aponeurosis examples: Dermal fibrous insertion; Fibrous dermal insertion</x:v>
      </x:c>
      <x:c r="L257" s="24" t="str">
        <x:v>TMJ ligament/capsule where relevant; no deliberate ligament stretching</x:v>
      </x:c>
      <x:c r="M257" s="24" t="str">
        <x:v>Muscles: Corrugator supercilii; Procerus | Tendons/fascia: Atlas-listed tendon/aponeurosis examples: Dermal fibrous insertion; Fibrous dermal insertion | Ligament context only: TMJ ligament/capsule where relevant; no deliberate ligament stretching</x:v>
      </x:c>
      <x:c r="N257" s="24" t="str">
        <x:v>Low-load activation, not ordinarily to fatigue: Corrugator supercilii; Procerus</x:v>
      </x:c>
      <x:c r="O257" s="24" t="str">
        <x:v>Draw brows together briefly and release tension.</x:v>
      </x:c>
      <x:c r="P257" s="24" t="str">
        <x:v>Mirror</x:v>
      </x:c>
      <x:c r="Q257" s="24" t="str">
        <x:v>1–2 × 5–10 controlled reps</x:v>
      </x:c>
      <x:c r="R257" s="24" t="str">
        <x:v>Progress gradually; stop with sharp pain, dizziness, or numbness.</x:v>
      </x:c>
      <x:c r="S257" s="24" t="str">
        <x:v>https://www.acsm.org/education-resources/trending-topics-resources/physical-activity-guidelines</x:v>
      </x:c>
      <x:c r="T257" s="24" t="str">
        <x:v>Anatomy-based mapping</x:v>
      </x:c>
    </x:row>
    <x:row r="258" ht="54" customHeight="1">
      <x:c r="A258" s="24" t="str">
        <x:v>EX0321</x:v>
      </x:c>
      <x:c r="B258" s="24" t="str">
        <x:v>Raise eyebrows / forehead wrinkle</x:v>
      </x:c>
      <x:c r="C258" s="24" t="str">
        <x:v>Head &amp; Face</x:v>
      </x:c>
      <x:c r="D258" s="24" t="str">
        <x:v>Home</x:v>
      </x:c>
      <x:c r="E258" s="24" t="str">
        <x:v>Functional activation</x:v>
      </x:c>
      <x:c r="F258" s="24" t="str">
        <x:v>Frontalis (occipitofrontalis frontal belly)</x:v>
      </x:c>
      <x:c r="G258" s="24" t="str">
        <x:v>Occipitalis (occipitofrontalis occipital belly)</x:v>
      </x:c>
      <x:c r="H258" s="24" t="str">
        <x:v>—</x:v>
      </x:c>
      <x:c r="I258" s="24" t="str">
        <x:v>—</x:v>
      </x:c>
      <x:c r="J258" s="24" t="str">
        <x:v>Frontalis (occipitofrontalis frontal belly); Occipitalis (occipitofrontalis occipital belly)</x:v>
      </x:c>
      <x:c r="K258" s="24" t="str">
        <x:v>Atlas-listed tendon/aponeurosis examples: Epicranial aponeurosis; Galea aponeurotica (epicranial aponeurosis)</x:v>
      </x:c>
      <x:c r="L258" s="24" t="str">
        <x:v>TMJ ligament/capsule where relevant; no deliberate ligament stretching</x:v>
      </x:c>
      <x:c r="M258" s="24" t="str">
        <x:v>Muscles: Frontalis (occipitofrontalis frontal belly); Occipitalis (occipitofrontalis occipital belly) | Tendons/fascia: Atlas-listed tendon/aponeurosis examples: Epicranial aponeurosis; Galea aponeurotica (epicranial aponeurosis) | Ligament context only: TMJ ligament/capsule where relevant; no deliberate ligament stretching</x:v>
      </x:c>
      <x:c r="N258" s="24" t="str">
        <x:v>Low-load activation, not ordinarily to fatigue: Frontalis (occipitofrontalis frontal belly)</x:v>
      </x:c>
      <x:c r="O258" s="24" t="str">
        <x:v>Raise eyebrows briefly; let forehead relax.</x:v>
      </x:c>
      <x:c r="P258" s="24" t="str">
        <x:v>Mirror</x:v>
      </x:c>
      <x:c r="Q258" s="24" t="str">
        <x:v>1–2 × 5–10 controlled reps</x:v>
      </x:c>
      <x:c r="R258" s="24" t="str">
        <x:v>Progress gradually; stop with sharp pain, dizziness, or numbness.</x:v>
      </x:c>
      <x:c r="S258" s="24" t="str">
        <x:v>https://www.acsm.org/education-resources/trending-topics-resources/physical-activity-guidelines</x:v>
      </x:c>
      <x:c r="T258" s="24" t="str">
        <x:v>Anatomy-based mapping</x:v>
      </x:c>
    </x:row>
    <x:row r="259" ht="54" customHeight="1">
      <x:c r="A259" s="24" t="str">
        <x:v>EX0322</x:v>
      </x:c>
      <x:c r="B259" s="24" t="str">
        <x:v>Scalp retraction cue (if voluntarily controlled)</x:v>
      </x:c>
      <x:c r="C259" s="24" t="str">
        <x:v>Head &amp; Face</x:v>
      </x:c>
      <x:c r="D259" s="24" t="str">
        <x:v>Home</x:v>
      </x:c>
      <x:c r="E259" s="24" t="str">
        <x:v>Functional activation</x:v>
      </x:c>
      <x:c r="F259" s="24" t="str">
        <x:v>Occipitalis (occipitofrontalis occipital belly); Temporoparietalis</x:v>
      </x:c>
      <x:c r="G259" s="24" t="str">
        <x:v>Frontalis (occipitofrontalis frontal belly)</x:v>
      </x:c>
      <x:c r="H259" s="24" t="str">
        <x:v>—</x:v>
      </x:c>
      <x:c r="I259" s="24" t="str">
        <x:v>—</x:v>
      </x:c>
      <x:c r="J259" s="24" t="str">
        <x:v>Occipitalis (occipitofrontalis occipital belly); Temporoparietalis; Frontalis (occipitofrontalis frontal belly)</x:v>
      </x:c>
      <x:c r="K259" s="24" t="str">
        <x:v>Atlas-listed tendon/aponeurosis examples: Galea aponeurotica (epicranial aponeurosis); Epicranial aponeurosis</x:v>
      </x:c>
      <x:c r="L259" s="24" t="str">
        <x:v>TMJ ligament/capsule where relevant; no deliberate ligament stretching</x:v>
      </x:c>
      <x:c r="M259" s="24" t="str">
        <x:v>Muscles: Occipitalis (occipitofrontalis occipital belly); Temporoparietalis; Frontalis (occipitofrontalis frontal belly) | Tendons/fascia: Atlas-listed tendon/aponeurosis examples: Galea aponeurotica (epicranial aponeurosis); Epicranial aponeurosis | Ligament context only: TMJ ligament/capsule where relevant; no deliberate ligament stretching</x:v>
      </x:c>
      <x:c r="N259" s="24" t="str">
        <x:v>Low-load activation, not ordinarily to fatigue: Occipitalis (occipitofrontalis occipital belly); Temporoparietalis</x:v>
      </x:c>
      <x:c r="O259" s="24" t="str">
        <x:v>Attempt gentle scalp movement without neck strain; ability varies.</x:v>
      </x:c>
      <x:c r="P259" s="24" t="str">
        <x:v>Mirror</x:v>
      </x:c>
      <x:c r="Q259" s="24" t="str">
        <x:v>1–2 × 5–10 controlled reps</x:v>
      </x:c>
      <x:c r="R259" s="24" t="str">
        <x:v>Progress gradually; stop with sharp pain, dizziness, or numbness.</x:v>
      </x:c>
      <x:c r="S259" s="24" t="str">
        <x:v>https://www.acsm.org/education-resources/trending-topics-resources/physical-activity-guidelines</x:v>
      </x:c>
      <x:c r="T259" s="24" t="str">
        <x:v>Anatomy-based mapping</x:v>
      </x:c>
    </x:row>
    <x:row r="260" ht="54" customHeight="1">
      <x:c r="A260" s="24" t="str">
        <x:v>EX0323</x:v>
      </x:c>
      <x:c r="B260" s="24" t="str">
        <x:v>Gentle eye closure and blink</x:v>
      </x:c>
      <x:c r="C260" s="24" t="str">
        <x:v>Head &amp; Face</x:v>
      </x:c>
      <x:c r="D260" s="24" t="str">
        <x:v>Home</x:v>
      </x:c>
      <x:c r="E260" s="24" t="str">
        <x:v>Functional activation</x:v>
      </x:c>
      <x:c r="F260" s="24" t="str">
        <x:v>Orbicularis oculi palpebral part; Orbicularis oculi lacrimal part (Horner muscle)</x:v>
      </x:c>
      <x:c r="G260" s="24" t="str">
        <x:v>—</x:v>
      </x:c>
      <x:c r="H260" s="24" t="str">
        <x:v>—</x:v>
      </x:c>
      <x:c r="I260" s="24" t="str">
        <x:v>—</x:v>
      </x:c>
      <x:c r="J260" s="24" t="str">
        <x:v>Orbicularis oculi palpebral part; Orbicularis oculi lacrimal part (Horner muscle)</x:v>
      </x:c>
      <x:c r="K260" s="24" t="str">
        <x:v>Atlas-listed tendon/aponeurosis examples: Palpebral raphe fibrous attachment; Tarsal tendon/fibrous slips</x:v>
      </x:c>
      <x:c r="L260" s="24" t="str">
        <x:v>TMJ ligament/capsule where relevant; no deliberate ligament stretching</x:v>
      </x:c>
      <x:c r="M260" s="24" t="str">
        <x:v>Muscles: Orbicularis oculi palpebral part; Orbicularis oculi lacrimal part (Horner muscle) | Tendons/fascia: Atlas-listed tendon/aponeurosis examples: Palpebral raphe fibrous attachment; Tarsal tendon/fibrous slips | Ligament context only: TMJ ligament/capsule where relevant; no deliberate ligament stretching</x:v>
      </x:c>
      <x:c r="N260" s="24" t="str">
        <x:v>Low-load activation, not ordinarily to fatigue: Orbicularis oculi palpebral part; Orbicularis oculi lacrimal part (Horner muscle)</x:v>
      </x:c>
      <x:c r="O260" s="24" t="str">
        <x:v>Close eyes softly then open; avoid hard squeezing.</x:v>
      </x:c>
      <x:c r="P260" s="24" t="str">
        <x:v>None</x:v>
      </x:c>
      <x:c r="Q260" s="24" t="str">
        <x:v>1–2 × 5–10 controlled reps</x:v>
      </x:c>
      <x:c r="R260" s="24" t="str">
        <x:v>Progress gradually; stop with sharp pain, dizziness, or numbness.</x:v>
      </x:c>
      <x:c r="S260" s="24" t="str">
        <x:v>https://www.acsm.org/education-resources/trending-topics-resources/physical-activity-guidelines</x:v>
      </x:c>
      <x:c r="T260" s="24" t="str">
        <x:v>Anatomy-based mapping</x:v>
      </x:c>
    </x:row>
    <x:row r="261" ht="54" customHeight="1">
      <x:c r="A261" s="24" t="str">
        <x:v>EX0324</x:v>
      </x:c>
      <x:c r="B261" s="24" t="str">
        <x:v>Intentional stronger eye closure (brief)</x:v>
      </x:c>
      <x:c r="C261" s="24" t="str">
        <x:v>Head &amp; Face</x:v>
      </x:c>
      <x:c r="D261" s="24" t="str">
        <x:v>Home</x:v>
      </x:c>
      <x:c r="E261" s="24" t="str">
        <x:v>Functional activation</x:v>
      </x:c>
      <x:c r="F261" s="24" t="str">
        <x:v>Orbicularis oculi orbital part</x:v>
      </x:c>
      <x:c r="G261" s="24" t="str">
        <x:v>Orbicularis oculi palpebral part</x:v>
      </x:c>
      <x:c r="H261" s="24" t="str">
        <x:v>—</x:v>
      </x:c>
      <x:c r="I261" s="24" t="str">
        <x:v>—</x:v>
      </x:c>
      <x:c r="J261" s="24" t="str">
        <x:v>Orbicularis oculi orbital part; Orbicularis oculi palpebral part</x:v>
      </x:c>
      <x:c r="K261" s="24" t="str">
        <x:v>Atlas-listed tendon/aponeurosis examples: Medial canthal tendon/medial palpebral ligament; Palpebral raphe fibrous attachment</x:v>
      </x:c>
      <x:c r="L261" s="24" t="str">
        <x:v>TMJ ligament/capsule where relevant; no deliberate ligament stretching</x:v>
      </x:c>
      <x:c r="M261" s="24" t="str">
        <x:v>Muscles: Orbicularis oculi orbital part; Orbicularis oculi palpebral part | Tendons/fascia: Atlas-listed tendon/aponeurosis examples: Medial canthal tendon/medial palpebral ligament; Palpebral raphe fibrous attachment | Ligament context only: TMJ ligament/capsule where relevant; no deliberate ligament stretching</x:v>
      </x:c>
      <x:c r="N261" s="24" t="str">
        <x:v>Low-load activation, not ordinarily to fatigue: Orbicularis oculi orbital part</x:v>
      </x:c>
      <x:c r="O261" s="24" t="str">
        <x:v>Close eyelids a little more firmly for a moment, then relax.</x:v>
      </x:c>
      <x:c r="P261" s="24" t="str">
        <x:v>None</x:v>
      </x:c>
      <x:c r="Q261" s="24" t="str">
        <x:v>1–2 × 5–10 controlled reps</x:v>
      </x:c>
      <x:c r="R261" s="24" t="str">
        <x:v>Progress gradually; stop with sharp pain, dizziness, or numbness.</x:v>
      </x:c>
      <x:c r="S261" s="24" t="str">
        <x:v>https://www.acsm.org/education-resources/trending-topics-resources/physical-activity-guidelines</x:v>
      </x:c>
      <x:c r="T261" s="24" t="str">
        <x:v>Anatomy-based mapping</x:v>
      </x:c>
    </x:row>
    <x:row r="262" ht="54" customHeight="1">
      <x:c r="A262" s="24" t="str">
        <x:v>EX0325</x:v>
      </x:c>
      <x:c r="B262" s="24" t="str">
        <x:v>Nose wrinkle / nasal compression</x:v>
      </x:c>
      <x:c r="C262" s="24" t="str">
        <x:v>Head &amp; Face</x:v>
      </x:c>
      <x:c r="D262" s="24" t="str">
        <x:v>Home</x:v>
      </x:c>
      <x:c r="E262" s="24" t="str">
        <x:v>Functional activation</x:v>
      </x:c>
      <x:c r="F262" s="24" t="str">
        <x:v>Nasalis transverse part (compressor naris); Procerus</x:v>
      </x:c>
      <x:c r="G262" s="24" t="str">
        <x:v>—</x:v>
      </x:c>
      <x:c r="H262" s="24" t="str">
        <x:v>—</x:v>
      </x:c>
      <x:c r="I262" s="24" t="str">
        <x:v>—</x:v>
      </x:c>
      <x:c r="J262" s="24" t="str">
        <x:v>Nasalis transverse part (compressor naris); Procerus</x:v>
      </x:c>
      <x:c r="K262" s="24" t="str">
        <x:v>Atlas-listed tendon/aponeurosis examples: Dorsal nasal aponeurosis; Fibrous dermal insertion</x:v>
      </x:c>
      <x:c r="L262" s="24" t="str">
        <x:v>TMJ ligament/capsule where relevant; no deliberate ligament stretching</x:v>
      </x:c>
      <x:c r="M262" s="24" t="str">
        <x:v>Muscles: Nasalis transverse part (compressor naris); Procerus | Tendons/fascia: Atlas-listed tendon/aponeurosis examples: Dorsal nasal aponeurosis; Fibrous dermal insertion | Ligament context only: TMJ ligament/capsule where relevant; no deliberate ligament stretching</x:v>
      </x:c>
      <x:c r="N262" s="24" t="str">
        <x:v>Low-load activation, not ordinarily to fatigue: Nasalis transverse part (compressor naris); Procerus</x:v>
      </x:c>
      <x:c r="O262" s="24" t="str">
        <x:v>Wrinkle nose gently and relax.</x:v>
      </x:c>
      <x:c r="P262" s="24" t="str">
        <x:v>Mirror</x:v>
      </x:c>
      <x:c r="Q262" s="24" t="str">
        <x:v>1–2 × 5–10 controlled reps</x:v>
      </x:c>
      <x:c r="R262" s="24" t="str">
        <x:v>Progress gradually; stop with sharp pain, dizziness, or numbness.</x:v>
      </x:c>
      <x:c r="S262" s="24" t="str">
        <x:v>https://www.acsm.org/education-resources/trending-topics-resources/physical-activity-guidelines</x:v>
      </x:c>
      <x:c r="T262" s="24" t="str">
        <x:v>Anatomy-based mapping</x:v>
      </x:c>
    </x:row>
    <x:row r="263" ht="54" customHeight="1">
      <x:c r="A263" s="24" t="str">
        <x:v>EX0326</x:v>
      </x:c>
      <x:c r="B263" s="24" t="str">
        <x:v>Nostril flare</x:v>
      </x:c>
      <x:c r="C263" s="24" t="str">
        <x:v>Head &amp; Face</x:v>
      </x:c>
      <x:c r="D263" s="24" t="str">
        <x:v>Home</x:v>
      </x:c>
      <x:c r="E263" s="24" t="str">
        <x:v>Functional activation</x:v>
      </x:c>
      <x:c r="F263" s="24" t="str">
        <x:v>Nasalis alar part (dilator naris); Levator labii superioris alaeque nasi</x:v>
      </x:c>
      <x:c r="G263" s="24" t="str">
        <x:v>—</x:v>
      </x:c>
      <x:c r="H263" s="24" t="str">
        <x:v>—</x:v>
      </x:c>
      <x:c r="I263" s="24" t="str">
        <x:v>—</x:v>
      </x:c>
      <x:c r="J263" s="24" t="str">
        <x:v>Nasalis alar part (dilator naris); Levator labii superioris alaeque nasi</x:v>
      </x:c>
      <x:c r="K263" s="24" t="str">
        <x:v>Atlas-listed tendon/aponeurosis examples: Dermal/cartilage fascicles; Dermal insertions</x:v>
      </x:c>
      <x:c r="L263" s="24" t="str">
        <x:v>TMJ ligament/capsule where relevant; no deliberate ligament stretching</x:v>
      </x:c>
      <x:c r="M263" s="24" t="str">
        <x:v>Muscles: Nasalis alar part (dilator naris); Levator labii superioris alaeque nasi | Tendons/fascia: Atlas-listed tendon/aponeurosis examples: Dermal/cartilage fascicles; Dermal insertions | Ligament context only: TMJ ligament/capsule where relevant; no deliberate ligament stretching</x:v>
      </x:c>
      <x:c r="N263" s="24" t="str">
        <x:v>Low-load activation, not ordinarily to fatigue: Nasalis alar part (dilator naris); Levator labii superioris alaeque nasi</x:v>
      </x:c>
      <x:c r="O263" s="24" t="str">
        <x:v>Try gentle voluntary nostril widening during quiet breathing.</x:v>
      </x:c>
      <x:c r="P263" s="24" t="str">
        <x:v>Mirror</x:v>
      </x:c>
      <x:c r="Q263" s="24" t="str">
        <x:v>1–2 × 5–10 controlled reps</x:v>
      </x:c>
      <x:c r="R263" s="24" t="str">
        <x:v>Progress gradually; stop with sharp pain, dizziness, or numbness.</x:v>
      </x:c>
      <x:c r="S263" s="24" t="str">
        <x:v>https://www.acsm.org/education-resources/trending-topics-resources/physical-activity-guidelines</x:v>
      </x:c>
      <x:c r="T263" s="24" t="str">
        <x:v>Anatomy-based mapping</x:v>
      </x:c>
    </x:row>
    <x:row r="264" ht="54" customHeight="1">
      <x:c r="A264" s="24" t="str">
        <x:v>EX0327</x:v>
      </x:c>
      <x:c r="B264" s="24" t="str">
        <x:v>Lower nasal septum lip movement</x:v>
      </x:c>
      <x:c r="C264" s="24" t="str">
        <x:v>Head &amp; Face</x:v>
      </x:c>
      <x:c r="D264" s="24" t="str">
        <x:v>Home</x:v>
      </x:c>
      <x:c r="E264" s="24" t="str">
        <x:v>Functional activation</x:v>
      </x:c>
      <x:c r="F264" s="24" t="str">
        <x:v>Depressor septi nasi</x:v>
      </x:c>
      <x:c r="G264" s="24" t="str">
        <x:v>Orbicularis oris marginal part</x:v>
      </x:c>
      <x:c r="H264" s="24" t="str">
        <x:v>—</x:v>
      </x:c>
      <x:c r="I264" s="24" t="str">
        <x:v>—</x:v>
      </x:c>
      <x:c r="J264" s="24" t="str">
        <x:v>Depressor septi nasi; Orbicularis oris marginal part</x:v>
      </x:c>
      <x:c r="K264" s="24" t="str">
        <x:v>Atlas-listed tendon/aponeurosis examples: Fibrous septal insertion; Musculofascial modiolus attachments</x:v>
      </x:c>
      <x:c r="L264" s="24" t="str">
        <x:v>TMJ ligament/capsule where relevant; no deliberate ligament stretching</x:v>
      </x:c>
      <x:c r="M264" s="24" t="str">
        <x:v>Muscles: Depressor septi nasi; Orbicularis oris marginal part | Tendons/fascia: Atlas-listed tendon/aponeurosis examples: Fibrous septal insertion; Musculofascial modiolus attachments | Ligament context only: TMJ ligament/capsule where relevant; no deliberate ligament stretching</x:v>
      </x:c>
      <x:c r="N264" s="24" t="str">
        <x:v>Low-load activation, not ordinarily to fatigue: Depressor septi nasi</x:v>
      </x:c>
      <x:c r="O264" s="24" t="str">
        <x:v>Gently narrow nostrils while pursing upper lip; control varies.</x:v>
      </x:c>
      <x:c r="P264" s="24" t="str">
        <x:v>Mirror</x:v>
      </x:c>
      <x:c r="Q264" s="24" t="str">
        <x:v>1–2 × 5–10 controlled reps</x:v>
      </x:c>
      <x:c r="R264" s="24" t="str">
        <x:v>Progress gradually; stop with sharp pain, dizziness, or numbness.</x:v>
      </x:c>
      <x:c r="S264" s="24" t="str">
        <x:v>https://www.acsm.org/education-resources/trending-topics-resources/physical-activity-guidelines</x:v>
      </x:c>
      <x:c r="T264" s="24" t="str">
        <x:v>Anatomy-based mapping</x:v>
      </x:c>
    </x:row>
    <x:row r="265" ht="54" customHeight="1">
      <x:c r="A265" s="24" t="str">
        <x:v>EX0328</x:v>
      </x:c>
      <x:c r="B265" s="24" t="str">
        <x:v>Lip purse / whistle shape (without force)</x:v>
      </x:c>
      <x:c r="C265" s="24" t="str">
        <x:v>Head &amp; Face</x:v>
      </x:c>
      <x:c r="D265" s="24" t="str">
        <x:v>Home</x:v>
      </x:c>
      <x:c r="E265" s="24" t="str">
        <x:v>Functional activation</x:v>
      </x:c>
      <x:c r="F265" s="24" t="str">
        <x:v>Orbicularis oris marginal part; Orbicularis oris peripheral part</x:v>
      </x:c>
      <x:c r="G265" s="24" t="str">
        <x:v>Buccinator</x:v>
      </x:c>
      <x:c r="H265" s="24" t="str">
        <x:v>—</x:v>
      </x:c>
      <x:c r="I265" s="24" t="str">
        <x:v>—</x:v>
      </x:c>
      <x:c r="J265" s="24" t="str">
        <x:v>Orbicularis oris marginal part; Orbicularis oris peripheral part; Buccinator</x:v>
      </x:c>
      <x:c r="K265" s="24" t="str">
        <x:v>Atlas-listed tendon/aponeurosis examples: Musculofascial modiolus attachments; Modiolus/fascial fiber attachments; Pterygomandibular raphe fibrous origin</x:v>
      </x:c>
      <x:c r="L265" s="24" t="str">
        <x:v>TMJ ligament/capsule where relevant; no deliberate ligament stretching</x:v>
      </x:c>
      <x:c r="M265" s="24" t="str">
        <x:v>Muscles: Orbicularis oris marginal part; Orbicularis oris peripheral part; Buccinator | Tendons/fascia: Atlas-listed tendon/aponeurosis examples: Musculofascial modiolus attachments; Modiolus/fascial fiber attachments; Pterygomandibular raphe fibrous origin | Ligament context only: TMJ ligament/capsule where relevant; no deliberate ligament stretching</x:v>
      </x:c>
      <x:c r="N265" s="24" t="str">
        <x:v>Low-load activation, not ordinarily to fatigue: Orbicularis oris marginal part; Orbicularis oris peripheral part</x:v>
      </x:c>
      <x:c r="O265" s="24" t="str">
        <x:v>Round lips gently, then return to relaxed position.</x:v>
      </x:c>
      <x:c r="P265" s="24" t="str">
        <x:v>None</x:v>
      </x:c>
      <x:c r="Q265" s="24" t="str">
        <x:v>1–2 × 5–10 controlled reps</x:v>
      </x:c>
      <x:c r="R265" s="24" t="str">
        <x:v>Progress gradually; stop with sharp pain, dizziness, or numbness.</x:v>
      </x:c>
      <x:c r="S265" s="24" t="str">
        <x:v>https://www.acsm.org/education-resources/trending-topics-resources/physical-activity-guidelines</x:v>
      </x:c>
      <x:c r="T265" s="24" t="str">
        <x:v>Anatomy-based mapping</x:v>
      </x:c>
    </x:row>
    <x:row r="266" ht="54" customHeight="1">
      <x:c r="A266" s="24" t="str">
        <x:v>EX0329</x:v>
      </x:c>
      <x:c r="B266" s="24" t="str">
        <x:v>Puff cheeks and release</x:v>
      </x:c>
      <x:c r="C266" s="24" t="str">
        <x:v>Head &amp; Face</x:v>
      </x:c>
      <x:c r="D266" s="24" t="str">
        <x:v>Home</x:v>
      </x:c>
      <x:c r="E266" s="24" t="str">
        <x:v>Functional activation</x:v>
      </x:c>
      <x:c r="F266" s="24" t="str">
        <x:v>Buccinator; Orbicularis oris peripheral part</x:v>
      </x:c>
      <x:c r="G266" s="24" t="str">
        <x:v>—</x:v>
      </x:c>
      <x:c r="H266" s="24" t="str">
        <x:v>—</x:v>
      </x:c>
      <x:c r="I266" s="24" t="str">
        <x:v>—</x:v>
      </x:c>
      <x:c r="J266" s="24" t="str">
        <x:v>Buccinator; Orbicularis oris peripheral part</x:v>
      </x:c>
      <x:c r="K266" s="24" t="str">
        <x:v>Atlas-listed tendon/aponeurosis examples: Pterygomandibular raphe fibrous origin; Modiolus/fascial fiber attachments</x:v>
      </x:c>
      <x:c r="L266" s="24" t="str">
        <x:v>TMJ ligament/capsule where relevant; no deliberate ligament stretching</x:v>
      </x:c>
      <x:c r="M266" s="24" t="str">
        <x:v>Muscles: Buccinator; Orbicularis oris peripheral part | Tendons/fascia: Atlas-listed tendon/aponeurosis examples: Pterygomandibular raphe fibrous origin; Modiolus/fascial fiber attachments | Ligament context only: TMJ ligament/capsule where relevant; no deliberate ligament stretching</x:v>
      </x:c>
      <x:c r="N266" s="24" t="str">
        <x:v>Low-load activation, not ordinarily to fatigue: Buccinator; Orbicularis oris peripheral part</x:v>
      </x:c>
      <x:c r="O266" s="24" t="str">
        <x:v>Fill cheeks lightly with air then release, no hard pressure.</x:v>
      </x:c>
      <x:c r="P266" s="24" t="str">
        <x:v>None</x:v>
      </x:c>
      <x:c r="Q266" s="24" t="str">
        <x:v>1–2 × 5–10 controlled reps</x:v>
      </x:c>
      <x:c r="R266" s="24" t="str">
        <x:v>Progress gradually; stop with sharp pain, dizziness, or numbness.</x:v>
      </x:c>
      <x:c r="S266" s="24" t="str">
        <x:v>https://www.acsm.org/education-resources/trending-topics-resources/physical-activity-guidelines</x:v>
      </x:c>
      <x:c r="T266" s="24" t="str">
        <x:v>Anatomy-based mapping</x:v>
      </x:c>
    </x:row>
    <x:row r="267" ht="54" customHeight="1">
      <x:c r="A267" s="24" t="str">
        <x:v>EX0330</x:v>
      </x:c>
      <x:c r="B267" s="24" t="str">
        <x:v>Gentle cheek retraction</x:v>
      </x:c>
      <x:c r="C267" s="24" t="str">
        <x:v>Head &amp; Face</x:v>
      </x:c>
      <x:c r="D267" s="24" t="str">
        <x:v>Home</x:v>
      </x:c>
      <x:c r="E267" s="24" t="str">
        <x:v>Functional activation</x:v>
      </x:c>
      <x:c r="F267" s="24" t="str">
        <x:v>Buccinator; Risorius</x:v>
      </x:c>
      <x:c r="G267" s="24" t="str">
        <x:v>Orbicularis oris peripheral part</x:v>
      </x:c>
      <x:c r="H267" s="24" t="str">
        <x:v>—</x:v>
      </x:c>
      <x:c r="I267" s="24" t="str">
        <x:v>—</x:v>
      </x:c>
      <x:c r="J267" s="24" t="str">
        <x:v>Buccinator; Risorius; Orbicularis oris peripheral part</x:v>
      </x:c>
      <x:c r="K267" s="24" t="str">
        <x:v>Atlas-listed tendon/aponeurosis examples: Pterygomandibular raphe fibrous origin; Thin fascial fibers; Modiolus/fascial fiber attachments</x:v>
      </x:c>
      <x:c r="L267" s="24" t="str">
        <x:v>TMJ ligament/capsule where relevant; no deliberate ligament stretching</x:v>
      </x:c>
      <x:c r="M267" s="24" t="str">
        <x:v>Muscles: Buccinator; Risorius; Orbicularis oris peripheral part | Tendons/fascia: Atlas-listed tendon/aponeurosis examples: Pterygomandibular raphe fibrous origin; Thin fascial fibers; Modiolus/fascial fiber attachments | Ligament context only: TMJ ligament/capsule where relevant; no deliberate ligament stretching</x:v>
      </x:c>
      <x:c r="N267" s="24" t="str">
        <x:v>Low-load activation, not ordinarily to fatigue: Buccinator; Risorius</x:v>
      </x:c>
      <x:c r="O267" s="24" t="str">
        <x:v>Draw cheeks inward gently while maintaining relaxed jaw.</x:v>
      </x:c>
      <x:c r="P267" s="24" t="str">
        <x:v>Mirror</x:v>
      </x:c>
      <x:c r="Q267" s="24" t="str">
        <x:v>1–2 × 5–10 controlled reps</x:v>
      </x:c>
      <x:c r="R267" s="24" t="str">
        <x:v>Progress gradually; stop with sharp pain, dizziness, or numbness.</x:v>
      </x:c>
      <x:c r="S267" s="24" t="str">
        <x:v>https://www.acsm.org/education-resources/trending-topics-resources/physical-activity-guidelines</x:v>
      </x:c>
      <x:c r="T267" s="24" t="str">
        <x:v>Anatomy-based mapping</x:v>
      </x:c>
    </x:row>
    <x:row r="268" ht="54" customHeight="1">
      <x:c r="A268" s="24" t="str">
        <x:v>EX0331</x:v>
      </x:c>
      <x:c r="B268" s="24" t="str">
        <x:v>Chin dimple / lower-lip protrusion</x:v>
      </x:c>
      <x:c r="C268" s="24" t="str">
        <x:v>Head &amp; Face</x:v>
      </x:c>
      <x:c r="D268" s="24" t="str">
        <x:v>Home</x:v>
      </x:c>
      <x:c r="E268" s="24" t="str">
        <x:v>Functional activation</x:v>
      </x:c>
      <x:c r="F268" s="24" t="str">
        <x:v>Mentalis</x:v>
      </x:c>
      <x:c r="G268" s="24" t="str">
        <x:v>Orbicularis oris marginal part</x:v>
      </x:c>
      <x:c r="H268" s="24" t="str">
        <x:v>—</x:v>
      </x:c>
      <x:c r="I268" s="24" t="str">
        <x:v>—</x:v>
      </x:c>
      <x:c r="J268" s="24" t="str">
        <x:v>Mentalis; Orbicularis oris marginal part</x:v>
      </x:c>
      <x:c r="K268" s="24" t="str">
        <x:v>Atlas-listed tendon/aponeurosis examples: Dermal insertion; Musculofascial modiolus attachments</x:v>
      </x:c>
      <x:c r="L268" s="24" t="str">
        <x:v>TMJ ligament/capsule where relevant; no deliberate ligament stretching</x:v>
      </x:c>
      <x:c r="M268" s="24" t="str">
        <x:v>Muscles: Mentalis; Orbicularis oris marginal part | Tendons/fascia: Atlas-listed tendon/aponeurosis examples: Dermal insertion; Musculofascial modiolus attachments | Ligament context only: TMJ ligament/capsule where relevant; no deliberate ligament stretching</x:v>
      </x:c>
      <x:c r="N268" s="24" t="str">
        <x:v>Low-load activation, not ordinarily to fatigue: Mentalis</x:v>
      </x:c>
      <x:c r="O268" s="24" t="str">
        <x:v>Lift lower lip and wrinkle chin mildly.</x:v>
      </x:c>
      <x:c r="P268" s="24" t="str">
        <x:v>Mirror</x:v>
      </x:c>
      <x:c r="Q268" s="24" t="str">
        <x:v>1–2 × 5–10 controlled reps</x:v>
      </x:c>
      <x:c r="R268" s="24" t="str">
        <x:v>Progress gradually; stop with sharp pain, dizziness, or numbness.</x:v>
      </x:c>
      <x:c r="S268" s="24" t="str">
        <x:v>https://www.acsm.org/education-resources/trending-topics-resources/physical-activity-guidelines</x:v>
      </x:c>
      <x:c r="T268" s="24" t="str">
        <x:v>Anatomy-based mapping</x:v>
      </x:c>
    </x:row>
    <x:row r="269" ht="54" customHeight="1">
      <x:c r="A269" s="24" t="str">
        <x:v>EX0332</x:v>
      </x:c>
      <x:c r="B269" s="24" t="str">
        <x:v>Gentle platysma neck skin tension</x:v>
      </x:c>
      <x:c r="C269" s="24" t="str">
        <x:v>Head &amp; Face</x:v>
      </x:c>
      <x:c r="D269" s="24" t="str">
        <x:v>Home</x:v>
      </x:c>
      <x:c r="E269" s="24" t="str">
        <x:v>Functional activation</x:v>
      </x:c>
      <x:c r="F269" s="24" t="str">
        <x:v>Platysma</x:v>
      </x:c>
      <x:c r="G269" s="24" t="str">
        <x:v>Depressor anguli oris</x:v>
      </x:c>
      <x:c r="H269" s="24" t="str">
        <x:v>—</x:v>
      </x:c>
      <x:c r="I269" s="24" t="str">
        <x:v>—</x:v>
      </x:c>
      <x:c r="J269" s="24" t="str">
        <x:v>Platysma; Depressor anguli oris</x:v>
      </x:c>
      <x:c r="K269" s="24" t="str">
        <x:v>Atlas-listed tendon/aponeurosis examples: Dermal fascial attachments without long tendon; Modiolus insertion</x:v>
      </x:c>
      <x:c r="L269" s="24" t="str">
        <x:v>TMJ ligament/capsule where relevant; no deliberate ligament stretching</x:v>
      </x:c>
      <x:c r="M269" s="24" t="str">
        <x:v>Muscles: Platysma; Depressor anguli oris | Tendons/fascia: Atlas-listed tendon/aponeurosis examples: Dermal fascial attachments without long tendon; Modiolus insertion | Ligament context only: TMJ ligament/capsule where relevant; no deliberate ligament stretching</x:v>
      </x:c>
      <x:c r="N269" s="24" t="str">
        <x:v>Low-load activation, not ordinarily to fatigue: Platysma</x:v>
      </x:c>
      <x:c r="O269" s="24" t="str">
        <x:v>Lightly draw corners of mouth downward to create superficial neck tension.</x:v>
      </x:c>
      <x:c r="P269" s="24" t="str">
        <x:v>Mirror</x:v>
      </x:c>
      <x:c r="Q269" s="24" t="str">
        <x:v>1–2 × 5–10 controlled reps</x:v>
      </x:c>
      <x:c r="R269" s="24" t="str">
        <x:v>Progress gradually; stop with sharp pain, dizziness, or numbness.</x:v>
      </x:c>
      <x:c r="S269" s="24" t="str">
        <x:v>https://www.acsm.org/education-resources/trending-topics-resources/physical-activity-guidelines</x:v>
      </x:c>
      <x:c r="T269" s="24" t="str">
        <x:v>Anatomy-based mapping</x:v>
      </x:c>
    </x:row>
    <x:row r="270" ht="54" customHeight="1">
      <x:c r="A270" s="24" t="str">
        <x:v>EX0333</x:v>
      </x:c>
      <x:c r="B270" s="24" t="str">
        <x:v>Jaw open-close controlled ROM</x:v>
      </x:c>
      <x:c r="C270" s="24" t="str">
        <x:v>Head &amp; Face</x:v>
      </x:c>
      <x:c r="D270" s="24" t="str">
        <x:v>Home</x:v>
      </x:c>
      <x:c r="E270" s="24" t="str">
        <x:v>Motor control</x:v>
      </x:c>
      <x:c r="F270" s="24" t="str">
        <x:v>Lateral pterygoid inferior head; Lateral pterygoid superior head; Digastric anterior belly; Digastric posterior belly; Mylohyoid; Geniohyoid</x:v>
      </x:c>
      <x:c r="G270" s="24" t="str">
        <x:v>Masseter deep portion; Masseter superficial portion; Temporalis anterior fibers; Temporalis posterior fibers; Medial pterygoid deep head; Medial pterygoid superficial head</x:v>
      </x:c>
      <x:c r="H270" s="24" t="str">
        <x:v>—</x:v>
      </x:c>
      <x:c r="I270" s="24" t="str">
        <x:v>Masseter deep portion; Masseter superficial portion; Temporalis anterior fibers; Temporalis posterior fibers; Medial pterygoid deep head; Medial pterygoid superficial head; Lateral pterygoid inferior head; Lateral pterygoid superior head</x:v>
      </x:c>
      <x:c r="J270" s="24" t="str">
        <x:v>Lateral pterygoid inferior head; Lateral pterygoid superior head; Digastric anterior belly; Digastric posterior belly; Mylohyoid; Geniohyoid; Masseter deep portion; Masseter superficial portion; Temporalis anterior fibers; Temporalis posterior fibers; Medial pterygoid deep head; Medial pterygoid superficial head</x:v>
      </x:c>
      <x:c r="K270" s="24" t="str">
        <x:v>Temporalis/masseter tendon; TMJ disc may move</x:v>
      </x:c>
      <x:c r="L270" s="24" t="str">
        <x:v>TMJ capsule and ligaments are not stretch targets</x:v>
      </x:c>
      <x:c r="M270" s="24" t="str">
        <x:v>Muscles: Lateral pterygoid inferior head; Lateral pterygoid superior head; Digastric anterior belly; Digastric posterior belly; Mylohyoid; Geniohyoid; Masseter deep portion; Masseter superficial portion; Temporalis anterior fibers; Temporalis posterior fibers; Medial pterygoid deep head; Medial pterygoid superficial head | Tendons/fascia: Temporalis/masseter tendon; TMJ disc may move | Ligament context only: TMJ capsule and ligaments are not stretch targets</x:v>
      </x:c>
      <x:c r="N270" s="24" t="str">
        <x:v>Low-load activation, not ordinarily to fatigue: Lateral pterygoid inferior head; Lateral pterygoid superior head; Digastric anterior belly; Digastric posterior belly; Mylohyoid; Geniohyoid</x:v>
      </x:c>
      <x:c r="O270" s="24" t="str">
        <x:v>Open mouth slightly with tongue resting on palate, close without clenching.</x:v>
      </x:c>
      <x:c r="P270" s="24" t="str">
        <x:v>Mirror</x:v>
      </x:c>
      <x:c r="Q270" s="24" t="str">
        <x:v>1–2 × 5–10 controlled reps</x:v>
      </x:c>
      <x:c r="R270" s="24" t="str">
        <x:v>Progress gradually; stop with sharp pain, dizziness, or numbness.</x:v>
      </x:c>
      <x:c r="S270" s="24" t="str">
        <x:v>https://www.acsm.org/education-resources/trending-topics-resources/physical-activity-guidelines</x:v>
      </x:c>
      <x:c r="T270" s="24" t="str">
        <x:v>Anatomy-based mapping</x:v>
      </x:c>
    </x:row>
    <x:row r="271" ht="54" customHeight="1">
      <x:c r="A271" s="24" t="str">
        <x:v>EX0334</x:v>
      </x:c>
      <x:c r="B271" s="24" t="str">
        <x:v>Jaw closing gentle isometric on soft food</x:v>
      </x:c>
      <x:c r="C271" s="24" t="str">
        <x:v>Head &amp; Face</x:v>
      </x:c>
      <x:c r="D271" s="24" t="str">
        <x:v>Home</x:v>
      </x:c>
      <x:c r="E271" s="24" t="str">
        <x:v>Functional activation</x:v>
      </x:c>
      <x:c r="F271" s="24" t="str">
        <x:v>Masseter deep portion; Masseter superficial portion; Temporalis anterior fibers; Temporalis posterior fibers; Medial pterygoid deep head; Medial pterygoid superficial head</x:v>
      </x:c>
      <x:c r="G271" s="24" t="str">
        <x:v>—</x:v>
      </x:c>
      <x:c r="H271" s="24" t="str">
        <x:v>—</x:v>
      </x:c>
      <x:c r="I271" s="24" t="str">
        <x:v>—</x:v>
      </x:c>
      <x:c r="J271" s="24" t="str">
        <x:v>Masseter deep portion; Masseter superficial portion; Temporalis anterior fibers; Temporalis posterior fibers; Medial pterygoid deep head; Medial pterygoid superficial head</x:v>
      </x:c>
      <x:c r="K271" s="24" t="str">
        <x:v>Temporalis and masseter tendons</x:v>
      </x:c>
      <x:c r="L271" s="24" t="str">
        <x:v>TMJ capsular ligaments stabilize joint</x:v>
      </x:c>
      <x:c r="M271" s="24" t="str">
        <x:v>Muscles: Masseter deep portion; Masseter superficial portion; Temporalis anterior fibers; Temporalis posterior fibers; Medial pterygoid deep head; Medial pterygoid superficial head | Tendons/fascia: Temporalis and masseter tendons | Ligament context only: TMJ capsular ligaments stabilize joint</x:v>
      </x:c>
      <x:c r="N271" s="24" t="str">
        <x:v>Low-load activation, not ordinarily to fatigue: Masseter deep portion; Masseter superficial portion; Temporalis anterior fibers; Temporalis posterior fibers; Medial pterygoid deep head; Medial pterygoid superficial head</x:v>
      </x:c>
      <x:c r="O271" s="24" t="str">
        <x:v>Practice chewing an appropriately soft snack with natural light effort.</x:v>
      </x:c>
      <x:c r="P271" s="24" t="str">
        <x:v>Soft food</x:v>
      </x:c>
      <x:c r="Q271" s="24" t="str">
        <x:v>1–2 × 5–10 controlled reps</x:v>
      </x:c>
      <x:c r="R271" s="24" t="str">
        <x:v>Avoid gum chewing/loaded jaw drills for TMJ pain.</x:v>
      </x:c>
      <x:c r="S271" s="24" t="str">
        <x:v>https://www.acsm.org/education-resources/trending-topics-resources/physical-activity-guidelines</x:v>
      </x:c>
      <x:c r="T271" s="24" t="str">
        <x:v>Anatomy-based mapping</x:v>
      </x:c>
    </x:row>
    <x:row r="272" ht="54" customHeight="1">
      <x:c r="A272" s="24" t="str">
        <x:v>EX0335</x:v>
      </x:c>
      <x:c r="B272" s="24" t="str">
        <x:v>Gentle lateral jaw glide</x:v>
      </x:c>
      <x:c r="C272" s="24" t="str">
        <x:v>Head &amp; Face</x:v>
      </x:c>
      <x:c r="D272" s="24" t="str">
        <x:v>Home</x:v>
      </x:c>
      <x:c r="E272" s="24" t="str">
        <x:v>Motor control</x:v>
      </x:c>
      <x:c r="F272" s="24" t="str">
        <x:v>Lateral pterygoid inferior head; Lateral pterygoid superior head; Medial pterygoid deep head; Medial pterygoid superficial head; Temporalis anterior fibers; Temporalis posterior fibers</x:v>
      </x:c>
      <x:c r="G272" s="24" t="str">
        <x:v>Masseter deep portion; Masseter superficial portion</x:v>
      </x:c>
      <x:c r="H272" s="24" t="str">
        <x:v>—</x:v>
      </x:c>
      <x:c r="I272" s="24" t="str">
        <x:v>—</x:v>
      </x:c>
      <x:c r="J272" s="24" t="str">
        <x:v>Lateral pterygoid inferior head; Lateral pterygoid superior head; Medial pterygoid deep head; Medial pterygoid superficial head; Temporalis anterior fibers; Temporalis posterior fibers; Masseter deep portion; Masseter superficial portion</x:v>
      </x:c>
      <x:c r="K272" s="24" t="str">
        <x:v>Atlas-listed tendon/aponeurosis examples: Pterygoid fovea insertion tendon; Capsulodiscal fibrous attachment; Pterygoid insertion tendon; Fibrous insertion tendon; additional listed attachments</x:v>
      </x:c>
      <x:c r="L272" s="24" t="str">
        <x:v>TMJ ligament/capsule where relevant; no deliberate ligament stretching</x:v>
      </x:c>
      <x:c r="M272" s="24" t="str">
        <x:v>Muscles: Lateral pterygoid inferior head; Lateral pterygoid superior head; Medial pterygoid deep head; Medial pterygoid superficial head; Temporalis anterior fibers; Temporalis posterior fibers; Masseter deep portion; Masseter superficial portion | Tendons/fascia: Atlas-listed tendon/aponeurosis examples: Pterygoid fovea insertion tendon; Capsulodiscal fibrous attachment; Pterygoid insertion tendon; Fibrous insertion tendon; additional listed attachments | Ligament context only: TMJ ligament/capsule where relevant; no deliberate ligament stretching</x:v>
      </x:c>
      <x:c r="N272" s="24" t="str">
        <x:v>Low-load activation, not ordinarily to fatigue: Lateral pterygoid inferior head; Lateral pterygoid superior head; Medial pterygoid deep head; Medial pterygoid superficial head; Temporalis anterior fibers; Temporalis posterior fibers</x:v>
      </x:c>
      <x:c r="O272" s="24" t="str">
        <x:v>With teeth separated, move jaw gently left-right in pain-free range.</x:v>
      </x:c>
      <x:c r="P272" s="24" t="str">
        <x:v>Mirror</x:v>
      </x:c>
      <x:c r="Q272" s="24" t="str">
        <x:v>1–2 × 5–10 controlled reps</x:v>
      </x:c>
      <x:c r="R272" s="24" t="str">
        <x:v>Progress gradually; stop with sharp pain, dizziness, or numbness.</x:v>
      </x:c>
      <x:c r="S272" s="24" t="str">
        <x:v>https://www.acsm.org/education-resources/trending-topics-resources/physical-activity-guidelines</x:v>
      </x:c>
      <x:c r="T272" s="24" t="str">
        <x:v>Anatomy-based mapping</x:v>
      </x:c>
    </x:row>
    <x:row r="273" ht="54" customHeight="1">
      <x:c r="A273" s="24" t="str">
        <x:v>EX0336</x:v>
      </x:c>
      <x:c r="B273" s="24" t="str">
        <x:v>Jaw protrusion / retrusion control</x:v>
      </x:c>
      <x:c r="C273" s="24" t="str">
        <x:v>Head &amp; Face</x:v>
      </x:c>
      <x:c r="D273" s="24" t="str">
        <x:v>Home</x:v>
      </x:c>
      <x:c r="E273" s="24" t="str">
        <x:v>Motor control</x:v>
      </x:c>
      <x:c r="F273" s="24" t="str">
        <x:v>Lateral pterygoid inferior head; Lateral pterygoid superior head; Medial pterygoid deep head; Medial pterygoid superficial head</x:v>
      </x:c>
      <x:c r="G273" s="24" t="str">
        <x:v>Temporalis anterior fibers; Temporalis posterior fibers</x:v>
      </x:c>
      <x:c r="H273" s="24" t="str">
        <x:v>—</x:v>
      </x:c>
      <x:c r="I273" s="24" t="str">
        <x:v>—</x:v>
      </x:c>
      <x:c r="J273" s="24" t="str">
        <x:v>Lateral pterygoid inferior head; Lateral pterygoid superior head; Medial pterygoid deep head; Medial pterygoid superficial head; Temporalis anterior fibers; Temporalis posterior fibers</x:v>
      </x:c>
      <x:c r="K273" s="24" t="str">
        <x:v>Atlas-listed tendon/aponeurosis examples: Pterygoid fovea insertion tendon; Capsulodiscal fibrous attachment; Pterygoid insertion tendon; Fibrous insertion tendon; additional listed attachments</x:v>
      </x:c>
      <x:c r="L273" s="24" t="str">
        <x:v>TMJ ligament/capsule where relevant; no deliberate ligament stretching</x:v>
      </x:c>
      <x:c r="M273" s="24" t="str">
        <x:v>Muscles: Lateral pterygoid inferior head; Lateral pterygoid superior head; Medial pterygoid deep head; Medial pterygoid superficial head; Temporalis anterior fibers; Temporalis posterior fibers | Tendons/fascia: Atlas-listed tendon/aponeurosis examples: Pterygoid fovea insertion tendon; Capsulodiscal fibrous attachment; Pterygoid insertion tendon; Fibrous insertion tendon; additional listed attachments | Ligament context only: TMJ ligament/capsule where relevant; no deliberate ligament stretching</x:v>
      </x:c>
      <x:c r="N273" s="24" t="str">
        <x:v>Low-load activation, not ordinarily to fatigue: Lateral pterygoid inferior head; Lateral pterygoid superior head; Medial pterygoid deep head; Medial pterygoid superficial head</x:v>
      </x:c>
      <x:c r="O273" s="24" t="str">
        <x:v>Move lower jaw forward a few millimeters then back while relaxed.</x:v>
      </x:c>
      <x:c r="P273" s="24" t="str">
        <x:v>Mirror</x:v>
      </x:c>
      <x:c r="Q273" s="24" t="str">
        <x:v>1–2 × 5–10 controlled reps</x:v>
      </x:c>
      <x:c r="R273" s="24" t="str">
        <x:v>Progress gradually; stop with sharp pain, dizziness, or numbness.</x:v>
      </x:c>
      <x:c r="S273" s="24" t="str">
        <x:v>https://www.acsm.org/education-resources/trending-topics-resources/physical-activity-guidelines</x:v>
      </x:c>
      <x:c r="T273" s="24" t="str">
        <x:v>Anatomy-based mapping</x:v>
      </x:c>
    </x:row>
    <x:row r="274" ht="54" customHeight="1">
      <x:c r="A274" s="24" t="str">
        <x:v>EX0337</x:v>
      </x:c>
      <x:c r="B274" s="24" t="str">
        <x:v>Tongue protrusion and retraction</x:v>
      </x:c>
      <x:c r="C274" s="24" t="str">
        <x:v>Head &amp; Face</x:v>
      </x:c>
      <x:c r="D274" s="24" t="str">
        <x:v>Home</x:v>
      </x:c>
      <x:c r="E274" s="24" t="str">
        <x:v>Functional activation</x:v>
      </x:c>
      <x:c r="F274" s="24" t="str">
        <x:v>Genioglossus; Styloglossus; Hyoglossus</x:v>
      </x:c>
      <x:c r="G274" s="24" t="str">
        <x:v>Inferior longitudinal tongue muscle; Superior longitudinal tongue muscle; Transverse tongue muscle; Vertical tongue muscle</x:v>
      </x:c>
      <x:c r="H274" s="24" t="str">
        <x:v>—</x:v>
      </x:c>
      <x:c r="I274" s="24" t="str">
        <x:v>—</x:v>
      </x:c>
      <x:c r="J274" s="24" t="str">
        <x:v>Genioglossus; Styloglossus; Hyoglossus; Inferior longitudinal tongue muscle; Superior longitudinal tongue muscle; Transverse tongue muscle; Vertical tongue muscle</x:v>
      </x:c>
      <x:c r="K274" s="24" t="str">
        <x:v>Atlas-listed tendon/aponeurosis examples: Muscular insertion fibers to tongue/hyoid; Styloid origin tendon; Hyoid origin tendon; Intralingual fascicles; additional listed attachments</x:v>
      </x:c>
      <x:c r="L274" s="24" t="str">
        <x:v>TMJ ligament/capsule where relevant; no deliberate ligament stretching</x:v>
      </x:c>
      <x:c r="M274" s="24" t="str">
        <x:v>Muscles: Genioglossus; Styloglossus; Hyoglossus; Inferior longitudinal tongue muscle; Superior longitudinal tongue muscle; Transverse tongue muscle; Vertical tongue muscle | Tendons/fascia: Atlas-listed tendon/aponeurosis examples: Muscular insertion fibers to tongue/hyoid; Styloid origin tendon; Hyoid origin tendon; Intralingual fascicles; additional listed attachments | Ligament context only: TMJ ligament/capsule where relevant; no deliberate ligament stretching</x:v>
      </x:c>
      <x:c r="N274" s="24" t="str">
        <x:v>Low-load activation, not ordinarily to fatigue: Genioglossus; Styloglossus; Hyoglossus</x:v>
      </x:c>
      <x:c r="O274" s="24" t="str">
        <x:v>Extend tongue slightly then retract comfortably without pushing against teeth.</x:v>
      </x:c>
      <x:c r="P274" s="24" t="str">
        <x:v>Mirror</x:v>
      </x:c>
      <x:c r="Q274" s="24" t="str">
        <x:v>1–2 × 5–10 controlled reps</x:v>
      </x:c>
      <x:c r="R274" s="24" t="str">
        <x:v>Progress gradually; stop with sharp pain, dizziness, or numbness.</x:v>
      </x:c>
      <x:c r="S274" s="24" t="str">
        <x:v>https://www.acsm.org/education-resources/trending-topics-resources/physical-activity-guidelines</x:v>
      </x:c>
      <x:c r="T274" s="24" t="str">
        <x:v>Anatomy-based mapping</x:v>
      </x:c>
    </x:row>
    <x:row r="275" ht="54" customHeight="1">
      <x:c r="A275" s="24" t="str">
        <x:v>EX0338</x:v>
      </x:c>
      <x:c r="B275" s="24" t="str">
        <x:v>Tongue tip up/down within mouth</x:v>
      </x:c>
      <x:c r="C275" s="24" t="str">
        <x:v>Head &amp; Face</x:v>
      </x:c>
      <x:c r="D275" s="24" t="str">
        <x:v>Home</x:v>
      </x:c>
      <x:c r="E275" s="24" t="str">
        <x:v>Functional activation</x:v>
      </x:c>
      <x:c r="F275" s="24" t="str">
        <x:v>Inferior longitudinal tongue muscle; Superior longitudinal tongue muscle; Transverse tongue muscle; Vertical tongue muscle; Genioglossus; Styloglossus</x:v>
      </x:c>
      <x:c r="G275" s="24" t="str">
        <x:v>—</x:v>
      </x:c>
      <x:c r="H275" s="24" t="str">
        <x:v>—</x:v>
      </x:c>
      <x:c r="I275" s="24" t="str">
        <x:v>—</x:v>
      </x:c>
      <x:c r="J275" s="24" t="str">
        <x:v>Inferior longitudinal tongue muscle; Superior longitudinal tongue muscle; Transverse tongue muscle; Vertical tongue muscle; Genioglossus; Styloglossus</x:v>
      </x:c>
      <x:c r="K275" s="24" t="str">
        <x:v>Atlas-listed tendon/aponeurosis examples: Intralingual fascicles; Intralingual fibrous septa, no long tendon; Fibrous lingual septum direct origin; Lingual aponeurosis; additional listed attachments</x:v>
      </x:c>
      <x:c r="L275" s="24" t="str">
        <x:v>TMJ ligament/capsule where relevant; no deliberate ligament stretching</x:v>
      </x:c>
      <x:c r="M275" s="24" t="str">
        <x:v>Muscles: Inferior longitudinal tongue muscle; Superior longitudinal tongue muscle; Transverse tongue muscle; Vertical tongue muscle; Genioglossus; Styloglossus | Tendons/fascia: Atlas-listed tendon/aponeurosis examples: Intralingual fascicles; Intralingual fibrous septa, no long tendon; Fibrous lingual septum direct origin; Lingual aponeurosis; additional listed attachments | Ligament context only: TMJ ligament/capsule where relevant; no deliberate ligament stretching</x:v>
      </x:c>
      <x:c r="N275" s="24" t="str">
        <x:v>Low-load activation, not ordinarily to fatigue: Inferior longitudinal tongue muscle; Superior longitudinal tongue muscle; Transverse tongue muscle; Vertical tongue muscle; Genioglossus; Styloglossus</x:v>
      </x:c>
      <x:c r="O275" s="24" t="str">
        <x:v>Touch tip to upper gum ridge then lower gum gently.</x:v>
      </x:c>
      <x:c r="P275" s="24" t="str">
        <x:v>Mirror</x:v>
      </x:c>
      <x:c r="Q275" s="24" t="str">
        <x:v>1–2 × 5–10 controlled reps</x:v>
      </x:c>
      <x:c r="R275" s="24" t="str">
        <x:v>Progress gradually; stop with sharp pain, dizziness, or numbness.</x:v>
      </x:c>
      <x:c r="S275" s="24" t="str">
        <x:v>https://www.acsm.org/education-resources/trending-topics-resources/physical-activity-guidelines</x:v>
      </x:c>
      <x:c r="T275" s="24" t="str">
        <x:v>Anatomy-based mapping</x:v>
      </x:c>
    </x:row>
    <x:row r="276" ht="54" customHeight="1">
      <x:c r="A276" s="24" t="str">
        <x:v>EX0339</x:v>
      </x:c>
      <x:c r="B276" s="24" t="str">
        <x:v>Tongue lateral movement</x:v>
      </x:c>
      <x:c r="C276" s="24" t="str">
        <x:v>Head &amp; Face</x:v>
      </x:c>
      <x:c r="D276" s="24" t="str">
        <x:v>Home</x:v>
      </x:c>
      <x:c r="E276" s="24" t="str">
        <x:v>Functional activation</x:v>
      </x:c>
      <x:c r="F276" s="24" t="str">
        <x:v>Inferior longitudinal tongue muscle; Superior longitudinal tongue muscle; Transverse tongue muscle; Vertical tongue muscle; Styloglossus; Hyoglossus</x:v>
      </x:c>
      <x:c r="G276" s="24" t="str">
        <x:v>—</x:v>
      </x:c>
      <x:c r="H276" s="24" t="str">
        <x:v>—</x:v>
      </x:c>
      <x:c r="I276" s="24" t="str">
        <x:v>—</x:v>
      </x:c>
      <x:c r="J276" s="24" t="str">
        <x:v>Inferior longitudinal tongue muscle; Superior longitudinal tongue muscle; Transverse tongue muscle; Vertical tongue muscle; Styloglossus; Hyoglossus</x:v>
      </x:c>
      <x:c r="K276" s="24" t="str">
        <x:v>Atlas-listed tendon/aponeurosis examples: Intralingual fascicles; Intralingual fibrous septa, no long tendon; Fibrous lingual septum direct origin; Lingual aponeurosis; additional listed attachments</x:v>
      </x:c>
      <x:c r="L276" s="24" t="str">
        <x:v>TMJ ligament/capsule where relevant; no deliberate ligament stretching</x:v>
      </x:c>
      <x:c r="M276" s="24" t="str">
        <x:v>Muscles: Inferior longitudinal tongue muscle; Superior longitudinal tongue muscle; Transverse tongue muscle; Vertical tongue muscle; Styloglossus; Hyoglossus | Tendons/fascia: Atlas-listed tendon/aponeurosis examples: Intralingual fascicles; Intralingual fibrous septa, no long tendon; Fibrous lingual septum direct origin; Lingual aponeurosis; additional listed attachments | Ligament context only: TMJ ligament/capsule where relevant; no deliberate ligament stretching</x:v>
      </x:c>
      <x:c r="N276" s="24" t="str">
        <x:v>Low-load activation, not ordinarily to fatigue: Inferior longitudinal tongue muscle; Superior longitudinal tongue muscle; Transverse tongue muscle; Vertical tongue muscle; Styloglossus; Hyoglossus</x:v>
      </x:c>
      <x:c r="O276" s="24" t="str">
        <x:v>Move tongue side to side inside mouth with jaw still.</x:v>
      </x:c>
      <x:c r="P276" s="24" t="str">
        <x:v>Mirror</x:v>
      </x:c>
      <x:c r="Q276" s="24" t="str">
        <x:v>1–2 × 5–10 controlled reps</x:v>
      </x:c>
      <x:c r="R276" s="24" t="str">
        <x:v>Progress gradually; stop with sharp pain, dizziness, or numbness.</x:v>
      </x:c>
      <x:c r="S276" s="24" t="str">
        <x:v>https://www.acsm.org/education-resources/trending-topics-resources/physical-activity-guidelines</x:v>
      </x:c>
      <x:c r="T276" s="24" t="str">
        <x:v>Anatomy-based mapping</x:v>
      </x:c>
    </x:row>
    <x:row r="277" ht="54" customHeight="1">
      <x:c r="A277" s="24" t="str">
        <x:v>EX0340</x:v>
      </x:c>
      <x:c r="B277" s="24" t="str">
        <x:v>Tongue narrow/widen control</x:v>
      </x:c>
      <x:c r="C277" s="24" t="str">
        <x:v>Head &amp; Face</x:v>
      </x:c>
      <x:c r="D277" s="24" t="str">
        <x:v>Home</x:v>
      </x:c>
      <x:c r="E277" s="24" t="str">
        <x:v>Functional activation</x:v>
      </x:c>
      <x:c r="F277" s="24" t="str">
        <x:v>Transverse tongue muscle; Vertical tongue muscle</x:v>
      </x:c>
      <x:c r="G277" s="24" t="str">
        <x:v>Inferior longitudinal tongue muscle; Superior longitudinal tongue muscle</x:v>
      </x:c>
      <x:c r="H277" s="24" t="str">
        <x:v>—</x:v>
      </x:c>
      <x:c r="I277" s="24" t="str">
        <x:v>—</x:v>
      </x:c>
      <x:c r="J277" s="24" t="str">
        <x:v>Transverse tongue muscle; Vertical tongue muscle; Inferior longitudinal tongue muscle; Superior longitudinal tongue muscle</x:v>
      </x:c>
      <x:c r="K277" s="24" t="str">
        <x:v>Atlas-listed tendon/aponeurosis examples: Fibrous lingual septum direct origin; Lingual aponeurosis; Intralingual fascicles; Intralingual fibrous septa, no long tendon</x:v>
      </x:c>
      <x:c r="L277" s="24" t="str">
        <x:v>TMJ ligament/capsule where relevant; no deliberate ligament stretching</x:v>
      </x:c>
      <x:c r="M277" s="24" t="str">
        <x:v>Muscles: Transverse tongue muscle; Vertical tongue muscle; Inferior longitudinal tongue muscle; Superior longitudinal tongue muscle | Tendons/fascia: Atlas-listed tendon/aponeurosis examples: Fibrous lingual septum direct origin; Lingual aponeurosis; Intralingual fascicles; Intralingual fibrous septa, no long tendon | Ligament context only: TMJ ligament/capsule where relevant; no deliberate ligament stretching</x:v>
      </x:c>
      <x:c r="N277" s="24" t="str">
        <x:v>Low-load activation, not ordinarily to fatigue: Transverse tongue muscle; Vertical tongue muscle</x:v>
      </x:c>
      <x:c r="O277" s="24" t="str">
        <x:v>Gently narrow then flatten tongue on mouth floor.</x:v>
      </x:c>
      <x:c r="P277" s="24" t="str">
        <x:v>Mirror</x:v>
      </x:c>
      <x:c r="Q277" s="24" t="str">
        <x:v>1–2 × 5–10 controlled reps</x:v>
      </x:c>
      <x:c r="R277" s="24" t="str">
        <x:v>Progress gradually; stop with sharp pain, dizziness, or numbness.</x:v>
      </x:c>
      <x:c r="S277" s="24" t="str">
        <x:v>https://www.acsm.org/education-resources/trending-topics-resources/physical-activity-guidelines</x:v>
      </x:c>
      <x:c r="T277" s="24" t="str">
        <x:v>Anatomy-based mapping</x:v>
      </x:c>
    </x:row>
    <x:row r="278" ht="54" customHeight="1">
      <x:c r="A278" s="24" t="str">
        <x:v>EX0341</x:v>
      </x:c>
      <x:c r="B278" s="24" t="str">
        <x:v>Tongue tip curl upward</x:v>
      </x:c>
      <x:c r="C278" s="24" t="str">
        <x:v>Head &amp; Face</x:v>
      </x:c>
      <x:c r="D278" s="24" t="str">
        <x:v>Home</x:v>
      </x:c>
      <x:c r="E278" s="24" t="str">
        <x:v>Functional activation</x:v>
      </x:c>
      <x:c r="F278" s="24" t="str">
        <x:v>Superior longitudinal tongue muscle</x:v>
      </x:c>
      <x:c r="G278" s="24" t="str">
        <x:v>Inferior longitudinal tongue muscle; Transverse tongue muscle; Vertical tongue muscle</x:v>
      </x:c>
      <x:c r="H278" s="24" t="str">
        <x:v>—</x:v>
      </x:c>
      <x:c r="I278" s="24" t="str">
        <x:v>—</x:v>
      </x:c>
      <x:c r="J278" s="24" t="str">
        <x:v>Superior longitudinal tongue muscle; Inferior longitudinal tongue muscle; Transverse tongue muscle; Vertical tongue muscle</x:v>
      </x:c>
      <x:c r="K278" s="24" t="str">
        <x:v>Atlas-listed tendon/aponeurosis examples: Intralingual fibrous septa, no long tendon; Intralingual fascicles; Fibrous lingual septum direct origin; Lingual aponeurosis</x:v>
      </x:c>
      <x:c r="L278" s="24" t="str">
        <x:v>TMJ ligament/capsule where relevant; no deliberate ligament stretching</x:v>
      </x:c>
      <x:c r="M278" s="24" t="str">
        <x:v>Muscles: Superior longitudinal tongue muscle; Inferior longitudinal tongue muscle; Transverse tongue muscle; Vertical tongue muscle | Tendons/fascia: Atlas-listed tendon/aponeurosis examples: Intralingual fibrous septa, no long tendon; Intralingual fascicles; Fibrous lingual septum direct origin; Lingual aponeurosis | Ligament context only: TMJ ligament/capsule where relevant; no deliberate ligament stretching</x:v>
      </x:c>
      <x:c r="N278" s="24" t="str">
        <x:v>Low-load activation, not ordinarily to fatigue: Superior longitudinal tongue muscle</x:v>
      </x:c>
      <x:c r="O278" s="24" t="str">
        <x:v>Curl tongue tip upward inside mouth without force.</x:v>
      </x:c>
      <x:c r="P278" s="24" t="str">
        <x:v>Mirror</x:v>
      </x:c>
      <x:c r="Q278" s="24" t="str">
        <x:v>1–2 × 5–10 controlled reps</x:v>
      </x:c>
      <x:c r="R278" s="24" t="str">
        <x:v>Progress gradually; stop with sharp pain, dizziness, or numbness.</x:v>
      </x:c>
      <x:c r="S278" s="24" t="str">
        <x:v>https://www.acsm.org/education-resources/trending-topics-resources/physical-activity-guidelines</x:v>
      </x:c>
      <x:c r="T278" s="24" t="str">
        <x:v>Anatomy-based mapping</x:v>
      </x:c>
    </x:row>
    <x:row r="279" ht="54" customHeight="1">
      <x:c r="A279" s="24" t="str">
        <x:v>EX0342</x:v>
      </x:c>
      <x:c r="B279" s="24" t="str">
        <x:v>Tongue tip curl downward</x:v>
      </x:c>
      <x:c r="C279" s="24" t="str">
        <x:v>Head &amp; Face</x:v>
      </x:c>
      <x:c r="D279" s="24" t="str">
        <x:v>Home</x:v>
      </x:c>
      <x:c r="E279" s="24" t="str">
        <x:v>Functional activation</x:v>
      </x:c>
      <x:c r="F279" s="24" t="str">
        <x:v>Inferior longitudinal tongue muscle</x:v>
      </x:c>
      <x:c r="G279" s="24" t="str">
        <x:v>Superior longitudinal tongue muscle; Transverse tongue muscle; Vertical tongue muscle</x:v>
      </x:c>
      <x:c r="H279" s="24" t="str">
        <x:v>—</x:v>
      </x:c>
      <x:c r="I279" s="24" t="str">
        <x:v>—</x:v>
      </x:c>
      <x:c r="J279" s="24" t="str">
        <x:v>Inferior longitudinal tongue muscle; Superior longitudinal tongue muscle; Transverse tongue muscle; Vertical tongue muscle</x:v>
      </x:c>
      <x:c r="K279" s="24" t="str">
        <x:v>Atlas-listed tendon/aponeurosis examples: Intralingual fascicles; Intralingual fibrous septa, no long tendon; Fibrous lingual septum direct origin; Lingual aponeurosis</x:v>
      </x:c>
      <x:c r="L279" s="24" t="str">
        <x:v>TMJ ligament/capsule where relevant; no deliberate ligament stretching</x:v>
      </x:c>
      <x:c r="M279" s="24" t="str">
        <x:v>Muscles: Inferior longitudinal tongue muscle; Superior longitudinal tongue muscle; Transverse tongue muscle; Vertical tongue muscle | Tendons/fascia: Atlas-listed tendon/aponeurosis examples: Intralingual fascicles; Intralingual fibrous septa, no long tendon; Fibrous lingual septum direct origin; Lingual aponeurosis | Ligament context only: TMJ ligament/capsule where relevant; no deliberate ligament stretching</x:v>
      </x:c>
      <x:c r="N279" s="24" t="str">
        <x:v>Low-load activation, not ordinarily to fatigue: Inferior longitudinal tongue muscle</x:v>
      </x:c>
      <x:c r="O279" s="24" t="str">
        <x:v>Curl tip down toward lower gum and release.</x:v>
      </x:c>
      <x:c r="P279" s="24" t="str">
        <x:v>Mirror</x:v>
      </x:c>
      <x:c r="Q279" s="24" t="str">
        <x:v>1–2 × 5–10 controlled reps</x:v>
      </x:c>
      <x:c r="R279" s="24" t="str">
        <x:v>Progress gradually; stop with sharp pain, dizziness, or numbness.</x:v>
      </x:c>
      <x:c r="S279" s="24" t="str">
        <x:v>https://www.acsm.org/education-resources/trending-topics-resources/physical-activity-guidelines</x:v>
      </x:c>
      <x:c r="T279" s="24" t="str">
        <x:v>Anatomy-based mapping</x:v>
      </x:c>
    </x:row>
    <x:row r="280" ht="54" customHeight="1">
      <x:c r="A280" s="24" t="str">
        <x:v>EX0343</x:v>
      </x:c>
      <x:c r="B280" s="24" t="str">
        <x:v>Tongue pressure to palate (very gentle)</x:v>
      </x:c>
      <x:c r="C280" s="24" t="str">
        <x:v>Head &amp; Face</x:v>
      </x:c>
      <x:c r="D280" s="24" t="str">
        <x:v>Home</x:v>
      </x:c>
      <x:c r="E280" s="24" t="str">
        <x:v>Motor control</x:v>
      </x:c>
      <x:c r="F280" s="24" t="str">
        <x:v>Genioglossus; Inferior longitudinal tongue muscle; Superior longitudinal tongue muscle; Transverse tongue muscle; Vertical tongue muscle</x:v>
      </x:c>
      <x:c r="G280" s="24" t="str">
        <x:v>Mylohyoid</x:v>
      </x:c>
      <x:c r="H280" s="24" t="str">
        <x:v>—</x:v>
      </x:c>
      <x:c r="I280" s="24" t="str">
        <x:v>—</x:v>
      </x:c>
      <x:c r="J280" s="24" t="str">
        <x:v>Genioglossus; Inferior longitudinal tongue muscle; Superior longitudinal tongue muscle; Transverse tongue muscle; Vertical tongue muscle; Mylohyoid</x:v>
      </x:c>
      <x:c r="K280" s="24" t="str">
        <x:v>Atlas-listed tendon/aponeurosis examples: Muscular insertion fibers to tongue/hyoid; Intralingual fascicles; Intralingual fibrous septa, no long tendon; Fibrous lingual septum direct origin; additional listed attachments</x:v>
      </x:c>
      <x:c r="L280" s="24" t="str">
        <x:v>TMJ ligament/capsule where relevant; no deliberate ligament stretching</x:v>
      </x:c>
      <x:c r="M280" s="24" t="str">
        <x:v>Muscles: Genioglossus; Inferior longitudinal tongue muscle; Superior longitudinal tongue muscle; Transverse tongue muscle; Vertical tongue muscle; Mylohyoid | Tendons/fascia: Atlas-listed tendon/aponeurosis examples: Muscular insertion fibers to tongue/hyoid; Intralingual fascicles; Intralingual fibrous septa, no long tendon; Fibrous lingual septum direct origin; additional listed attachments | Ligament context only: TMJ ligament/capsule where relevant; no deliberate ligament stretching</x:v>
      </x:c>
      <x:c r="N280" s="24" t="str">
        <x:v>Low-load activation, not ordinarily to fatigue: Genioglossus; Inferior longitudinal tongue muscle; Superior longitudinal tongue muscle; Transverse tongue muscle; Vertical tongue muscle</x:v>
      </x:c>
      <x:c r="O280" s="24" t="str">
        <x:v>Rest and lightly press tongue to palate, then relax.</x:v>
      </x:c>
      <x:c r="P280" s="24" t="str">
        <x:v>None</x:v>
      </x:c>
      <x:c r="Q280" s="24" t="str">
        <x:v>1–2 × 5–10 controlled reps</x:v>
      </x:c>
      <x:c r="R280" s="24" t="str">
        <x:v>Medical swallowing therapy requires individual SLP assessment.</x:v>
      </x:c>
      <x:c r="S280" s="24" t="str">
        <x:v>https://www.acsm.org/education-resources/trending-topics-resources/physical-activity-guidelines</x:v>
      </x:c>
      <x:c r="T280" s="24" t="str">
        <x:v>Anatomy-based mapping</x:v>
      </x:c>
    </x:row>
    <x:row r="281" ht="54" customHeight="1">
      <x:c r="A281" s="24" t="str">
        <x:v>EX0344</x:v>
      </x:c>
      <x:c r="B281" s="24" t="str">
        <x:v>Gentle ear wiggle attempt</x:v>
      </x:c>
      <x:c r="C281" s="24" t="str">
        <x:v>Head &amp; Face</x:v>
      </x:c>
      <x:c r="D281" s="24" t="str">
        <x:v>Home</x:v>
      </x:c>
      <x:c r="E281" s="24" t="str">
        <x:v>Functional activation</x:v>
      </x:c>
      <x:c r="F281" s="24" t="str">
        <x:v>Auricularis anterior; Auricularis posterior; Auricularis superior; Temporoparietalis</x:v>
      </x:c>
      <x:c r="G281" s="24" t="str">
        <x:v>—</x:v>
      </x:c>
      <x:c r="H281" s="24" t="str">
        <x:v>—</x:v>
      </x:c>
      <x:c r="I281" s="24" t="str">
        <x:v>—</x:v>
      </x:c>
      <x:c r="J281" s="24" t="str">
        <x:v>Auricularis anterior; Auricularis posterior; Auricularis superior; Temporoparietalis</x:v>
      </x:c>
      <x:c r="K281" s="24" t="str">
        <x:v>Atlas-listed tendon/aponeurosis examples: Fibrous auricular insertion; Small auricular tendons; Epicranial aponeurosis</x:v>
      </x:c>
      <x:c r="L281" s="24" t="str">
        <x:v>TMJ ligament/capsule where relevant; no deliberate ligament stretching</x:v>
      </x:c>
      <x:c r="M281" s="24" t="str">
        <x:v>Muscles: Auricularis anterior; Auricularis posterior; Auricularis superior; Temporoparietalis | Tendons/fascia: Atlas-listed tendon/aponeurosis examples: Fibrous auricular insertion; Small auricular tendons; Epicranial aponeurosis | Ligament context only: TMJ ligament/capsule where relevant; no deliberate ligament stretching</x:v>
      </x:c>
      <x:c r="N281" s="24" t="str">
        <x:v>Low-load activation, not ordinarily to fatigue: Auricularis anterior; Auricularis posterior; Auricularis superior; Temporoparietalis</x:v>
      </x:c>
      <x:c r="O281" s="24" t="str">
        <x:v>Try a voluntary ear movement without scrunching neck; many cannot.</x:v>
      </x:c>
      <x:c r="P281" s="24" t="str">
        <x:v>Mirror</x:v>
      </x:c>
      <x:c r="Q281" s="24" t="str">
        <x:v>1–2 × 5–10 controlled reps</x:v>
      </x:c>
      <x:c r="R281" s="24" t="str">
        <x:v>Optional; not a validated strengthening program.</x:v>
      </x:c>
      <x:c r="S281" s="24" t="str">
        <x:v>https://www.acsm.org/education-resources/trending-topics-resources/physical-activity-guidelines</x:v>
      </x:c>
      <x:c r="T281" s="24" t="str">
        <x:v>Anatomy-based mapping</x:v>
      </x:c>
    </x:row>
    <x:row r="282" ht="54" customHeight="1">
      <x:c r="A282" s="24" t="str">
        <x:v>EX0345</x:v>
      </x:c>
      <x:c r="B282" s="24" t="str">
        <x:v>Soft palate lift by sustained 'ah' (ordinary voice)</x:v>
      </x:c>
      <x:c r="C282" s="24" t="str">
        <x:v>Head &amp; Face</x:v>
      </x:c>
      <x:c r="D282" s="24" t="str">
        <x:v>Home</x:v>
      </x:c>
      <x:c r="E282" s="24" t="str">
        <x:v>Functional activation</x:v>
      </x:c>
      <x:c r="F282" s="24" t="str">
        <x:v>Levator veli palatini; Musculus uvulae; Tensor veli palatini</x:v>
      </x:c>
      <x:c r="G282" s="24" t="str">
        <x:v>Palatoglossus</x:v>
      </x:c>
      <x:c r="H282" s="24" t="str">
        <x:v>—</x:v>
      </x:c>
      <x:c r="I282" s="24" t="str">
        <x:v>—</x:v>
      </x:c>
      <x:c r="J282" s="24" t="str">
        <x:v>Levator veli palatini; Musculus uvulae; Tensor veli palatini; Palatoglossus</x:v>
      </x:c>
      <x:c r="K282" s="24" t="str">
        <x:v>Atlas-listed tendon/aponeurosis examples: Fibrous palatal insertion; Palatine aponeurotic origin; Tendon loops around pterygoid hamulus; Palatine aponeurosis</x:v>
      </x:c>
      <x:c r="L282" s="24" t="str">
        <x:v>TMJ ligament/capsule where relevant; no deliberate ligament stretching</x:v>
      </x:c>
      <x:c r="M282" s="24" t="str">
        <x:v>Muscles: Levator veli palatini; Musculus uvulae; Tensor veli palatini; Palatoglossus | Tendons/fascia: Atlas-listed tendon/aponeurosis examples: Fibrous palatal insertion; Palatine aponeurotic origin; Tendon loops around pterygoid hamulus; Palatine aponeurosis | Ligament context only: TMJ ligament/capsule where relevant; no deliberate ligament stretching</x:v>
      </x:c>
      <x:c r="N282" s="24" t="str">
        <x:v>Low-load activation, not ordinarily to fatigue: Levator veli palatini; Musculus uvulae; Tensor veli palatini</x:v>
      </x:c>
      <x:c r="O282" s="24" t="str">
        <x:v>Say comfortable short 'ah' without loudness or strain.</x:v>
      </x:c>
      <x:c r="P282" s="24" t="str">
        <x:v>None</x:v>
      </x:c>
      <x:c r="Q282" s="24" t="str">
        <x:v>1–2 × 5–10 controlled reps</x:v>
      </x:c>
      <x:c r="R282" s="24" t="str">
        <x:v>Not a replacement for treatment of velopharyngeal dysfunction.</x:v>
      </x:c>
      <x:c r="S282" s="24" t="str">
        <x:v>https://www.acsm.org/education-resources/trending-topics-resources/physical-activity-guidelines</x:v>
      </x:c>
      <x:c r="T282" s="24" t="str">
        <x:v>Anatomy-based mapping</x:v>
      </x:c>
    </x:row>
    <x:row r="283" ht="54" customHeight="1">
      <x:c r="A283" s="24" t="str">
        <x:v>EX0346</x:v>
      </x:c>
      <x:c r="B283" s="24" t="str">
        <x:v>Controlled yawning / palate movement</x:v>
      </x:c>
      <x:c r="C283" s="24" t="str">
        <x:v>Head &amp; Face</x:v>
      </x:c>
      <x:c r="D283" s="24" t="str">
        <x:v>Home</x:v>
      </x:c>
      <x:c r="E283" s="24" t="str">
        <x:v>Functional activation</x:v>
      </x:c>
      <x:c r="F283" s="24" t="str">
        <x:v>Levator veli palatini; Tensor veli palatini; Digastric anterior belly; Digastric posterior belly</x:v>
      </x:c>
      <x:c r="G283" s="24" t="str">
        <x:v>Mylohyoid</x:v>
      </x:c>
      <x:c r="H283" s="24" t="str">
        <x:v>—</x:v>
      </x:c>
      <x:c r="I283" s="24" t="str">
        <x:v>—</x:v>
      </x:c>
      <x:c r="J283" s="24" t="str">
        <x:v>Levator veli palatini; Tensor veli palatini; Digastric anterior belly; Digastric posterior belly; Mylohyoid</x:v>
      </x:c>
      <x:c r="K283" s="24" t="str">
        <x:v>Atlas-listed tendon/aponeurosis examples: Fibrous palatal insertion; Tendon loops around pterygoid hamulus; Digastric intermediate tendon; Median raphe / hyoid tendon</x:v>
      </x:c>
      <x:c r="L283" s="24" t="str">
        <x:v>TMJ ligament/capsule where relevant; no deliberate ligament stretching</x:v>
      </x:c>
      <x:c r="M283" s="24" t="str">
        <x:v>Muscles: Levator veli palatini; Tensor veli palatini; Digastric anterior belly; Digastric posterior belly; Mylohyoid | Tendons/fascia: Atlas-listed tendon/aponeurosis examples: Fibrous palatal insertion; Tendon loops around pterygoid hamulus; Digastric intermediate tendon; Median raphe / hyoid tendon | Ligament context only: TMJ ligament/capsule where relevant; no deliberate ligament stretching</x:v>
      </x:c>
      <x:c r="N283" s="24" t="str">
        <x:v>Low-load activation, not ordinarily to fatigue: Levator veli palatini; Tensor veli palatini; Digastric anterior belly; Digastric posterior belly</x:v>
      </x:c>
      <x:c r="O283" s="24" t="str">
        <x:v>Allow natural gentle yawn; avoid forcing jaw wide.</x:v>
      </x:c>
      <x:c r="P283" s="24" t="str">
        <x:v>None</x:v>
      </x:c>
      <x:c r="Q283" s="24" t="str">
        <x:v>1–2 × 5–10 controlled reps</x:v>
      </x:c>
      <x:c r="R283" s="24" t="str">
        <x:v>Progress gradually; stop with sharp pain, dizziness, or numbness.</x:v>
      </x:c>
      <x:c r="S283" s="24" t="str">
        <x:v>https://www.acsm.org/education-resources/trending-topics-resources/physical-activity-guidelines</x:v>
      </x:c>
      <x:c r="T283" s="24" t="str">
        <x:v>Anatomy-based mapping</x:v>
      </x:c>
    </x:row>
    <x:row r="284" ht="54" customHeight="1">
      <x:c r="A284" s="24" t="str">
        <x:v>EX0347</x:v>
      </x:c>
      <x:c r="B284" s="24" t="str">
        <x:v>Speech articulation: pa-ta-ka softly</x:v>
      </x:c>
      <x:c r="C284" s="24" t="str">
        <x:v>Head &amp; Face</x:v>
      </x:c>
      <x:c r="D284" s="24" t="str">
        <x:v>Home</x:v>
      </x:c>
      <x:c r="E284" s="24" t="str">
        <x:v>Coordination</x:v>
      </x:c>
      <x:c r="F284" s="24" t="str">
        <x:v>Orbicularis oris marginal part; Buccinator; Genioglossus; Inferior longitudinal tongue muscle; Superior longitudinal tongue muscle; Transverse tongue muscle; Vertical tongue muscle</x:v>
      </x:c>
      <x:c r="G284" s="24" t="str">
        <x:v>Levator veli palatini; Omohyoid inferior belly; Omohyoid superior belly; Sternohyoid; Sternothyroid; Thyrohyoid; Geniohyoid; Mylohyoid; Digastric anterior belly; Digastric posterior belly; Stylohyoid</x:v>
      </x:c>
      <x:c r="H284" s="24" t="str">
        <x:v>—</x:v>
      </x:c>
      <x:c r="I284" s="24" t="str">
        <x:v>—</x:v>
      </x:c>
      <x:c r="J284" s="24" t="str">
        <x:v>Orbicularis oris marginal part; Buccinator; Genioglossus; Inferior longitudinal tongue muscle; Superior longitudinal tongue muscle; Transverse tongue muscle; Vertical tongue muscle; Levator veli palatini; Omohyoid inferior belly; Omohyoid superior belly; Sternohyoid; Sternothyroid; Thyrohyoid; Geniohyoid; Mylohyoid; Digastric anterior belly; Digastric posterior belly; Stylohyoid</x:v>
      </x:c>
      <x:c r="K284" s="24" t="str">
        <x:v>Lip and tongue muscular insertions</x:v>
      </x:c>
      <x:c r="L284" s="24" t="str">
        <x:v>TMJ ligament/capsule where relevant; no deliberate ligament stretching</x:v>
      </x:c>
      <x:c r="M284" s="24" t="str">
        <x:v>Muscles: Orbicularis oris marginal part; Buccinator; Genioglossus; Inferior longitudinal tongue muscle; Superior longitudinal tongue muscle; Transverse tongue muscle; Vertical tongue muscle; Levator veli palatini; Omohyoid inferior belly; Omohyoid superior belly; Sternohyoid; Sternothyroid; Thyrohyoid; Geniohyoid; Mylohyoid; Digastric anterior belly; Digastric posterior belly; Stylohyoid | Tendons/fascia: Lip and tongue muscular insertions | Ligament context only: TMJ ligament/capsule where relevant; no deliberate ligament stretching</x:v>
      </x:c>
      <x:c r="N284" s="24" t="str">
        <x:v>Low-load activation, not ordinarily to fatigue: Orbicularis oris marginal part; Buccinator; Genioglossus; Inferior longitudinal tongue muscle; Superior longitudinal tongue muscle; Transverse tongue muscle; Vertical tongue muscle</x:v>
      </x:c>
      <x:c r="O284" s="24" t="str">
        <x:v>Speak 'pa-ta-ka' at comfortable pace for coordination.</x:v>
      </x:c>
      <x:c r="P284" s="24" t="str">
        <x:v>None</x:v>
      </x:c>
      <x:c r="Q284" s="24" t="str">
        <x:v>1–2 × 5–10 controlled reps</x:v>
      </x:c>
      <x:c r="R284" s="24" t="str">
        <x:v>Progress gradually; stop with sharp pain, dizziness, or numbness.</x:v>
      </x:c>
      <x:c r="S284" s="24" t="str">
        <x:v>https://www.acsm.org/education-resources/trending-topics-resources/physical-activity-guidelines</x:v>
      </x:c>
      <x:c r="T284" s="24" t="str">
        <x:v>Anatomy-based mapping</x:v>
      </x:c>
    </x:row>
    <x:row r="285" ht="54" customHeight="1">
      <x:c r="A285" s="24" t="str">
        <x:v>EX0348</x:v>
      </x:c>
      <x:c r="B285" s="24" t="str">
        <x:v>Cheek / lip light straw sip</x:v>
      </x:c>
      <x:c r="C285" s="24" t="str">
        <x:v>Head &amp; Face</x:v>
      </x:c>
      <x:c r="D285" s="24" t="str">
        <x:v>Home</x:v>
      </x:c>
      <x:c r="E285" s="24" t="str">
        <x:v>Functional activation</x:v>
      </x:c>
      <x:c r="F285" s="24" t="str">
        <x:v>Orbicularis oris marginal part; Orbicularis oris peripheral part; Buccinator</x:v>
      </x:c>
      <x:c r="G285" s="24" t="str">
        <x:v>Mylohyoid</x:v>
      </x:c>
      <x:c r="H285" s="24" t="str">
        <x:v>—</x:v>
      </x:c>
      <x:c r="I285" s="24" t="str">
        <x:v>—</x:v>
      </x:c>
      <x:c r="J285" s="24" t="str">
        <x:v>Orbicularis oris marginal part; Orbicularis oris peripheral part; Buccinator; Mylohyoid</x:v>
      </x:c>
      <x:c r="K285" s="24" t="str">
        <x:v>Atlas-listed tendon/aponeurosis examples: Musculofascial modiolus attachments; Modiolus/fascial fiber attachments; Pterygomandibular raphe fibrous origin; Median raphe / hyoid tendon</x:v>
      </x:c>
      <x:c r="L285" s="24" t="str">
        <x:v>TMJ ligament/capsule where relevant; no deliberate ligament stretching</x:v>
      </x:c>
      <x:c r="M285" s="24" t="str">
        <x:v>Muscles: Orbicularis oris marginal part; Orbicularis oris peripheral part; Buccinator; Mylohyoid | Tendons/fascia: Atlas-listed tendon/aponeurosis examples: Musculofascial modiolus attachments; Modiolus/fascial fiber attachments; Pterygomandibular raphe fibrous origin; Median raphe / hyoid tendon | Ligament context only: TMJ ligament/capsule where relevant; no deliberate ligament stretching</x:v>
      </x:c>
      <x:c r="N285" s="24" t="str">
        <x:v>Low-load activation, not ordinarily to fatigue: Orbicularis oris marginal part; Orbicularis oris peripheral part; Buccinator</x:v>
      </x:c>
      <x:c r="O285" s="24" t="str">
        <x:v>Sip water normally through straw only if safe swallowing is established.</x:v>
      </x:c>
      <x:c r="P285" s="24" t="str">
        <x:v>Straw / water</x:v>
      </x:c>
      <x:c r="Q285" s="24" t="str">
        <x:v>1–2 × 5–10 controlled reps</x:v>
      </x:c>
      <x:c r="R285" s="24" t="str">
        <x:v>If choking/coughing on liquids, obtain clinical assessment; do not use as dysphagia exercise.</x:v>
      </x:c>
      <x:c r="S285" s="24" t="str">
        <x:v>https://www.acsm.org/education-resources/trending-topics-resources/physical-activity-guidelines</x:v>
      </x:c>
      <x:c r="T285" s="24" t="str">
        <x:v>Anatomy-based mapping</x:v>
      </x:c>
    </x:row>
    <x:row r="286" ht="54" customHeight="1">
      <x:c r="A286" s="24" t="str">
        <x:v>EX0349</x:v>
      </x:c>
      <x:c r="B286" s="24" t="str">
        <x:v>Conversational phonation gentle vowel</x:v>
      </x:c>
      <x:c r="C286" s="24" t="str">
        <x:v>Pharynx &amp; Larynx</x:v>
      </x:c>
      <x:c r="D286" s="24" t="str">
        <x:v>Home</x:v>
      </x:c>
      <x:c r="E286" s="24" t="str">
        <x:v>Functional activation</x:v>
      </x:c>
      <x:c r="F286" s="24" t="str">
        <x:v>Aryepiglottic muscle; Cricothyroid oblique part; Cricothyroid straight part; Lateral cricoarytenoid; Oblique arytenoid; Posterior cricoarytenoid; Thyroarytenoid; Thyroepiglottic muscle; Transverse arytenoid; Vocalis</x:v>
      </x:c>
      <x:c r="G286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H286" s="24" t="str">
        <x:v>—</x:v>
      </x:c>
      <x:c r="I286" s="24" t="str">
        <x:v>—</x:v>
      </x:c>
      <x:c r="J286" s="24" t="str">
        <x:v>Aryepiglottic muscle; Cricothyroid oblique part; Cricothyroid straight part; Lateral cricoarytenoid; Oblique arytenoid; Posterior cricoarytenoid; Thyroarytenoid; Thyroepiglottic muscle; Transverse arytenoid; Vocalis;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K286" s="24" t="str">
        <x:v>Atlas-listed tendon/aponeurosis examples: Aryepiglottic fold fibrous insertion; Short oblique tendon; Short cartilage-to-cartilage tendon; Arytenoid muscular process tendon; additional listed attachments</x:v>
      </x:c>
      <x:c r="L286" s="24" t="str">
        <x:v>No limb ligament stretched; delicate laryngeal connective tissues are not exercise targets</x:v>
      </x:c>
      <x:c r="M286" s="24" t="str">
        <x:v>Muscles: Aryepiglottic muscle; Cricothyroid oblique part; Cricothyroid straight part; Lateral cricoarytenoid; Oblique arytenoid; Posterior cricoarytenoid; Thyroarytenoid; Thyroepiglottic muscle; Transverse arytenoid; Vocalis;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 | Tendons/fascia: Atlas-listed tendon/aponeurosis examples: Aryepiglottic fold fibrous insertion; Short oblique tendon; Short cartilage-to-cartilage tendon; Arytenoid muscular process tendon; additional listed attachments | Ligament context only: No limb ligament stretched; delicate laryngeal connective tissues are not exercise targets</x:v>
      </x:c>
      <x:c r="N286" s="24" t="str">
        <x:v>Low-load activation, not ordinarily to fatigue: Aryepiglottic muscle; Cricothyroid oblique part; Cricothyroid straight part; Lateral cricoarytenoid; Oblique arytenoid; Posterior cricoarytenoid; Thyroarytenoid; Thyroepiglottic muscle; Transverse arytenoid; Vocalis</x:v>
      </x:c>
      <x:c r="O286" s="24" t="str">
        <x:v>Say an easy vowel at comfortable pitch/volume, without pushing voice.</x:v>
      </x:c>
      <x:c r="P286" s="24" t="str">
        <x:v>None</x:v>
      </x:c>
      <x:c r="Q286" s="24" t="str">
        <x:v>1–2 × 5–10 controlled reps</x:v>
      </x:c>
      <x:c r="R286" s="24" t="str">
        <x:v>For dysphonia use an ENT or SLP assessment; do not force loudness.</x:v>
      </x:c>
      <x:c r="S286" s="24" t="str">
        <x:v>https://www.asha.org/practice-portal/clinical-topics/adult-dysphagia/</x:v>
      </x:c>
      <x:c r="T286" s="24" t="str">
        <x:v>Anatomy-based mapping</x:v>
      </x:c>
    </x:row>
    <x:row r="287" ht="54" customHeight="1">
      <x:c r="A287" s="24" t="str">
        <x:v>EX0350</x:v>
      </x:c>
      <x:c r="B287" s="24" t="str">
        <x:v>Gentle pitch glide ('mmm' to higher/lower)</x:v>
      </x:c>
      <x:c r="C287" s="24" t="str">
        <x:v>Pharynx &amp; Larynx</x:v>
      </x:c>
      <x:c r="D287" s="24" t="str">
        <x:v>Home</x:v>
      </x:c>
      <x:c r="E287" s="24" t="str">
        <x:v>Coordination</x:v>
      </x:c>
      <x:c r="F287" s="24" t="str">
        <x:v>Cricothyroid oblique part; Cricothyroid straight part; Vocalis; Thyroarytenoid; Posterior cricoarytenoid</x:v>
      </x:c>
      <x:c r="G287" s="24" t="str">
        <x:v>Diaphragm costal part; Diaphragm lumbar part / crura; Diaphragm sternal part</x:v>
      </x:c>
      <x:c r="H287" s="24" t="str">
        <x:v>—</x:v>
      </x:c>
      <x:c r="I287" s="24" t="str">
        <x:v>—</x:v>
      </x:c>
      <x:c r="J287" s="24" t="str">
        <x:v>Cricothyroid oblique part; Cricothyroid straight part; Vocalis; Thyroarytenoid; Posterior cricoarytenoid; Diaphragm costal part; Diaphragm lumbar part / crura; Diaphragm sternal part</x:v>
      </x:c>
      <x:c r="K287" s="24" t="str">
        <x:v>Atlas-listed tendon/aponeurosis examples: Short oblique tendon; Short cartilage-to-cartilage tendon; Fibers directly adjacent/attach vocal ligament; Vocal ligament-connected muscle fibers; additional listed attachments</x:v>
      </x:c>
      <x:c r="L287" s="24" t="str">
        <x:v>No limb ligament stretched; delicate laryngeal connective tissues are not exercise targets</x:v>
      </x:c>
      <x:c r="M287" s="24" t="str">
        <x:v>Muscles: Cricothyroid oblique part; Cricothyroid straight part; Vocalis; Thyroarytenoid; Posterior cricoarytenoid; Diaphragm costal part; Diaphragm lumbar part / crura; Diaphragm sternal part | Tendons/fascia: Atlas-listed tendon/aponeurosis examples: Short oblique tendon; Short cartilage-to-cartilage tendon; Fibers directly adjacent/attach vocal ligament; Vocal ligament-connected muscle fibers; additional listed attachments | Ligament context only: No limb ligament stretched; delicate laryngeal connective tissues are not exercise targets</x:v>
      </x:c>
      <x:c r="N287" s="24" t="str">
        <x:v>Low-load activation, not ordinarily to fatigue: Cricothyroid oblique part; Cricothyroid straight part; Vocalis; Thyroarytenoid; Posterior cricoarytenoid</x:v>
      </x:c>
      <x:c r="O287" s="24" t="str">
        <x:v>Hum softly from a comfortable low to modestly high pitch and back.</x:v>
      </x:c>
      <x:c r="P287" s="24" t="str">
        <x:v>None</x:v>
      </x:c>
      <x:c r="Q287" s="24" t="str">
        <x:v>1–2 × 5–10 controlled reps</x:v>
      </x:c>
      <x:c r="R287" s="24" t="str">
        <x:v>Discontinue if throat pain, fatigue, or hoarseness.</x:v>
      </x:c>
      <x:c r="S287" s="24" t="str">
        <x:v>https://www.asha.org/practice-portal/clinical-topics/adult-dysphagia/</x:v>
      </x:c>
      <x:c r="T287" s="24" t="str">
        <x:v>Anatomy-based mapping</x:v>
      </x:c>
    </x:row>
    <x:row r="288" ht="54" customHeight="1">
      <x:c r="A288" s="24" t="str">
        <x:v>EX0351</x:v>
      </x:c>
      <x:c r="B288" s="24" t="str">
        <x:v>Soft humming with comfortable breath</x:v>
      </x:c>
      <x:c r="C288" s="24" t="str">
        <x:v>Pharynx &amp; Larynx</x:v>
      </x:c>
      <x:c r="D288" s="24" t="str">
        <x:v>Home</x:v>
      </x:c>
      <x:c r="E288" s="24" t="str">
        <x:v>Functional activation</x:v>
      </x:c>
      <x:c r="F288" s="24" t="str">
        <x:v>Aryepiglottic muscle; Cricothyroid oblique part; Cricothyroid straight part; Lateral cricoarytenoid; Oblique arytenoid; Posterior cricoarytenoid; Thyroarytenoid; Thyroepiglottic muscle; Transverse arytenoid; Vocalis</x:v>
      </x:c>
      <x:c r="G288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H288" s="24" t="str">
        <x:v>—</x:v>
      </x:c>
      <x:c r="I288" s="24" t="str">
        <x:v>—</x:v>
      </x:c>
      <x:c r="J288" s="24" t="str">
        <x:v>Aryepiglottic muscle; Cricothyroid oblique part; Cricothyroid straight part; Lateral cricoarytenoid; Oblique arytenoid; Posterior cricoarytenoid; Thyroarytenoid; Thyroepiglottic muscle; Transverse arytenoid; Vocalis;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</x:v>
      </x:c>
      <x:c r="K288" s="24" t="str">
        <x:v>Atlas-listed tendon/aponeurosis examples: Aryepiglottic fold fibrous insertion; Short oblique tendon; Short cartilage-to-cartilage tendon; Arytenoid muscular process tendon; additional listed attachments</x:v>
      </x:c>
      <x:c r="L288" s="24" t="str">
        <x:v>No limb ligament stretched; delicate laryngeal connective tissues are not exercise targets</x:v>
      </x:c>
      <x:c r="M288" s="24" t="str">
        <x:v>Muscles: Aryepiglottic muscle; Cricothyroid oblique part; Cricothyroid straight part; Lateral cricoarytenoid; Oblique arytenoid; Posterior cricoarytenoid; Thyroarytenoid; Thyroepiglottic muscle; Transverse arytenoid; Vocalis;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 | Tendons/fascia: Atlas-listed tendon/aponeurosis examples: Aryepiglottic fold fibrous insertion; Short oblique tendon; Short cartilage-to-cartilage tendon; Arytenoid muscular process tendon; additional listed attachments | Ligament context only: No limb ligament stretched; delicate laryngeal connective tissues are not exercise targets</x:v>
      </x:c>
      <x:c r="N288" s="24" t="str">
        <x:v>Low-load activation, not ordinarily to fatigue: Aryepiglottic muscle; Cricothyroid oblique part; Cricothyroid straight part; Lateral cricoarytenoid; Oblique arytenoid; Posterior cricoarytenoid; Thyroarytenoid; Thyroepiglottic muscle; Transverse arytenoid; Vocalis</x:v>
      </x:c>
      <x:c r="O288" s="24" t="str">
        <x:v>Hum quietly on exhalation, relaxed throat and jaw.</x:v>
      </x:c>
      <x:c r="P288" s="24" t="str">
        <x:v>None</x:v>
      </x:c>
      <x:c r="Q288" s="24" t="str">
        <x:v>1–2 × 5–10 controlled reps</x:v>
      </x:c>
      <x:c r="R288" s="24" t="str">
        <x:v>Progress gradually; stop with sharp pain, dizziness, or numbness.</x:v>
      </x:c>
      <x:c r="S288" s="24" t="str">
        <x:v>https://www.asha.org/practice-portal/clinical-topics/adult-dysphagia/</x:v>
      </x:c>
      <x:c r="T288" s="24" t="str">
        <x:v>Anatomy-based mapping</x:v>
      </x:c>
    </x:row>
    <x:row r="289" ht="54" customHeight="1">
      <x:c r="A289" s="24" t="str">
        <x:v>EX0352</x:v>
      </x:c>
      <x:c r="B289" s="24" t="str">
        <x:v>Ordinary voluntary swallow (function only)</x:v>
      </x:c>
      <x:c r="C289" s="24" t="str">
        <x:v>Pharynx &amp; Larynx</x:v>
      </x:c>
      <x:c r="D289" s="24" t="str">
        <x:v>Home</x:v>
      </x:c>
      <x:c r="E289" s="24" t="str">
        <x:v>Functional activation</x:v>
      </x:c>
      <x:c r="F289" s="24" t="str">
        <x:v>Inferior pharyngeal constrictor thyropharyngeus; Inferior pharyngeal constrictor cricopharyngeus; Middle pharyngeal constrictor; Superior pharyngeal constrictor; Salpingopharyngeus; Stylopharyngeus; Palatopharyngeus; Palatoglossus; Levator veli palatini; Musculus uvulae; Tensor veli palatini; Omohyoid inferior belly; Omohyoid superior belly; Sternohyoid; Sternothyroid; Thyrohyoid; Geniohyoid; Mylohyoid; Digastric anterior belly; Digastric posterior belly; Stylohyoid; Genioglossus; Hyoglossus; Styloglossus; Inferior longitudinal tongue muscle; Superior longitudinal tongue muscle; Transverse tongue muscle; Vertical tongue muscle</x:v>
      </x:c>
      <x:c r="G289" s="24" t="str">
        <x:v>Aryepiglottic muscle; Cricothyroid oblique part; Cricothyroid straight part; Lateral cricoarytenoid; Oblique arytenoid; Posterior cricoarytenoid; Thyroarytenoid; Thyroepiglottic muscle; Transverse arytenoid; Vocalis</x:v>
      </x:c>
      <x:c r="H289" s="24" t="str">
        <x:v>—</x:v>
      </x:c>
      <x:c r="I289" s="24" t="str">
        <x:v>—</x:v>
      </x:c>
      <x:c r="J289" s="24" t="str">
        <x:v>Inferior pharyngeal constrictor thyropharyngeus; Inferior pharyngeal constrictor cricopharyngeus; Middle pharyngeal constrictor; Superior pharyngeal constrictor; Salpingopharyngeus; Stylopharyngeus; Palatopharyngeus; Palatoglossus; Levator veli palatini; Musculus uvulae; Tensor veli palatini; Omohyoid inferior belly; Omohyoid superior belly; Sternohyoid; Sternothyroid; Thyrohyoid; Geniohyoid; Mylohyoid; Digastric anterior belly; Digastric posterior belly; Stylohyoid; Genioglossus; Hyoglossus; Styloglossus; Inferior longitudinal tongue muscle; Superior longitudinal tongue muscle; Transverse tongue muscle; Vertical tongue muscle; Aryepiglottic muscle; Cricothyroid oblique part; Cricothyroid straight part; Lateral cricoarytenoid; Oblique arytenoid; Posterior cricoarytenoid; Thyroarytenoid; Thyroepiglottic muscle; Transverse arytenoid; Vocalis</x:v>
      </x:c>
      <x:c r="K289" s="24" t="str">
        <x:v>Atlas-listed tendon/aponeurosis examples: Pharyngeal raphe; Circular fibromuscular attachment; Pharyngeal raphe fibrous insertion; Pharyngeal fascial insertion; additional listed attachments</x:v>
      </x:c>
      <x:c r="L289" s="24" t="str">
        <x:v>No limb ligament stretched; delicate laryngeal connective tissues are not exercise targets</x:v>
      </x:c>
      <x:c r="M289" s="24" t="str">
        <x:v>Muscles: Inferior pharyngeal constrictor thyropharyngeus; Inferior pharyngeal constrictor cricopharyngeus; Middle pharyngeal constrictor; Superior pharyngeal constrictor; Salpingopharyngeus; Stylopharyngeus; Palatopharyngeus; Palatoglossus; Levator veli palatini; Musculus uvulae; Tensor veli palatini; Omohyoid inferior belly; Omohyoid superior belly; Sternohyoid; Sternothyroid; Thyrohyoid; Geniohyoid; Mylohyoid; Digastric anterior belly; Digastric posterior belly; Stylohyoid; Genioglossus; Hyoglossus; Styloglossus; Inferior longitudinal tongue muscle; Superior longitudinal tongue muscle; Transverse tongue muscle; Vertical tongue muscle; Aryepiglottic muscle; Cricothyroid oblique part; Cricothyroid straight part; Lateral cricoarytenoid; Oblique arytenoid; Posterior cricoarytenoid; Thyroarytenoid; Thyroepiglottic muscle; Transverse arytenoid; Vocalis | Tendons/fascia: Atlas-listed tendon/aponeurosis examples: Pharyngeal raphe; Circular fibromuscular attachment; Pharyngeal raphe fibrous insertion; Pharyngeal fascial insertion; additional listed attachments | Ligament context only: No limb ligament stretched; delicate laryngeal connective tissues are not exercise targets</x:v>
      </x:c>
      <x:c r="N289" s="24" t="str">
        <x:v>Low-load activation, not ordinarily to fatigue: Inferior pharyngeal constrictor thyropharyngeus; Inferior pharyngeal constrictor cricopharyngeus; Middle pharyngeal constrictor; Superior pharyngeal constrictor; Salpingopharyngeus; Stylopharyngeus; Palatopharyngeus; Palatoglossus; Levator veli palatini; Musculus uvulae; Tensor veli palatini; Omohyoid inferior belly; Omohyoid superior belly; Sternohyoid; Sternothyroid; Thyrohyoid; Geniohyoid; Mylohyoid; Digastric anterior belly; Digastric posterior belly; Stylohyoid; Genioglossus; Hyoglossus; Styloglossus; Inferior longitudinal tongue muscle; Superior longitudinal tongue muscle; Transverse tongue muscle; Vertical tongue muscle</x:v>
      </x:c>
      <x:c r="O289" s="24" t="str">
        <x:v>Swallow saliva normally as needed; do not repetitively train swallows.</x:v>
      </x:c>
      <x:c r="P289" s="24" t="str">
        <x:v>None</x:v>
      </x:c>
      <x:c r="Q289" s="24" t="str">
        <x:v>1–2 × 5–10 controlled reps</x:v>
      </x:c>
      <x:c r="R289" s="24" t="str">
        <x:v>This is normal function, NOT a dysphagia rehabilitation prescription.</x:v>
      </x:c>
      <x:c r="S289" s="24" t="str">
        <x:v>https://www.asha.org/practice-portal/clinical-topics/adult-dysphagia/</x:v>
      </x:c>
      <x:c r="T289" s="24" t="str">
        <x:v>Anatomy-based mapping</x:v>
      </x:c>
    </x:row>
    <x:row r="290" ht="54" customHeight="1">
      <x:c r="A290" s="24" t="str">
        <x:v>EX0353</x:v>
      </x:c>
      <x:c r="B290" s="24" t="str">
        <x:v>Controlled soft-palate phonation (gentle nasal/oral contrast)</x:v>
      </x:c>
      <x:c r="C290" s="24" t="str">
        <x:v>Pharynx &amp; Larynx</x:v>
      </x:c>
      <x:c r="D290" s="24" t="str">
        <x:v>Home</x:v>
      </x:c>
      <x:c r="E290" s="24" t="str">
        <x:v>Coordination</x:v>
      </x:c>
      <x:c r="F290" s="24" t="str">
        <x:v>Levator veli palatini; Palatopharyngeus; Musculus uvulae; Palatoglossus</x:v>
      </x:c>
      <x:c r="G290" s="24" t="str">
        <x:v>Aryepiglottic muscle; Cricothyroid oblique part; Cricothyroid straight part; Lateral cricoarytenoid; Oblique arytenoid; Posterior cricoarytenoid; Thyroarytenoid; Thyroepiglottic muscle; Transverse arytenoid; Vocalis</x:v>
      </x:c>
      <x:c r="H290" s="24" t="str">
        <x:v>—</x:v>
      </x:c>
      <x:c r="I290" s="24" t="str">
        <x:v>—</x:v>
      </x:c>
      <x:c r="J290" s="24" t="str">
        <x:v>Levator veli palatini; Palatopharyngeus; Musculus uvulae; Palatoglossus; Aryepiglottic muscle; Cricothyroid oblique part; Cricothyroid straight part; Lateral cricoarytenoid; Oblique arytenoid; Posterior cricoarytenoid; Thyroarytenoid; Thyroepiglottic muscle; Transverse arytenoid; Vocalis</x:v>
      </x:c>
      <x:c r="K290" s="24" t="str">
        <x:v>Atlas-listed tendon/aponeurosis examples: Fibrous palatal insertion; Palatine aponeurosis origin; Palatine aponeurotic origin; Palatine aponeurosis; additional listed attachments</x:v>
      </x:c>
      <x:c r="L290" s="24" t="str">
        <x:v>No limb ligament stretched; delicate laryngeal connective tissues are not exercise targets</x:v>
      </x:c>
      <x:c r="M290" s="24" t="str">
        <x:v>Muscles: Levator veli palatini; Palatopharyngeus; Musculus uvulae; Palatoglossus; Aryepiglottic muscle; Cricothyroid oblique part; Cricothyroid straight part; Lateral cricoarytenoid; Oblique arytenoid; Posterior cricoarytenoid; Thyroarytenoid; Thyroepiglottic muscle; Transverse arytenoid; Vocalis | Tendons/fascia: Atlas-listed tendon/aponeurosis examples: Fibrous palatal insertion; Palatine aponeurosis origin; Palatine aponeurotic origin; Palatine aponeurosis; additional listed attachments | Ligament context only: No limb ligament stretched; delicate laryngeal connective tissues are not exercise targets</x:v>
      </x:c>
      <x:c r="N290" s="24" t="str">
        <x:v>Low-load activation, not ordinarily to fatigue: Levator veli palatini; Palatopharyngeus; Musculus uvulae; Palatoglossus</x:v>
      </x:c>
      <x:c r="O290" s="24" t="str">
        <x:v>Compare quiet 'mm' and 'ah' while maintaining normal breathing.</x:v>
      </x:c>
      <x:c r="P290" s="24" t="str">
        <x:v>None</x:v>
      </x:c>
      <x:c r="Q290" s="24" t="str">
        <x:v>1–2 × 5–10 controlled reps</x:v>
      </x:c>
      <x:c r="R290" s="24" t="str">
        <x:v>Not a medical therapy for resonance or swallowing dysfunction.</x:v>
      </x:c>
      <x:c r="S290" s="24" t="str">
        <x:v>https://www.asha.org/practice-portal/clinical-topics/adult-dysphagia/</x:v>
      </x:c>
      <x:c r="T290" s="24" t="str">
        <x:v>Anatomy-based mapping</x:v>
      </x:c>
    </x:row>
    <x:row r="291" ht="54" customHeight="1">
      <x:c r="A291" s="24" t="str">
        <x:v>EX0354</x:v>
      </x:c>
      <x:c r="B291" s="24" t="str">
        <x:v>Horizontal gaze shifting (coordination)</x:v>
      </x:c>
      <x:c r="C291" s="24" t="str">
        <x:v>Eye &amp; Ear</x:v>
      </x:c>
      <x:c r="D291" s="24" t="str">
        <x:v>Home</x:v>
      </x:c>
      <x:c r="E291" s="24" t="str">
        <x:v>Coordination</x:v>
      </x:c>
      <x:c r="F291" s="24" t="str">
        <x:v>Medial rectus (eye); Lateral rectus (eye)</x:v>
      </x:c>
      <x:c r="G291" s="24" t="str">
        <x:v>—</x:v>
      </x:c>
      <x:c r="H291" s="24" t="str">
        <x:v>—</x:v>
      </x:c>
      <x:c r="I291" s="24" t="str">
        <x:v>—</x:v>
      </x:c>
      <x:c r="J291" s="24" t="str">
        <x:v>Medial rectus (eye); Lateral rectus (eye)</x:v>
      </x:c>
      <x:c r="K291" s="24" t="str">
        <x:v>Atlas-listed tendon/aponeurosis examples: Medial rectus insertion tendon; Lateral rectus insertion tendon</x:v>
      </x:c>
      <x:c r="L291" s="24" t="str">
        <x:v>No ocular/auricular ligament intentionally stressed; eye drills are coordination only</x:v>
      </x:c>
      <x:c r="M291" s="24" t="str">
        <x:v>Muscles: Medial rectus (eye); Lateral rectus (eye) | Tendons/fascia: Atlas-listed tendon/aponeurosis examples: Medial rectus insertion tendon; Lateral rectus insertion tendon | Ligament context only: No ocular/auricular ligament intentionally stressed; eye drills are coordination only</x:v>
      </x:c>
      <x:c r="N291" s="24" t="str">
        <x:v>Low-load activation, not ordinarily to fatigue: Medial rectus (eye); Lateral rectus (eye)</x:v>
      </x:c>
      <x:c r="O291" s="24" t="str">
        <x:v>Without moving head, shift gaze between two comfortable targets.</x:v>
      </x:c>
      <x:c r="P291" s="24" t="str">
        <x:v>Two visual targets</x:v>
      </x:c>
      <x:c r="Q291" s="24" t="str">
        <x:v>1–2 × 5–10 controlled reps</x:v>
      </x:c>
      <x:c r="R291" s="24" t="str">
        <x:v>This coordinates gaze; not proven to improve refractive error or eyesight.</x:v>
      </x:c>
      <x:c r="S291" s="24" t="str">
        <x:v>https://www.nei.nih.gov/learn-about-eye-health/healthy-vision/keep-your-eyes-healthy</x:v>
      </x:c>
      <x:c r="T291" s="24" t="str">
        <x:v>Anatomy-based mapping</x:v>
      </x:c>
    </x:row>
    <x:row r="292" ht="54" customHeight="1">
      <x:c r="A292" s="24" t="str">
        <x:v>EX0355</x:v>
      </x:c>
      <x:c r="B292" s="24" t="str">
        <x:v>Vertical gaze shifting (coordination)</x:v>
      </x:c>
      <x:c r="C292" s="24" t="str">
        <x:v>Eye &amp; Ear</x:v>
      </x:c>
      <x:c r="D292" s="24" t="str">
        <x:v>Home</x:v>
      </x:c>
      <x:c r="E292" s="24" t="str">
        <x:v>Coordination</x:v>
      </x:c>
      <x:c r="F292" s="24" t="str">
        <x:v>Superior rectus (eye); Inferior rectus (eye); Superior oblique (eye); Inferior oblique (eye)</x:v>
      </x:c>
      <x:c r="G292" s="24" t="str">
        <x:v>—</x:v>
      </x:c>
      <x:c r="H292" s="24" t="str">
        <x:v>—</x:v>
      </x:c>
      <x:c r="I292" s="24" t="str">
        <x:v>—</x:v>
      </x:c>
      <x:c r="J292" s="24" t="str">
        <x:v>Superior rectus (eye); Inferior rectus (eye); Superior oblique (eye); Inferior oblique (eye)</x:v>
      </x:c>
      <x:c r="K292" s="24" t="str">
        <x:v>Atlas-listed tendon/aponeurosis examples: Superior rectus insertion tendon; Inferior rectus insertion tendon; Superior oblique tendon through trochlea; Inferior oblique distal tendon</x:v>
      </x:c>
      <x:c r="L292" s="24" t="str">
        <x:v>No ocular/auricular ligament intentionally stressed; eye drills are coordination only</x:v>
      </x:c>
      <x:c r="M292" s="24" t="str">
        <x:v>Muscles: Superior rectus (eye); Inferior rectus (eye); Superior oblique (eye); Inferior oblique (eye) | Tendons/fascia: Atlas-listed tendon/aponeurosis examples: Superior rectus insertion tendon; Inferior rectus insertion tendon; Superior oblique tendon through trochlea; Inferior oblique distal tendon | Ligament context only: No ocular/auricular ligament intentionally stressed; eye drills are coordination only</x:v>
      </x:c>
      <x:c r="N292" s="24" t="str">
        <x:v>Low-load activation, not ordinarily to fatigue: Superior rectus (eye); Inferior rectus (eye); Superior oblique (eye); Inferior oblique (eye)</x:v>
      </x:c>
      <x:c r="O292" s="24" t="str">
        <x:v>Shift gaze slowly between eye-level and modest up/down targets.</x:v>
      </x:c>
      <x:c r="P292" s="24" t="str">
        <x:v>Two visual targets</x:v>
      </x:c>
      <x:c r="Q292" s="24" t="str">
        <x:v>1–2 × 5–10 controlled reps</x:v>
      </x:c>
      <x:c r="R292" s="24" t="str">
        <x:v>Not a vision-correction exercise.</x:v>
      </x:c>
      <x:c r="S292" s="24" t="str">
        <x:v>https://www.nei.nih.gov/learn-about-eye-health/healthy-vision/keep-your-eyes-healthy</x:v>
      </x:c>
      <x:c r="T292" s="24" t="str">
        <x:v>Anatomy-based mapping</x:v>
      </x:c>
    </x:row>
    <x:row r="293" ht="54" customHeight="1">
      <x:c r="A293" s="24" t="str">
        <x:v>EX0356</x:v>
      </x:c>
      <x:c r="B293" s="24" t="str">
        <x:v>Near-far focus changing (comfort/coordination)</x:v>
      </x:c>
      <x:c r="C293" s="24" t="str">
        <x:v>Eye &amp; Ear</x:v>
      </x:c>
      <x:c r="D293" s="24" t="str">
        <x:v>Home</x:v>
      </x:c>
      <x:c r="E293" s="24" t="str">
        <x:v>Coordination</x:v>
      </x:c>
      <x:c r="F293" s="24" t="str">
        <x:v>Medial rectus (eye); Lateral rectus (eye)</x:v>
      </x:c>
      <x:c r="G293" s="24" t="str">
        <x:v>—</x:v>
      </x:c>
      <x:c r="H293" s="24" t="str">
        <x:v>—</x:v>
      </x:c>
      <x:c r="I293" s="24" t="str">
        <x:v>—</x:v>
      </x:c>
      <x:c r="J293" s="24" t="str">
        <x:v>Medial rectus (eye); Lateral rectus (eye)</x:v>
      </x:c>
      <x:c r="K293" s="24" t="str">
        <x:v>Atlas-listed tendon/aponeurosis examples: Medial rectus insertion tendon; Lateral rectus insertion tendon</x:v>
      </x:c>
      <x:c r="L293" s="24" t="str">
        <x:v>No ocular/auricular ligament intentionally stressed; eye drills are coordination only</x:v>
      </x:c>
      <x:c r="M293" s="24" t="str">
        <x:v>Muscles: Medial rectus (eye); Lateral rectus (eye) | Tendons/fascia: Atlas-listed tendon/aponeurosis examples: Medial rectus insertion tendon; Lateral rectus insertion tendon | Ligament context only: No ocular/auricular ligament intentionally stressed; eye drills are coordination only</x:v>
      </x:c>
      <x:c r="N293" s="24" t="str">
        <x:v>Low-load activation, not ordinarily to fatigue: Medial rectus (eye); Lateral rectus (eye)</x:v>
      </x:c>
      <x:c r="O293" s="24" t="str">
        <x:v>Look between near and distant targets comfortably, blinking naturally.</x:v>
      </x:c>
      <x:c r="P293" s="24" t="str">
        <x:v>Near/distant targets</x:v>
      </x:c>
      <x:c r="Q293" s="24" t="str">
        <x:v>1–2 × 5–10 controlled reps</x:v>
      </x:c>
      <x:c r="R293" s="24" t="str">
        <x:v>Not a treatment for refractive errors or binocular vision disorders.</x:v>
      </x:c>
      <x:c r="S293" s="24" t="str">
        <x:v>https://www.nei.nih.gov/learn-about-eye-health/healthy-vision/keep-your-eyes-healthy</x:v>
      </x:c>
      <x:c r="T293" s="24" t="str">
        <x:v>Anatomy-based mapping</x:v>
      </x:c>
    </x:row>
    <x:row r="294" ht="54" customHeight="1">
      <x:c r="A294" s="24" t="str">
        <x:v>EX0357</x:v>
      </x:c>
      <x:c r="B294" s="24" t="str">
        <x:v>Smooth pursuit finger tracking (coordination)</x:v>
      </x:c>
      <x:c r="C294" s="24" t="str">
        <x:v>Eye &amp; Ear</x:v>
      </x:c>
      <x:c r="D294" s="24" t="str">
        <x:v>Home</x:v>
      </x:c>
      <x:c r="E294" s="24" t="str">
        <x:v>Coordination</x:v>
      </x:c>
      <x:c r="F294" s="24" t="str">
        <x:v>Inferior oblique (eye); Inferior rectus (eye); Lateral rectus (eye); Medial rectus (eye); Superior oblique (eye); Superior rectus (eye)</x:v>
      </x:c>
      <x:c r="G294" s="24" t="str">
        <x:v>—</x:v>
      </x:c>
      <x:c r="H294" s="24" t="str">
        <x:v>—</x:v>
      </x:c>
      <x:c r="I294" s="24" t="str">
        <x:v>—</x:v>
      </x:c>
      <x:c r="J294" s="24" t="str">
        <x:v>Inferior oblique (eye); Inferior rectus (eye); Lateral rectus (eye); Medial rectus (eye); Superior oblique (eye); Superior rectus (eye)</x:v>
      </x:c>
      <x:c r="K294" s="24" t="str">
        <x:v>Atlas-listed tendon/aponeurosis examples: Inferior oblique distal tendon; Inferior rectus insertion tendon; Lateral rectus insertion tendon; Medial rectus insertion tendon; additional listed attachments</x:v>
      </x:c>
      <x:c r="L294" s="24" t="str">
        <x:v>No ocular/auricular ligament intentionally stressed; eye drills are coordination only</x:v>
      </x:c>
      <x:c r="M294" s="24" t="str">
        <x:v>Muscles: Inferior oblique (eye); Inferior rectus (eye); Lateral rectus (eye); Medial rectus (eye); Superior oblique (eye); Superior rectus (eye) | Tendons/fascia: Atlas-listed tendon/aponeurosis examples: Inferior oblique distal tendon; Inferior rectus insertion tendon; Lateral rectus insertion tendon; Medial rectus insertion tendon; additional listed attachments | Ligament context only: No ocular/auricular ligament intentionally stressed; eye drills are coordination only</x:v>
      </x:c>
      <x:c r="N294" s="24" t="str">
        <x:v>Low-load activation, not ordinarily to fatigue: Inferior oblique (eye); Inferior rectus (eye); Lateral rectus (eye); Medial rectus (eye); Superior oblique (eye); Superior rectus (eye)</x:v>
      </x:c>
      <x:c r="O294" s="24" t="str">
        <x:v>Follow slow moving fingertip without moving head; stop if symptoms arise.</x:v>
      </x:c>
      <x:c r="P294" s="24" t="str">
        <x:v>Finger</x:v>
      </x:c>
      <x:c r="Q294" s="24" t="str">
        <x:v>1–2 × 5–10 controlled reps</x:v>
      </x:c>
      <x:c r="R294" s="24" t="str">
        <x:v>Seek optometry/neuro-ophthalmology for diplopia or dizziness.</x:v>
      </x:c>
      <x:c r="S294" s="24" t="str">
        <x:v>https://www.nei.nih.gov/learn-about-eye-health/healthy-vision/keep-your-eyes-healthy</x:v>
      </x:c>
      <x:c r="T294" s="24" t="str">
        <x:v>Anatomy-based mapping</x:v>
      </x:c>
    </x:row>
    <x:row r="295" ht="54" customHeight="1">
      <x:c r="A295" s="24" t="str">
        <x:v>EX0358</x:v>
      </x:c>
      <x:c r="B295" s="24" t="str">
        <x:v>Voluntary eyelid raise and relax</x:v>
      </x:c>
      <x:c r="C295" s="24" t="str">
        <x:v>Eye &amp; Ear</x:v>
      </x:c>
      <x:c r="D295" s="24" t="str">
        <x:v>Home</x:v>
      </x:c>
      <x:c r="E295" s="24" t="str">
        <x:v>Functional activation</x:v>
      </x:c>
      <x:c r="F295" s="24" t="str">
        <x:v>Levator palpebrae superioris</x:v>
      </x:c>
      <x:c r="G295" s="24" t="str">
        <x:v>Orbicularis oculi palpebral part</x:v>
      </x:c>
      <x:c r="H295" s="24" t="str">
        <x:v>—</x:v>
      </x:c>
      <x:c r="I295" s="24" t="str">
        <x:v>—</x:v>
      </x:c>
      <x:c r="J295" s="24" t="str">
        <x:v>Levator palpebrae superioris; Orbicularis oculi palpebral part</x:v>
      </x:c>
      <x:c r="K295" s="24" t="str">
        <x:v>Atlas-listed tendon/aponeurosis examples: Levator palpebrae aponeurosis; Palpebral raphe fibrous attachment</x:v>
      </x:c>
      <x:c r="L295" s="24" t="str">
        <x:v>No ocular/auricular ligament intentionally stressed; eye drills are coordination only</x:v>
      </x:c>
      <x:c r="M295" s="24" t="str">
        <x:v>Muscles: Levator palpebrae superioris; Orbicularis oculi palpebral part | Tendons/fascia: Atlas-listed tendon/aponeurosis examples: Levator palpebrae aponeurosis; Palpebral raphe fibrous attachment | Ligament context only: No ocular/auricular ligament intentionally stressed; eye drills are coordination only</x:v>
      </x:c>
      <x:c r="N295" s="24" t="str">
        <x:v>Low-load activation, not ordinarily to fatigue: Levator palpebrae superioris</x:v>
      </x:c>
      <x:c r="O295" s="24" t="str">
        <x:v>Open eyes comfortably, then soften eyelids without force.</x:v>
      </x:c>
      <x:c r="P295" s="24" t="str">
        <x:v>Mirror</x:v>
      </x:c>
      <x:c r="Q295" s="24" t="str">
        <x:v>1–2 × 5–10 controlled reps</x:v>
      </x:c>
      <x:c r="R295" s="24" t="str">
        <x:v>Progress gradually; stop with sharp pain, dizziness, or numbness.</x:v>
      </x:c>
      <x:c r="S295" s="24" t="str">
        <x:v>https://www.nei.nih.gov/learn-about-eye-health/healthy-vision/keep-your-eyes-healthy</x:v>
      </x:c>
      <x:c r="T295" s="24" t="str">
        <x:v>Anatomy-based mapping</x:v>
      </x:c>
    </x:row>
    <x:row r="296" ht="54" customHeight="1">
      <x:c r="A296" s="24" t="str">
        <x:v>EX0359</x:v>
      </x:c>
      <x:c r="B296" s="24" t="str">
        <x:v>Blink rest break (eyelid comfort)</x:v>
      </x:c>
      <x:c r="C296" s="24" t="str">
        <x:v>Eye &amp; Ear</x:v>
      </x:c>
      <x:c r="D296" s="24" t="str">
        <x:v>Home</x:v>
      </x:c>
      <x:c r="E296" s="24" t="str">
        <x:v>Functional activation</x:v>
      </x:c>
      <x:c r="F296" s="24" t="str">
        <x:v>Orbicularis oculi palpebral part; Orbicularis oculi orbital part; Orbicularis oculi lacrimal part (Horner muscle); Levator palpebrae superioris</x:v>
      </x:c>
      <x:c r="G296" s="24" t="str">
        <x:v>—</x:v>
      </x:c>
      <x:c r="H296" s="24" t="str">
        <x:v>—</x:v>
      </x:c>
      <x:c r="I296" s="24" t="str">
        <x:v>—</x:v>
      </x:c>
      <x:c r="J296" s="24" t="str">
        <x:v>Orbicularis oculi palpebral part; Orbicularis oculi orbital part; Orbicularis oculi lacrimal part (Horner muscle); Levator palpebrae superioris</x:v>
      </x:c>
      <x:c r="K296" s="24" t="str">
        <x:v>Atlas-listed tendon/aponeurosis examples: Palpebral raphe fibrous attachment; Medial canthal tendon/medial palpebral ligament; Tarsal tendon/fibrous slips; Levator palpebrae aponeurosis</x:v>
      </x:c>
      <x:c r="L296" s="24" t="str">
        <x:v>No ocular/auricular ligament intentionally stressed; eye drills are coordination only</x:v>
      </x:c>
      <x:c r="M296" s="24" t="str">
        <x:v>Muscles: Orbicularis oculi palpebral part; Orbicularis oculi orbital part; Orbicularis oculi lacrimal part (Horner muscle); Levator palpebrae superioris | Tendons/fascia: Atlas-listed tendon/aponeurosis examples: Palpebral raphe fibrous attachment; Medial canthal tendon/medial palpebral ligament; Tarsal tendon/fibrous slips; Levator palpebrae aponeurosis | Ligament context only: No ocular/auricular ligament intentionally stressed; eye drills are coordination only</x:v>
      </x:c>
      <x:c r="N296" s="24" t="str">
        <x:v>Low-load activation, not ordinarily to fatigue: Orbicularis oculi palpebral part; Orbicularis oculi orbital part; Orbicularis oculi lacrimal part (Horner muscle); Levator palpebrae superioris</x:v>
      </x:c>
      <x:c r="O296" s="24" t="str">
        <x:v>Blink gently, relax eyes, and look away from screen.</x:v>
      </x:c>
      <x:c r="P296" s="24" t="str">
        <x:v>None</x:v>
      </x:c>
      <x:c r="Q296" s="24" t="str">
        <x:v>1–2 × 5–10 controlled reps</x:v>
      </x:c>
      <x:c r="R296" s="24" t="str">
        <x:v>Relief/coordination, not strength or vision improvement.</x:v>
      </x:c>
      <x:c r="S296" s="24" t="str">
        <x:v>https://www.nei.nih.gov/learn-about-eye-health/healthy-vision/keep-your-eyes-healthy</x:v>
      </x:c>
      <x:c r="T296" s="24" t="str">
        <x:v>Anatomy-based mapping</x:v>
      </x:c>
    </x:row>
    <x:row r="297" ht="54" customHeight="1">
      <x:c r="A297" s="24" t="str">
        <x:v>EX0360</x:v>
      </x:c>
      <x:c r="B297" s="24" t="str">
        <x:v>Pelvic floor slow squeeze and full release</x:v>
      </x:c>
      <x:c r="C297" s="24" t="str">
        <x:v>Pelvis &amp; Perineum</x:v>
      </x:c>
      <x:c r="D297" s="24" t="str">
        <x:v>Home</x:v>
      </x:c>
      <x:c r="E297" s="24" t="str">
        <x:v>Motor control</x:v>
      </x:c>
      <x:c r="F297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G297" s="24" t="str">
        <x:v>Bulbospongiosus (female); Bulbospongiosus (male); Ischiocavernosus (female); Ischiocavernosus (male); Superficial transverse perineal muscle; Deep transverse perineal muscle</x:v>
      </x:c>
      <x:c r="H297" s="24" t="str">
        <x:v>Diaphragm costal part; Diaphragm lumbar part / crura; Diaphragm sternal part; Transversus abdominis</x:v>
      </x:c>
      <x:c r="I297" s="24" t="str">
        <x:v>—</x:v>
      </x:c>
      <x:c r="J297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muscle; Diaphragm costal part; Diaphragm lumbar part / crura; Diaphragm sternal part; Transversus abdominis</x:v>
      </x:c>
      <x:c r="K297" s="24" t="str">
        <x:v>Levator ani attachment to pelvic fascia/perineal body</x:v>
      </x:c>
      <x:c r="L297" s="24" t="str">
        <x:v>Sacrospinous/sacrotuberous ligaments are passive supports, not stretch targets</x:v>
      </x:c>
      <x:c r="M297" s="24" t="str">
        <x:v>Muscles: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muscle; Diaphragm costal part; Diaphragm lumbar part / crura; Diaphragm sternal part; Transversus abdominis | Tendons/fascia: Levator ani attachment to pelvic fascia/perineal body | Ligament context only: Sacrospinous/sacrotuberous ligaments are passive supports, not stretch targets</x:v>
      </x:c>
      <x:c r="N297" s="24" t="str">
        <x:v>Low-load activation, not ordinarily to fatigue: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O297" s="24" t="str">
        <x:v>Exhale normally; gently lift pelvic floor, hold briefly, fully relax.</x:v>
      </x:c>
      <x:c r="P297" s="24" t="str">
        <x:v>None</x:v>
      </x:c>
      <x:c r="Q297" s="24" t="str">
        <x:v>1–2 × 5–10 controlled reps</x:v>
      </x:c>
      <x:c r="R297" s="24" t="str">
        <x:v>Do not strain or repeatedly contract if pelvic pain/hypertonicity.</x:v>
      </x:c>
      <x:c r="S297" s="24" t="str">
        <x:v>https://myjointhealthhub.bnssg.nhs.uk/how-to-do-pelvic-floor-exercises/</x:v>
      </x:c>
      <x:c r="T297" s="24" t="str">
        <x:v>Anatomy-based mapping</x:v>
      </x:c>
    </x:row>
    <x:row r="298" ht="54" customHeight="1">
      <x:c r="A298" s="24" t="str">
        <x:v>EX0361</x:v>
      </x:c>
      <x:c r="B298" s="24" t="str">
        <x:v>Pelvic floor quick contraction and release</x:v>
      </x:c>
      <x:c r="C298" s="24" t="str">
        <x:v>Pelvis &amp; Perineum</x:v>
      </x:c>
      <x:c r="D298" s="24" t="str">
        <x:v>Home</x:v>
      </x:c>
      <x:c r="E298" s="24" t="str">
        <x:v>Motor control</x:v>
      </x:c>
      <x:c r="F298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G298" s="24" t="str">
        <x:v>Bulbospongiosus (female); Bulbospongiosus (male); Ischiocavernosus (female); Ischiocavernosus (male); Superficial transverse perineal muscle; Deep transverse perineal muscle</x:v>
      </x:c>
      <x:c r="H298" s="24" t="str">
        <x:v>Diaphragm costal part; Diaphragm lumbar part / crura; Diaphragm sternal part</x:v>
      </x:c>
      <x:c r="I298" s="24" t="str">
        <x:v>—</x:v>
      </x:c>
      <x:c r="J298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muscle; Diaphragm costal part; Diaphragm lumbar part / crura; Diaphragm sternal part</x:v>
      </x:c>
      <x:c r="K298" s="24" t="str">
        <x:v>Atlas-listed tendon/aponeurosis examples: Fibrous sheet into anococcygeal raphe; Fibrous insertions to anococcygeal body; Muscular sling no separate tendon; Broad sacrococcygeal fibrous attachment; additional listed attachments</x:v>
      </x:c>
      <x:c r="L298" s="24" t="str">
        <x:v>Sacrospinous, sacrotuberous and sacroiliac ligaments provide passive support; NOT deliberately stretched</x:v>
      </x:c>
      <x:c r="M298" s="24" t="str">
        <x:v>Muscles: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muscle; Diaphragm costal part; Diaphragm lumbar part / crura; Diaphragm sternal part | Tendons/fascia: Atlas-listed tendon/aponeurosis examples: Fibrous sheet into anococcygeal raphe; Fibrous insertions to anococcygeal body; Muscular sling no separate tendon; Broad sacrococcygeal fibrous attachment; additional listed attachments | Ligament context only: Sacrospinous, sacrotuberous and sacroiliac ligaments provide passive support; NOT deliberately stretched</x:v>
      </x:c>
      <x:c r="N298" s="24" t="str">
        <x:v>Low-load activation, not ordinarily to fatigue: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O298" s="24" t="str">
        <x:v>Make brief gentle squeeze then completely release before next rep.</x:v>
      </x:c>
      <x:c r="P298" s="24" t="str">
        <x:v>None</x:v>
      </x:c>
      <x:c r="Q298" s="24" t="str">
        <x:v>1–2 × 5–10 controlled reps</x:v>
      </x:c>
      <x:c r="R298" s="24" t="str">
        <x:v>Stop if pain or difficulty fully relaxing.</x:v>
      </x:c>
      <x:c r="S298" s="24" t="str">
        <x:v>https://myjointhealthhub.bnssg.nhs.uk/how-to-do-pelvic-floor-exercises/</x:v>
      </x:c>
      <x:c r="T298" s="24" t="str">
        <x:v>Anatomy-based mapping</x:v>
      </x:c>
    </x:row>
    <x:row r="299" ht="54" customHeight="1">
      <x:c r="A299" s="24" t="str">
        <x:v>EX0362</x:v>
      </x:c>
      <x:c r="B299" s="24" t="str">
        <x:v>Pelvic floor coordinated exhale lift</x:v>
      </x:c>
      <x:c r="C299" s="24" t="str">
        <x:v>Pelvis &amp; Perineum</x:v>
      </x:c>
      <x:c r="D299" s="24" t="str">
        <x:v>Home</x:v>
      </x:c>
      <x:c r="E299" s="24" t="str">
        <x:v>Motor control</x:v>
      </x:c>
      <x:c r="F299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Transversus abdominis</x:v>
      </x:c>
      <x:c r="G299" s="24" t="str">
        <x:v>Diaphragm costal part; Diaphragm lumbar part / crura; Diaphragm sternal part</x:v>
      </x:c>
      <x:c r="H299" s="24" t="str">
        <x:v>—</x:v>
      </x:c>
      <x:c r="I299" s="24" t="str">
        <x:v>—</x:v>
      </x:c>
      <x:c r="J299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Transversus abdominis; Diaphragm costal part; Diaphragm lumbar part / crura; Diaphragm sternal part</x:v>
      </x:c>
      <x:c r="K299" s="24" t="str">
        <x:v>Atlas-listed tendon/aponeurosis examples: Fibrous sheet into anococcygeal raphe; Fibrous insertions to anococcygeal body; Muscular sling no separate tendon; Broad sacrococcygeal fibrous attachment; additional listed attachments</x:v>
      </x:c>
      <x:c r="L299" s="24" t="str">
        <x:v>Sacrospinous, sacrotuberous and sacroiliac ligaments provide passive support; NOT deliberately stretched</x:v>
      </x:c>
      <x:c r="M299" s="24" t="str">
        <x:v>Muscles: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Transversus abdominis; Diaphragm costal part; Diaphragm lumbar part / crura; Diaphragm sternal part | Tendons/fascia: Atlas-listed tendon/aponeurosis examples: Fibrous sheet into anococcygeal raphe; Fibrous insertions to anococcygeal body; Muscular sling no separate tendon; Broad sacrococcygeal fibrous attachment; additional listed attachments | Ligament context only: Sacrospinous, sacrotuberous and sacroiliac ligaments provide passive support; NOT deliberately stretched</x:v>
      </x:c>
      <x:c r="N299" s="24" t="str">
        <x:v>Low-load activation, not ordinarily to fatigue: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Transversus abdominis</x:v>
      </x:c>
      <x:c r="O299" s="24" t="str">
        <x:v>Exhale with a gentle pelvic floor lift; inhale to soften and relax.</x:v>
      </x:c>
      <x:c r="P299" s="24" t="str">
        <x:v>None</x:v>
      </x:c>
      <x:c r="Q299" s="24" t="str">
        <x:v>1–2 × 5–10 controlled reps</x:v>
      </x:c>
      <x:c r="R299" s="24" t="str">
        <x:v>Progress gradually; stop with sharp pain, dizziness, or numbness.</x:v>
      </x:c>
      <x:c r="S299" s="24" t="str">
        <x:v>https://myjointhealthhub.bnssg.nhs.uk/how-to-do-pelvic-floor-exercises/</x:v>
      </x:c>
      <x:c r="T299" s="24" t="str">
        <x:v>Anatomy-based mapping</x:v>
      </x:c>
    </x:row>
    <x:row r="300" ht="54" customHeight="1">
      <x:c r="A300" s="24" t="str">
        <x:v>EX0363</x:v>
      </x:c>
      <x:c r="B300" s="24" t="str">
        <x:v>Pelvic floor relaxation with diaphragmatic inhale</x:v>
      </x:c>
      <x:c r="C300" s="24" t="str">
        <x:v>Pelvis &amp; Perineum</x:v>
      </x:c>
      <x:c r="D300" s="24" t="str">
        <x:v>Home</x:v>
      </x:c>
      <x:c r="E300" s="24" t="str">
        <x:v>Relaxation / down-training</x:v>
      </x:c>
      <x:c r="F300" s="24" t="str">
        <x:v>Diaphragm costal part; Diaphragm lumbar part / crura; Diaphragm sternal part</x:v>
      </x:c>
      <x:c r="G300" s="24" t="str">
        <x:v>—</x:v>
      </x:c>
      <x:c r="H300" s="24" t="str">
        <x:v>—</x:v>
      </x:c>
      <x:c r="I300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J300" s="24" t="str">
        <x:v>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K300" s="24" t="str">
        <x:v>Atlas-listed tendon/aponeurosis examples: Central tendon; Central tendon; crural tendons; Fibrous sheet into anococcygeal raphe; Fibrous insertions to anococcygeal body; additional listed attachments</x:v>
      </x:c>
      <x:c r="L300" s="24" t="str">
        <x:v>Sacrospinous, sacrotuberous and sacroiliac ligaments provide passive support; NOT deliberately stretched</x:v>
      </x:c>
      <x:c r="M300" s="24" t="str">
        <x:v>Muscles: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 | Tendons/fascia: Atlas-listed tendon/aponeurosis examples: Central tendon; Central tendon; crural tendons; Fibrous sheet into anococcygeal raphe; Fibrous insertions to anococcygeal body; additional listed attachments | Ligament context only: Sacrospinous, sacrotuberous and sacroiliac ligaments provide passive support; NOT deliberately stretched</x:v>
      </x:c>
      <x:c r="N300" s="24" t="str">
        <x:v>Usually none expected (stretch, mobility or relaxation; any active movers are low-load)</x:v>
      </x:c>
      <x:c r="O300" s="24" t="str">
        <x:v>Allow belly/ribs expand on inhalation and consciously release pelvic-floor tension.</x:v>
      </x:c>
      <x:c r="P300" s="24" t="str">
        <x:v>Mat</x:v>
      </x:c>
      <x:c r="Q300" s="24" t="str">
        <x:v>2–3 × 8–12 controlled reps</x:v>
      </x:c>
      <x:c r="R300" s="24" t="str">
        <x:v>No forced bearing down, strain, or stretching of pelvic ligaments.</x:v>
      </x:c>
      <x:c r="S300" s="24" t="str">
        <x:v>https://myjointhealthhub.bnssg.nhs.uk/how-to-do-pelvic-floor-exercises/</x:v>
      </x:c>
      <x:c r="T300" s="24" t="str">
        <x:v>Anatomy-based mapping</x:v>
      </x:c>
    </x:row>
    <x:row r="301" ht="54" customHeight="1">
      <x:c r="A301" s="24" t="str">
        <x:v>EX0364</x:v>
      </x:c>
      <x:c r="B301" s="24" t="str">
        <x:v>Side-lying pelvic floor relaxation</x:v>
      </x:c>
      <x:c r="C301" s="24" t="str">
        <x:v>Pelvis &amp; Perineum</x:v>
      </x:c>
      <x:c r="D301" s="24" t="str">
        <x:v>Home</x:v>
      </x:c>
      <x:c r="E301" s="24" t="str">
        <x:v>Relaxation / down-training</x:v>
      </x:c>
      <x:c r="F301" s="24" t="str">
        <x:v>Diaphragm costal part; Diaphragm lumbar part / crura; Diaphragm sternal part</x:v>
      </x:c>
      <x:c r="G301" s="24" t="str">
        <x:v>—</x:v>
      </x:c>
      <x:c r="H301" s="24" t="str">
        <x:v>—</x:v>
      </x:c>
      <x:c r="I301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</x:v>
      </x:c>
      <x:c r="J301" s="24" t="str">
        <x:v>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</x:v>
      </x:c>
      <x:c r="K301" s="24" t="str">
        <x:v>Atlas-listed tendon/aponeurosis examples: Central tendon; Central tendon; crural tendons; Fibrous sheet into anococcygeal raphe; Fibrous insertions to anococcygeal body; additional listed attachments</x:v>
      </x:c>
      <x:c r="L301" s="24" t="str">
        <x:v>Sacrospinous, sacrotuberous and sacroiliac ligaments provide passive support; NOT deliberately stretched</x:v>
      </x:c>
      <x:c r="M301" s="24" t="str">
        <x:v>Muscles: Diaphragm costal part; Diaphragm lumbar part / crura; Diaphragm sternal part;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 | Tendons/fascia: Atlas-listed tendon/aponeurosis examples: Central tendon; Central tendon; crural tendons; Fibrous sheet into anococcygeal raphe; Fibrous insertions to anococcygeal body; additional listed attachments | Ligament context only: Sacrospinous, sacrotuberous and sacroiliac ligaments provide passive support; NOT deliberately stretched</x:v>
      </x:c>
      <x:c r="N301" s="24" t="str">
        <x:v>Usually none expected (stretch, mobility or relaxation; any active movers are low-load)</x:v>
      </x:c>
      <x:c r="O301" s="24" t="str">
        <x:v>Lie supported with pillow between knees; use quiet breathing to release tension.</x:v>
      </x:c>
      <x:c r="P301" s="24" t="str">
        <x:v>Pillows</x:v>
      </x:c>
      <x:c r="Q301" s="24" t="str">
        <x:v>2–3 × 8–12 controlled reps</x:v>
      </x:c>
      <x:c r="R301" s="24" t="str">
        <x:v>Progress gradually; stop with sharp pain, dizziness, or numbness.</x:v>
      </x:c>
      <x:c r="S301" s="24" t="str">
        <x:v>https://myjointhealthhub.bnssg.nhs.uk/how-to-do-pelvic-floor-exercises/</x:v>
      </x:c>
      <x:c r="T301" s="24" t="str">
        <x:v>Anatomy-based mapping</x:v>
      </x:c>
    </x:row>
    <x:row r="302" ht="54" customHeight="1">
      <x:c r="A302" s="24" t="str">
        <x:v>EX0365</x:v>
      </x:c>
      <x:c r="B302" s="24" t="str">
        <x:v>Supported deep squat for pelvic floor relaxation</x:v>
      </x:c>
      <x:c r="C302" s="24" t="str">
        <x:v>Pelvis &amp; Perineum</x:v>
      </x:c>
      <x:c r="D302" s="24" t="str">
        <x:v>Home</x:v>
      </x:c>
      <x:c r="E302" s="24" t="str">
        <x:v>Active stretch</x:v>
      </x:c>
      <x:c r="F302" s="24" t="str">
        <x:v>Gluteus maximus; Gluteus medius; Gluteus minimus;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G302" s="24" t="str">
        <x:v>Rectus abdominis; External oblique; Internal oblique; Transversus abdominis</x:v>
      </x:c>
      <x:c r="H302" s="24" t="str">
        <x:v>—</x:v>
      </x:c>
      <x:c r="I302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J302" s="24" t="str">
        <x:v>Gluteus maximus; Gluteus medius; Gluteus minimus;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K302" s="24" t="str">
        <x:v>Atlas-listed tendon/aponeurosis examples: Iliotibial tract aponeurosis and gluteal tendon; Gluteus medius tendon; Gluteus minimus tendon and joint-capsule expansions; Adductor tendon through ulnar sesamoid; additional listed attachments</x:v>
      </x:c>
      <x:c r="L302" s="24" t="str">
        <x:v>Sacrospinous, sacrotuberous and sacroiliac ligaments provide passive support; NOT deliberately stretched</x:v>
      </x:c>
      <x:c r="M302" s="24" t="str">
        <x:v>Muscles: Gluteus maximus; Gluteus medius; Gluteus minimus;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 | Tendons/fascia: Atlas-listed tendon/aponeurosis examples: Iliotibial tract aponeurosis and gluteal tendon; Gluteus medius tendon; Gluteus minimus tendon and joint-capsule expansions; Adductor tendon through ulnar sesamoid; additional listed attachments | Ligament context only: Sacrospinous, sacrotuberous and sacroiliac ligaments provide passive support; NOT deliberately stretched</x:v>
      </x:c>
      <x:c r="N302" s="24" t="str">
        <x:v>Usually none expected (stretch, mobility or relaxation; any active movers are low-load)</x:v>
      </x:c>
      <x:c r="O302" s="24" t="str">
        <x:v>Use support to enter comfortable shallow squat and relax with breathing.</x:v>
      </x:c>
      <x:c r="P302" s="24" t="str">
        <x:v>Stable support</x:v>
      </x:c>
      <x:c r="Q302" s="24" t="str">
        <x:v>2–3 × 8–12 controlled reps</x:v>
      </x:c>
      <x:c r="R302" s="24" t="str">
        <x:v>Avoid with prolapse symptoms, pelvic pain, dizziness, or instability.</x:v>
      </x:c>
      <x:c r="S302" s="24" t="str">
        <x:v>https://myjointhealthhub.bnssg.nhs.uk/how-to-do-pelvic-floor-exercises/</x:v>
      </x:c>
      <x:c r="T302" s="24" t="str">
        <x:v>Anatomy-based mapping</x:v>
      </x:c>
    </x:row>
    <x:row r="303" ht="54" customHeight="1">
      <x:c r="A303" s="24" t="str">
        <x:v>EX0366</x:v>
      </x:c>
      <x:c r="B303" s="24" t="str">
        <x:v>Child's pose pelvic-floor relaxation</x:v>
      </x:c>
      <x:c r="C303" s="24" t="str">
        <x:v>Pelvis &amp; Perineum</x:v>
      </x:c>
      <x:c r="D303" s="24" t="str">
        <x:v>Home</x:v>
      </x:c>
      <x:c r="E303" s="24" t="str">
        <x:v>Passive stretch</x:v>
      </x:c>
      <x:c r="F303" s="24" t="str">
        <x:v>—</x:v>
      </x:c>
      <x:c r="G303" s="24" t="str">
        <x:v>—</x:v>
      </x:c>
      <x:c r="H303" s="24" t="str">
        <x:v>—</x:v>
      </x:c>
      <x:c r="I303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J303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K303" s="24" t="str">
        <x:v>Atlas-listed tendon/aponeurosis examples: Fibrous sheet into anococcygeal raphe; Fibrous insertions to anococcygeal body; Muscular sling no separate tendon; Broad sacrococcygeal fibrous attachment; additional listed attachments</x:v>
      </x:c>
      <x:c r="L303" s="24" t="str">
        <x:v>Sacrospinous, sacrotuberous and sacroiliac ligaments provide passive support; NOT deliberately stretched</x:v>
      </x:c>
      <x:c r="M303" s="24" t="str">
        <x:v>Muscles: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 | Tendons/fascia: Atlas-listed tendon/aponeurosis examples: Fibrous sheet into anococcygeal raphe; Fibrous insertions to anococcygeal body; Muscular sling no separate tendon; Broad sacrococcygeal fibrous attachment; additional listed attachments | Ligament context only: Sacrospinous, sacrotuberous and sacroiliac ligaments provide passive support; NOT deliberately stretched</x:v>
      </x:c>
      <x:c r="N303" s="24" t="str">
        <x:v>Usually none expected (stretch, mobility or relaxation; any active movers are low-load)</x:v>
      </x:c>
      <x:c r="O303" s="24" t="str">
        <x:v>Knees comfortable width, sit back gently, breathe into lower rib cage.</x:v>
      </x:c>
      <x:c r="P303" s="24" t="str">
        <x:v>Mat</x:v>
      </x:c>
      <x:c r="Q303" s="24" t="str">
        <x:v>2–3 × 8–12 controlled reps</x:v>
      </x:c>
      <x:c r="R303" s="24" t="str">
        <x:v>Progress gradually; stop with sharp pain, dizziness, or numbness.</x:v>
      </x:c>
      <x:c r="S303" s="24" t="str">
        <x:v>https://myjointhealthhub.bnssg.nhs.uk/how-to-do-pelvic-floor-exercises/</x:v>
      </x:c>
      <x:c r="T303" s="24" t="str">
        <x:v>Anatomy-based mapping</x:v>
      </x:c>
    </x:row>
    <x:row r="304" ht="54" customHeight="1">
      <x:c r="A304" s="24" t="str">
        <x:v>EX0367</x:v>
      </x:c>
      <x:c r="B304" s="24" t="str">
        <x:v>Happy baby hip / pelvic release</x:v>
      </x:c>
      <x:c r="C304" s="24" t="str">
        <x:v>Pelvis &amp; Perineum</x:v>
      </x:c>
      <x:c r="D304" s="24" t="str">
        <x:v>Home</x:v>
      </x:c>
      <x:c r="E304" s="24" t="str">
        <x:v>Passive stretch</x:v>
      </x:c>
      <x:c r="F304" s="24" t="str">
        <x:v>—</x:v>
      </x:c>
      <x:c r="G304" s="24" t="str">
        <x:v>—</x:v>
      </x:c>
      <x:c r="H304" s="24" t="str">
        <x:v>—</x:v>
      </x:c>
      <x:c r="I304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J304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K304" s="24" t="str">
        <x:v>Atlas-listed tendon/aponeurosis examples: Adductor tendon through ulnar sesamoid; Common adductor tendon; Broad short insertion; Short proximal tendon; additional listed attachments</x:v>
      </x:c>
      <x:c r="L304" s="24" t="str">
        <x:v>Sacrospinous, sacrotuberous and sacroiliac ligaments provide passive support; NOT deliberately stretched</x:v>
      </x:c>
      <x:c r="M304" s="24" t="str">
        <x:v>Muscles: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 | Tendons/fascia: Atlas-listed tendon/aponeurosis examples: Adductor tendon through ulnar sesamoid; Common adductor tendon; Broad short insertion; Short proximal tendon; additional listed attachments | Ligament context only: Sacrospinous, sacrotuberous and sacroiliac ligaments provide passive support; NOT deliberately stretched</x:v>
      </x:c>
      <x:c r="N304" s="24" t="str">
        <x:v>Usually none expected (stretch, mobility or relaxation; any active movers are low-load)</x:v>
      </x:c>
      <x:c r="O304" s="24" t="str">
        <x:v>Supine hold back of thighs; let knees move apart gently.</x:v>
      </x:c>
      <x:c r="P304" s="24" t="str">
        <x:v>Mat</x:v>
      </x:c>
      <x:c r="Q304" s="24" t="str">
        <x:v>2–3 × 8–12 controlled reps</x:v>
      </x:c>
      <x:c r="R304" s="24" t="str">
        <x:v>Do not pull pelvis into pain.</x:v>
      </x:c>
      <x:c r="S304" s="24" t="str">
        <x:v>https://myjointhealthhub.bnssg.nhs.uk/how-to-do-pelvic-floor-exercises/</x:v>
      </x:c>
      <x:c r="T304" s="24" t="str">
        <x:v>Anatomy-based mapping</x:v>
      </x:c>
    </x:row>
    <x:row r="305" ht="54" customHeight="1">
      <x:c r="A305" s="24" t="str">
        <x:v>EX0368</x:v>
      </x:c>
      <x:c r="B305" s="24" t="str">
        <x:v>Seated pelvic tilt coordination</x:v>
      </x:c>
      <x:c r="C305" s="24" t="str">
        <x:v>Pelvis &amp; Perineum</x:v>
      </x:c>
      <x:c r="D305" s="24" t="str">
        <x:v>Home</x:v>
      </x:c>
      <x:c r="E305" s="24" t="str">
        <x:v>Motor control</x:v>
      </x:c>
      <x:c r="F305" s="24" t="str">
        <x:v>Rectus abdominis; External oblique; Internal oblique; Transversus abdominis;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G305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H305" s="24" t="str">
        <x:v>Diaphragm costal part; Diaphragm lumbar part / crura; Diaphragm sternal part</x:v>
      </x:c>
      <x:c r="I305" s="24" t="str">
        <x:v>—</x:v>
      </x:c>
      <x:c r="J305" s="24" t="str">
        <x:v>Rectus abdominis; External oblique; Internal oblique; Transversus abdominis;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Diaphragm costal part; Diaphragm lumbar part / crura; Diaphragm sternal part</x:v>
      </x:c>
      <x:c r="K305" s="24" t="str">
        <x:v>Atlas-listed tendon/aponeurosis examples: Tendinous intersections and rectus sheath insertion; Broad external oblique aponeurosis; Internal oblique aponeurosis; conjoint tendon; Transversus aponeurosis; conjoint tendon; additional listed attachments</x:v>
      </x:c>
      <x:c r="L305" s="24" t="str">
        <x:v>Sacrospinous, sacrotuberous and sacroiliac ligaments provide passive support; NOT deliberately stretched</x:v>
      </x:c>
      <x:c r="M305" s="24" t="str">
        <x:v>Muscles: Rectus abdominis; External oblique; Internal oblique; Transversus abdominis;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Diaphragm costal part; Diaphragm lumbar part / crura; Diaphragm sternal part | Tendons/fascia: Atlas-listed tendon/aponeurosis examples: Tendinous intersections and rectus sheath insertion; Broad external oblique aponeurosis; Internal oblique aponeurosis; conjoint tendon; Transversus aponeurosis; conjoint tendon; additional listed attachments | Ligament context only: Sacrospinous, sacrotuberous and sacroiliac ligaments provide passive support; NOT deliberately stretched</x:v>
      </x:c>
      <x:c r="N305" s="24" t="str">
        <x:v>Low-load activation, not ordinarily to fatigue: Rectus abdominis; External oblique; Internal oblique; Transversus abdominis;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O305" s="24" t="str">
        <x:v>Tilt pelvis forward and backward slowly while remaining relaxed.</x:v>
      </x:c>
      <x:c r="P305" s="24" t="str">
        <x:v>Chair</x:v>
      </x:c>
      <x:c r="Q305" s="24" t="str">
        <x:v>1–2 × 5–10 controlled reps</x:v>
      </x:c>
      <x:c r="R305" s="24" t="str">
        <x:v>Progress gradually; stop with sharp pain, dizziness, or numbness.</x:v>
      </x:c>
      <x:c r="S305" s="24" t="str">
        <x:v>https://myjointhealthhub.bnssg.nhs.uk/how-to-do-pelvic-floor-exercises/</x:v>
      </x:c>
      <x:c r="T305" s="24" t="str">
        <x:v>Anatomy-based mapping</x:v>
      </x:c>
    </x:row>
    <x:row r="306" ht="54" customHeight="1">
      <x:c r="A306" s="24" t="str">
        <x:v>EX0369</x:v>
      </x:c>
      <x:c r="B306" s="24" t="str">
        <x:v>Glute bridge coordinated pelvic floor lift</x:v>
      </x:c>
      <x:c r="C306" s="24" t="str">
        <x:v>Pelvis &amp; Perineum</x:v>
      </x:c>
      <x:c r="D306" s="24" t="str">
        <x:v>Home</x:v>
      </x:c>
      <x:c r="E306" s="24" t="str">
        <x:v>Compound strength</x:v>
      </x:c>
      <x:c r="F306" s="24" t="str">
        <x:v>Gluteus maximus</x:v>
      </x:c>
      <x:c r="G306" s="24" t="str">
        <x:v>Biceps femoris long head; Biceps femoris short head; Semimembranosus; Semitendinosus;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H306" s="24" t="str">
        <x:v>Rectus abdominis; External oblique; Internal oblique; Transversus abdominis</x:v>
      </x:c>
      <x:c r="I306" s="24" t="str">
        <x:v>—</x:v>
      </x:c>
      <x:c r="J306" s="24" t="str">
        <x:v>Gluteus maximus; Biceps femoris long head; Biceps femoris short head; Semimembranosus; Semitendinosus;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Rectus abdominis; External oblique; Internal oblique; Transversus abdominis</x:v>
      </x:c>
      <x:c r="K306" s="24" t="str">
        <x:v>Atlas-listed tendon/aponeurosis examples: Iliotibial tract aponeurosis and gluteal tendon; Common hamstring proximal tendon; distal biceps tendon; Common biceps femoris distal tendon; Broad proximal membrane; distal semimembranosus tendon; additional listed attachments</x:v>
      </x:c>
      <x:c r="L306" s="24" t="str">
        <x:v>Sacrospinous, sacrotuberous and sacroiliac ligaments provide passive support; NOT deliberately stretched</x:v>
      </x:c>
      <x:c r="M306" s="24" t="str">
        <x:v>Muscles: Gluteus maximus; Biceps femoris long head; Biceps femoris short head; Semimembranosus; Semitendinosus;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Rectus abdominis; External oblique; Internal oblique; Transversus abdominis | Tendons/fascia: Atlas-listed tendon/aponeurosis examples: Iliotibial tract aponeurosis and gluteal tendon; Common hamstring proximal tendon; distal biceps tendon; Common biceps femoris distal tendon; Broad proximal membrane; distal semimembranosus tendon; additional listed attachments | Ligament context only: Sacrospinous, sacrotuberous and sacroiliac ligaments provide passive support; NOT deliberately stretched</x:v>
      </x:c>
      <x:c r="N306" s="24" t="str">
        <x:v>Gluteus maximus; Biceps femoris long head; Biceps femoris short head; Semimembranosus; Semitendinosus;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O306" s="24" t="str">
        <x:v>Exhale and lift hips; relax pelvic floor on descent.</x:v>
      </x:c>
      <x:c r="P306" s="24" t="str">
        <x:v>Mat</x:v>
      </x:c>
      <x:c r="Q306" s="24" t="str">
        <x:v>2–3 × 8–12 controlled reps</x:v>
      </x:c>
      <x:c r="R306" s="24" t="str">
        <x:v>Progress gradually; stop with sharp pain, dizziness, or numbness.</x:v>
      </x:c>
      <x:c r="S306" s="24" t="str">
        <x:v>https://myjointhealthhub.bnssg.nhs.uk/how-to-do-pelvic-floor-exercises/</x:v>
      </x:c>
      <x:c r="T306" s="24" t="str">
        <x:v>Anatomy-based mapping</x:v>
      </x:c>
    </x:row>
    <x:row r="307" ht="54" customHeight="1">
      <x:c r="A307" s="24" t="str">
        <x:v>EX0370</x:v>
      </x:c>
      <x:c r="B307" s="24" t="str">
        <x:v>Pelvic floor contraction before cough / lift ('knack')</x:v>
      </x:c>
      <x:c r="C307" s="24" t="str">
        <x:v>Pelvis &amp; Perineum</x:v>
      </x:c>
      <x:c r="D307" s="24" t="str">
        <x:v>Home</x:v>
      </x:c>
      <x:c r="E307" s="24" t="str">
        <x:v>Motor control</x:v>
      </x:c>
      <x:c r="F307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G307" s="24" t="str">
        <x:v>Rectus abdominis; External oblique; Internal oblique; Transversus abdominis</x:v>
      </x:c>
      <x:c r="H307" s="24" t="str">
        <x:v>Diaphragm costal part; Diaphragm lumbar part / crura; Diaphragm sternal part</x:v>
      </x:c>
      <x:c r="I307" s="24" t="str">
        <x:v>—</x:v>
      </x:c>
      <x:c r="J307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Rectus abdominis; External oblique; Internal oblique; Transversus abdominis; Diaphragm costal part; Diaphragm lumbar part / crura; Diaphragm sternal part</x:v>
      </x:c>
      <x:c r="K307" s="24" t="str">
        <x:v>Atlas-listed tendon/aponeurosis examples: Fibrous sheet into anococcygeal raphe; Fibrous insertions to anococcygeal body; Muscular sling no separate tendon; Broad sacrococcygeal fibrous attachment; additional listed attachments</x:v>
      </x:c>
      <x:c r="L307" s="24" t="str">
        <x:v>Sacrospinous, sacrotuberous and sacroiliac ligaments provide passive support; NOT deliberately stretched</x:v>
      </x:c>
      <x:c r="M307" s="24" t="str">
        <x:v>Muscles: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Rectus abdominis; External oblique; Internal oblique; Transversus abdominis; Diaphragm costal part; Diaphragm lumbar part / crura; Diaphragm sternal part | Tendons/fascia: Atlas-listed tendon/aponeurosis examples: Fibrous sheet into anococcygeal raphe; Fibrous insertions to anococcygeal body; Muscular sling no separate tendon; Broad sacrococcygeal fibrous attachment; additional listed attachments | Ligament context only: Sacrospinous, sacrotuberous and sacroiliac ligaments provide passive support; NOT deliberately stretched</x:v>
      </x:c>
      <x:c r="N307" s="24" t="str">
        <x:v>Low-load activation, not ordinarily to fatigue: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O307" s="24" t="str">
        <x:v>Brief precontract pelvic floor before a natural cough or manageable lift; relax after.</x:v>
      </x:c>
      <x:c r="P307" s="24" t="str">
        <x:v>None</x:v>
      </x:c>
      <x:c r="Q307" s="24" t="str">
        <x:v>1–2 × 5–10 controlled reps</x:v>
      </x:c>
      <x:c r="R307" s="24" t="str">
        <x:v>Progress gradually; stop with sharp pain, dizziness, or numbness.</x:v>
      </x:c>
      <x:c r="S307" s="24" t="str">
        <x:v>https://myjointhealthhub.bnssg.nhs.uk/how-to-do-pelvic-floor-exercises/</x:v>
      </x:c>
      <x:c r="T307" s="24" t="str">
        <x:v>Anatomy-based mapping</x:v>
      </x:c>
    </x:row>
    <x:row r="308" ht="54" customHeight="1">
      <x:c r="A308" s="24" t="str">
        <x:v>EX0371</x:v>
      </x:c>
      <x:c r="B308" s="24" t="str">
        <x:v>Perineal body awareness exercise (gentle contraction)</x:v>
      </x:c>
      <x:c r="C308" s="24" t="str">
        <x:v>Pelvis &amp; Perineum</x:v>
      </x:c>
      <x:c r="D308" s="24" t="str">
        <x:v>Home</x:v>
      </x:c>
      <x:c r="E308" s="24" t="str">
        <x:v>Motor control</x:v>
      </x:c>
      <x:c r="F308" s="24" t="str">
        <x:v>Bulbospongiosus (female); Bulbospongiosus (male); Ischiocavernosus (female); Ischiocavernosus (male); Superficial transverse perineal muscle; Deep transverse perineal muscle;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G308" s="24" t="str">
        <x:v>—</x:v>
      </x:c>
      <x:c r="H308" s="24" t="str">
        <x:v>Diaphragm costal part; Diaphragm lumbar part / crura; Diaphragm sternal part</x:v>
      </x:c>
      <x:c r="I308" s="24" t="str">
        <x:v>—</x:v>
      </x:c>
      <x:c r="J308" s="24" t="str">
        <x:v>Bulbospongiosus (female); Bulbospongiosus (male); Ischiocavernosus (female); Ischiocavernosus (male); Superficial transverse perineal muscle; Deep transverse perineal muscle;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Diaphragm costal part; Diaphragm lumbar part / crura; Diaphragm sternal part</x:v>
      </x:c>
      <x:c r="K308" s="24" t="str">
        <x:v>Atlas-listed tendon/aponeurosis examples: Clitoral fascial fibers; Fibrous penile/perineal fascial insertion; Crural insertion; Crural fibrous insertion; additional listed attachments</x:v>
      </x:c>
      <x:c r="L308" s="24" t="str">
        <x:v>Sacrospinous, sacrotuberous and sacroiliac ligaments provide passive support; NOT deliberately stretched</x:v>
      </x:c>
      <x:c r="M308" s="24" t="str">
        <x:v>Muscles: Bulbospongiosus (female); Bulbospongiosus (male); Ischiocavernosus (female); Ischiocavernosus (male); Superficial transverse perineal muscle; Deep transverse perineal muscle;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Diaphragm costal part; Diaphragm lumbar part / crura; Diaphragm sternal part | Tendons/fascia: Atlas-listed tendon/aponeurosis examples: Clitoral fascial fibers; Fibrous penile/perineal fascial insertion; Crural insertion; Crural fibrous insertion; additional listed attachments | Ligament context only: Sacrospinous, sacrotuberous and sacroiliac ligaments provide passive support; NOT deliberately stretched</x:v>
      </x:c>
      <x:c r="N308" s="24" t="str">
        <x:v>Low-load activation, not ordinarily to fatigue: Bulbospongiosus (female); Bulbospongiosus (male); Ischiocavernosus (female); Ischiocavernosus (male); Superficial transverse perineal muscle; Deep transverse perineal muscle;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O308" s="24" t="str">
        <x:v>Submaximal pelvic floor squeeze with breath; no forceful bearing down.</x:v>
      </x:c>
      <x:c r="P308" s="24" t="str">
        <x:v>None</x:v>
      </x:c>
      <x:c r="Q308" s="24" t="str">
        <x:v>1–2 × 5–10 controlled reps</x:v>
      </x:c>
      <x:c r="R308" s="24" t="str">
        <x:v>Anatomy differs by sex; clinician can advise if symptoms exist.</x:v>
      </x:c>
      <x:c r="S308" s="24" t="str">
        <x:v>https://myjointhealthhub.bnssg.nhs.uk/how-to-do-pelvic-floor-exercises/</x:v>
      </x:c>
      <x:c r="T308" s="24" t="str">
        <x:v>Anatomy-based mapping</x:v>
      </x:c>
    </x:row>
    <x:row r="309" ht="54" customHeight="1">
      <x:c r="A309" s="24" t="str">
        <x:v>EX0372</x:v>
      </x:c>
      <x:c r="B309" s="24" t="str">
        <x:v>Transverse perineal relaxation with supported hip opening</x:v>
      </x:c>
      <x:c r="C309" s="24" t="str">
        <x:v>Pelvis &amp; Perineum</x:v>
      </x:c>
      <x:c r="D309" s="24" t="str">
        <x:v>Home</x:v>
      </x:c>
      <x:c r="E309" s="24" t="str">
        <x:v>Relaxation / down-training</x:v>
      </x:c>
      <x:c r="F309" s="24" t="str">
        <x:v>Diaphragm costal part; Diaphragm lumbar part / crura; Diaphragm sternal part</x:v>
      </x:c>
      <x:c r="G309" s="24" t="str">
        <x:v>—</x:v>
      </x:c>
      <x:c r="H309" s="24" t="str">
        <x:v>—</x:v>
      </x:c>
      <x:c r="I309" s="24" t="str">
        <x:v>Superficial transverse perineal muscle; Deep transverse perineal muscle;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J309" s="24" t="str">
        <x:v>Diaphragm costal part; Diaphragm lumbar part / crura; Diaphragm sternal part; Superficial transverse perineal muscle; Deep transverse perineal muscle;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K309" s="24" t="str">
        <x:v>Atlas-listed tendon/aponeurosis examples: Central tendon; Central tendon; crural tendons; Short perineal body insertion tendon; Perineal body fibrous insertion; additional listed attachments</x:v>
      </x:c>
      <x:c r="L309" s="24" t="str">
        <x:v>Sacrospinous, sacrotuberous and sacroiliac ligaments provide passive support; NOT deliberately stretched</x:v>
      </x:c>
      <x:c r="M309" s="24" t="str">
        <x:v>Muscles: Diaphragm costal part; Diaphragm lumbar part / crura; Diaphragm sternal part; Superficial transverse perineal muscle; Deep transverse perineal muscle;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 | Tendons/fascia: Atlas-listed tendon/aponeurosis examples: Central tendon; Central tendon; crural tendons; Short perineal body insertion tendon; Perineal body fibrous insertion; additional listed attachments | Ligament context only: Sacrospinous, sacrotuberous and sacroiliac ligaments provide passive support; NOT deliberately stretched</x:v>
      </x:c>
      <x:c r="N309" s="24" t="str">
        <x:v>Usually none expected (stretch, mobility or relaxation; any active movers are low-load)</x:v>
      </x:c>
      <x:c r="O309" s="24" t="str">
        <x:v>Lie supine with knees supported out to sides; breathe calmly.</x:v>
      </x:c>
      <x:c r="P309" s="24" t="str">
        <x:v>Pillows</x:v>
      </x:c>
      <x:c r="Q309" s="24" t="str">
        <x:v>2–3 × 8–12 controlled reps</x:v>
      </x:c>
      <x:c r="R309" s="24" t="str">
        <x:v>Progress gradually; stop with sharp pain, dizziness, or numbness.</x:v>
      </x:c>
      <x:c r="S309" s="24" t="str">
        <x:v>https://myjointhealthhub.bnssg.nhs.uk/how-to-do-pelvic-floor-exercises/</x:v>
      </x:c>
      <x:c r="T309" s="24" t="str">
        <x:v>Anatomy-based mapping</x:v>
      </x:c>
    </x:row>
    <x:row r="310" ht="54" customHeight="1">
      <x:c r="A310" s="24" t="str">
        <x:v>EX0373</x:v>
      </x:c>
      <x:c r="B310" s="24" t="str">
        <x:v>Pelvic floor sitting isometric hold</x:v>
      </x:c>
      <x:c r="C310" s="24" t="str">
        <x:v>Pelvis &amp; Perineum</x:v>
      </x:c>
      <x:c r="D310" s="24" t="str">
        <x:v>Home</x:v>
      </x:c>
      <x:c r="E310" s="24" t="str">
        <x:v>Isometric strength</x:v>
      </x:c>
      <x:c r="F310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</x:v>
      </x:c>
      <x:c r="G310" s="24" t="str">
        <x:v>—</x:v>
      </x:c>
      <x:c r="H310" s="24" t="str">
        <x:v>Diaphragm costal part; Diaphragm lumbar part / crura; Diaphragm sternal part</x:v>
      </x:c>
      <x:c r="I310" s="24" t="str">
        <x:v>—</x:v>
      </x:c>
      <x:c r="J310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muscle; Diaphragm costal part; Diaphragm lumbar part / crura; Diaphragm sternal part</x:v>
      </x:c>
      <x:c r="K310" s="24" t="str">
        <x:v>Atlas-listed tendon/aponeurosis examples: Fibrous sheet into anococcygeal raphe; Fibrous insertions to anococcygeal body; Muscular sling no separate tendon; Broad sacrococcygeal fibrous attachment; additional listed attachments</x:v>
      </x:c>
      <x:c r="L310" s="24" t="str">
        <x:v>Sacrospinous, sacrotuberous and sacroiliac ligaments provide passive support; NOT deliberately stretched</x:v>
      </x:c>
      <x:c r="M310" s="24" t="str">
        <x:v>Muscles: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muscle; Diaphragm costal part; Diaphragm lumbar part / crura; Diaphragm sternal part | Tendons/fascia: Atlas-listed tendon/aponeurosis examples: Fibrous sheet into anococcygeal raphe; Fibrous insertions to anococcygeal body; Muscular sling no separate tendon; Broad sacrococcygeal fibrous attachment; additional listed attachments | Ligament context only: Sacrospinous, sacrotuberous and sacroiliac ligaments provide passive support; NOT deliberately stretched</x:v>
      </x:c>
      <x:c r="N310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Bulbospongiosus (female); Bulbospongiosus (male); Ischiocavernosus (female); Ischiocavernosus (male); Superficial transverse perineal muscle; Deep transverse perineal muscle</x:v>
      </x:c>
      <x:c r="O310" s="24" t="str">
        <x:v>In a relaxed seated posture, contract gently while breathing, then release.</x:v>
      </x:c>
      <x:c r="P310" s="24" t="str">
        <x:v>Chair</x:v>
      </x:c>
      <x:c r="Q310" s="24" t="str">
        <x:v>2–3 × 8–12 controlled reps</x:v>
      </x:c>
      <x:c r="R310" s="24" t="str">
        <x:v>Individual evaluation for pelvic floor pain, pregnancy, postpartum, or prolapse.</x:v>
      </x:c>
      <x:c r="S310" s="24" t="str">
        <x:v>https://myjointhealthhub.bnssg.nhs.uk/how-to-do-pelvic-floor-exercises/</x:v>
      </x:c>
      <x:c r="T310" s="24" t="str">
        <x:v>Anatomy-based mapping</x:v>
      </x:c>
    </x:row>
    <x:row r="311" ht="54" customHeight="1">
      <x:c r="A311" s="24" t="str">
        <x:v>EX0374</x:v>
      </x:c>
      <x:c r="B311" s="24" t="str">
        <x:v>Standing pelvic floor functional activation</x:v>
      </x:c>
      <x:c r="C311" s="24" t="str">
        <x:v>Pelvis &amp; Perineum</x:v>
      </x:c>
      <x:c r="D311" s="24" t="str">
        <x:v>Home</x:v>
      </x:c>
      <x:c r="E311" s="24" t="str">
        <x:v>Motor control</x:v>
      </x:c>
      <x:c r="F311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G311" s="24" t="str">
        <x:v>Rectus abdominis; External oblique; Internal oblique; Transversus abdominis</x:v>
      </x:c>
      <x:c r="H311" s="24" t="str">
        <x:v>Gluteus medius; Gluteus minimus; Tensor fasciae latae</x:v>
      </x:c>
      <x:c r="I311" s="24" t="str">
        <x:v>—</x:v>
      </x:c>
      <x:c r="J311" s="24" t="str">
        <x:v>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Rectus abdominis; External oblique; Internal oblique; Transversus abdominis; Gluteus medius; Gluteus minimus; Tensor fasciae latae</x:v>
      </x:c>
      <x:c r="K311" s="24" t="str">
        <x:v>Atlas-listed tendon/aponeurosis examples: Fibrous sheet into anococcygeal raphe; Fibrous insertions to anococcygeal body; Muscular sling no separate tendon; Broad sacrococcygeal fibrous attachment; additional listed attachments</x:v>
      </x:c>
      <x:c r="L311" s="24" t="str">
        <x:v>Sacrospinous, sacrotuberous and sacroiliac ligaments provide passive support; NOT deliberately stretched</x:v>
      </x:c>
      <x:c r="M311" s="24" t="str">
        <x:v>Muscles: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(female); Rectus abdominis; External oblique; Internal oblique; Transversus abdominis; Gluteus medius; Gluteus minimus; Tensor fasciae latae | Tendons/fascia: Atlas-listed tendon/aponeurosis examples: Fibrous sheet into anococcygeal raphe; Fibrous insertions to anococcygeal body; Muscular sling no separate tendon; Broad sacrococcygeal fibrous attachment; additional listed attachments | Ligament context only: Sacrospinous, sacrotuberous and sacroiliac ligaments provide passive support; NOT deliberately stretched</x:v>
      </x:c>
      <x:c r="N311" s="24" t="str">
        <x:v>Low-load activation, not ordinarily to fatigue: Iliococcygeus; Pubococcygeus; Puborectalis; Coccygeus (ischiococcygeus); Puboprostaticus (male-specific subdivision); Pubovaginalis (female-specific subdivision); External anal sphincter deep part; External anal sphincter subcutaneous part; External anal sphincter superficial part; External urethral sphincter (rhabdosphincter); Compressor urethrae (female); Urethrovaginal sphincter (female)</x:v>
      </x:c>
      <x:c r="O311" s="24" t="str">
        <x:v>Gently lift and relax pelvic floor while standing with normal breath.</x:v>
      </x:c>
      <x:c r="P311" s="24" t="str">
        <x:v>None</x:v>
      </x:c>
      <x:c r="Q311" s="24" t="str">
        <x:v>1–2 × 5–10 controlled reps</x:v>
      </x:c>
      <x:c r="R311" s="24" t="str">
        <x:v>Progress gradually; stop with sharp pain, dizziness, or numbness.</x:v>
      </x:c>
      <x:c r="S311" s="24" t="str">
        <x:v>https://myjointhealthhub.bnssg.nhs.uk/how-to-do-pelvic-floor-exercises/</x:v>
      </x:c>
      <x:c r="T311" s="24" t="str">
        <x:v>Anatomy-based mapping</x:v>
      </x:c>
    </x:row>
    <x:row r="312" ht="54" customHeight="1">
      <x:c r="A312" s="24" t="str">
        <x:v>EX0375</x:v>
      </x:c>
      <x:c r="B312" s="24" t="str">
        <x:v>Band straight-arm shoulder flexion and slight adduction</x:v>
      </x:c>
      <x:c r="C312" s="24" t="str">
        <x:v>Shoulder &amp; Chest</x:v>
      </x:c>
      <x:c r="D312" s="24" t="str">
        <x:v>Home</x:v>
      </x:c>
      <x:c r="E312" s="24" t="str">
        <x:v>Band strength</x:v>
      </x:c>
      <x:c r="F312" s="24" t="str">
        <x:v>Coracobrachialis; Deltoid</x:v>
      </x:c>
      <x:c r="G312" s="24" t="str">
        <x:v>Pectoralis major</x:v>
      </x:c>
      <x:c r="H312" s="24" t="str">
        <x:v>Subscapularis; Subclavius</x:v>
      </x:c>
      <x:c r="I312" s="24" t="str">
        <x:v>—</x:v>
      </x:c>
      <x:c r="J312" s="24" t="str">
        <x:v>Coracobrachialis; Deltoid; Pectoralis major; Subscapularis; Subclavius</x:v>
      </x:c>
      <x:c r="K312" s="24" t="str">
        <x:v>Coracobrachialis insertion; pectoralis major tendon</x:v>
      </x:c>
      <x:c r="L312" s="24" t="str">
        <x:v>Coracoclavicular and costoclavicular ligaments stabilize the shoulder girdle passively; no targeted stretching</x:v>
      </x:c>
      <x:c r="M312" s="24" t="str">
        <x:v>Muscles: Coracobrachialis; Deltoid; Pectoralis major; Subscapularis; Subclavius | Tendons/fascia: Coracobrachialis insertion; pectoralis major tendon | Ligament context only: Coracoclavicular and costoclavicular ligaments stabilize the shoulder girdle passively; no targeted stretching</x:v>
      </x:c>
      <x:c r="N312" s="24" t="str">
        <x:v>Coracobrachialis; Deltoid; Pectoralis major</x:v>
      </x:c>
      <x:c r="O312" s="24" t="str">
        <x:v>With a very light band behind hand, bring slightly abducted straight arm forward and toward midline, avoiding end-range stretch.</x:v>
      </x:c>
      <x:c r="P312" s="24" t="str">
        <x:v>Light band</x:v>
      </x:c>
      <x:c r="Q312" s="24" t="str">
        <x:v>2–3 × 8–12 controlled reps</x:v>
      </x:c>
      <x:c r="R312" s="24" t="str">
        <x:v>Progress gradually; stop with sharp pain, dizziness, or numbness.</x:v>
      </x:c>
      <x:c r="S312" s="24" t="str">
        <x:v>https://orthoinfo.aaos.org/globalassets/pdfs/2024-rotator-cuff-and-shoulder-conditioning-program.pdf</x:v>
      </x:c>
      <x:c r="T312" s="24" t="str">
        <x:v>Anatomy-based mapping</x:v>
      </x:c>
    </x:row>
    <x:row r="313" ht="54" customHeight="1">
      <x:c r="A313" s="24" t="str">
        <x:v>EX0376</x:v>
      </x:c>
      <x:c r="B313" s="24" t="str">
        <x:v>Clavicle-set isometric: gentle arm press into wall</x:v>
      </x:c>
      <x:c r="C313" s="24" t="str">
        <x:v>Shoulder &amp; Chest</x:v>
      </x:c>
      <x:c r="D313" s="24" t="str">
        <x:v>Home</x:v>
      </x:c>
      <x:c r="E313" s="24" t="str">
        <x:v>Isometric strength</x:v>
      </x:c>
      <x:c r="F313" s="24" t="str">
        <x:v>Pectoralis minor</x:v>
      </x:c>
      <x:c r="G313" s="24" t="str">
        <x:v>Serratus anterior</x:v>
      </x:c>
      <x:c r="H313" s="24" t="str">
        <x:v>Subclavius; Trapezius</x:v>
      </x:c>
      <x:c r="I313" s="24" t="str">
        <x:v>—</x:v>
      </x:c>
      <x:c r="J313" s="24" t="str">
        <x:v>Pectoralis minor; Serratus anterior; Subclavius; Trapezius</x:v>
      </x:c>
      <x:c r="K313" s="24" t="str">
        <x:v>Pectoralis minor coracoid insertion; subclavius insertion tissue</x:v>
      </x:c>
      <x:c r="L313" s="24" t="str">
        <x:v>Costoclavicular and sternoclavicular ligamentous support (passive, not stretch targets)</x:v>
      </x:c>
      <x:c r="M313" s="24" t="str">
        <x:v>Muscles: Pectoralis minor; Serratus anterior; Subclavius; Trapezius | Tendons/fascia: Pectoralis minor coracoid insertion; subclavius insertion tissue | Ligament context only: Costoclavicular and sternoclavicular ligamentous support (passive, not stretch targets)</x:v>
      </x:c>
      <x:c r="N313" s="24" t="str">
        <x:v>Pectoralis minor; Serratus anterior</x:v>
      </x:c>
      <x:c r="O313" s="24" t="str">
        <x:v>Stand beside wall with elbow bent, gently press forearm and stabilize collarbone without breath-holding.</x:v>
      </x:c>
      <x:c r="P313" s="24" t="str">
        <x:v>Wall</x:v>
      </x:c>
      <x:c r="Q313" s="24" t="str">
        <x:v>2–3 × 8–12 controlled reps</x:v>
      </x:c>
      <x:c r="R313" s="24" t="str">
        <x:v>Progress gradually; stop with sharp pain, dizziness, or numbness.</x:v>
      </x:c>
      <x:c r="S313" s="24" t="str">
        <x:v>https://orthoinfo.aaos.org/globalassets/pdfs/2024-rotator-cuff-and-shoulder-conditioning-program.pdf</x:v>
      </x:c>
      <x:c r="T313" s="24" t="str">
        <x:v>Subclavius role inferred; not an isolated strengthening drill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1927c32560a640b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40" hidden="0" customWidth="1"/>
    <x:col min="3" max="3" width="22" hidden="0" customWidth="1"/>
    <x:col min="4" max="4" width="15" hidden="0" customWidth="1"/>
    <x:col min="5" max="5" width="24" hidden="0" customWidth="1"/>
    <x:col min="6" max="6" width="43" hidden="0" customWidth="1"/>
    <x:col min="7" max="7" width="43" hidden="0" customWidth="1"/>
    <x:col min="8" max="8" width="44" hidden="0" customWidth="1"/>
    <x:col min="9" max="9" width="43" hidden="0" customWidth="1"/>
    <x:col min="10" max="10" width="48" hidden="0" customWidth="1"/>
    <x:col min="11" max="11" width="46" hidden="0" customWidth="1"/>
    <x:col min="12" max="12" width="45" hidden="0" customWidth="1"/>
    <x:col min="13" max="13" width="54" hidden="0" customWidth="1"/>
    <x:col min="14" max="14" width="50" hidden="0" customWidth="1"/>
    <x:col min="15" max="15" width="52" hidden="0" customWidth="1"/>
    <x:col min="16" max="16" width="26" hidden="0" customWidth="1"/>
    <x:col min="17" max="17" width="30" hidden="0" customWidth="1"/>
    <x:col min="18" max="18" width="52" hidden="0" customWidth="1"/>
    <x:col min="19" max="19" width="42" hidden="0" customWidth="1"/>
    <x:col min="20" max="20" width="28" hidden="0" customWidth="1"/>
  </x:cols>
  <x:sheetData>
    <x:row r="1" ht="36" customHeight="1">
      <x:c r="A1" s="4" t="str">
        <x:v>SMALL-GYM EXERCISE LIBRARY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25" customHeight="1">
      <x:c r="A2" s="10" t="str">
        <x:v>Dumbbells, benches, simple machines and cable-based resistance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3" ht="42" customHeight="1">
      <x:c r="A3" s="17" t="str">
        <x:v>Exercise ID</x:v>
      </x:c>
      <x:c r="B3" s="17" t="str">
        <x:v>Exercise / stretch</x:v>
      </x:c>
      <x:c r="C3" s="17" t="str">
        <x:v>Body region</x:v>
      </x:c>
      <x:c r="D3" s="17" t="str">
        <x:v>Home or Gym</x:v>
      </x:c>
      <x:c r="E3" s="17" t="str">
        <x:v>Movement category</x:v>
      </x:c>
      <x:c r="F3" s="17" t="str">
        <x:v>Primary muscles (active)</x:v>
      </x:c>
      <x:c r="G3" s="17" t="str">
        <x:v>Assisting muscles (active)</x:v>
      </x:c>
      <x:c r="H3" s="17" t="str">
        <x:v>Stabilizers (may fatigue)</x:v>
      </x:c>
      <x:c r="I3" s="17" t="str">
        <x:v>Muscles lengthened / stretched</x:v>
      </x:c>
      <x:c r="J3" s="17" t="str">
        <x:v>All named muscles involved</x:v>
      </x:c>
      <x:c r="K3" s="17" t="str">
        <x:v>Tendons / fascia loaded or mobilized</x:v>
      </x:c>
      <x:c r="L3" s="17" t="str">
        <x:v>Ligaments / retinacula: joint context ONLY</x:v>
      </x:c>
      <x:c r="M3" s="17" t="str">
        <x:v>ALL muscle + tendon + ligament structures supported</x:v>
      </x:c>
      <x:c r="N3" s="17" t="str">
        <x:v>Muscles LIKELY TO FATIGUE / activation note</x:v>
      </x:c>
      <x:c r="O3" s="17" t="str">
        <x:v>How to perform</x:v>
      </x:c>
      <x:c r="P3" s="17" t="str">
        <x:v>Equipment</x:v>
      </x:c>
      <x:c r="Q3" s="17" t="str">
        <x:v>Example dosage (not a prescription)</x:v>
      </x:c>
      <x:c r="R3" s="17" t="str">
        <x:v>Safety / contraindication notes</x:v>
      </x:c>
      <x:c r="S3" s="17" t="str">
        <x:v>Reference URL (background or example)</x:v>
      </x:c>
      <x:c r="T3" s="17" t="str">
        <x:v>Mapping evidence level</x:v>
      </x:c>
    </x:row>
    <x:row r="4" ht="54" customHeight="1">
      <x:c r="A4" s="24" t="str">
        <x:v>EX0011</x:v>
      </x:c>
      <x:c r="B4" s="24" t="str">
        <x:v>Dumbbell flat bench press</x:v>
      </x:c>
      <x:c r="C4" s="24" t="str">
        <x:v>Shoulder &amp; Chest</x:v>
      </x:c>
      <x:c r="D4" s="24" t="str">
        <x:v>Gym</x:v>
      </x:c>
      <x:c r="E4" s="24" t="str">
        <x:v>Compound strength</x:v>
      </x:c>
      <x:c r="F4" s="24" t="str">
        <x:v>Pectoralis major; Triceps brachii lateral head; Triceps brachii long head; Triceps brachii medial head</x:v>
      </x:c>
      <x:c r="G4" s="24" t="str">
        <x:v>Deltoid; Supraspinatus; Serratus anterior; Pectoralis minor</x:v>
      </x:c>
      <x:c r="H4" s="24" t="str">
        <x:v>Infraspinatus; Subscapularis; Teres minor</x:v>
      </x:c>
      <x:c r="I4" s="24" t="str">
        <x:v>—</x:v>
      </x:c>
      <x:c r="J4" s="24" t="str">
        <x:v>Pectoralis major; Triceps brachii lateral head; Triceps brachii long head; Triceps brachii medial head; Deltoid; Supraspinatus; Serratus anterior; Pectoralis minor; Infraspinatus; Subscapularis; Teres minor</x:v>
      </x:c>
      <x:c r="K4" s="24" t="str">
        <x:v>Pectoralis major and triceps tendons</x:v>
      </x:c>
      <x:c r="L4" s="24" t="str">
        <x:v>Shoulder capsule and coracoclavicular/acromioclavicular ligaments support joint stability; NOT targeted for stretching</x:v>
      </x:c>
      <x:c r="M4" s="24" t="str">
        <x:v>Muscles: Pectoralis major; Triceps brachii lateral head; Triceps brachii long head; Triceps brachii medial head; Deltoid; Supraspinatus; Serratus anterior; Pectoralis minor; Infraspinatus; Subscapularis; Teres minor | Tendons/fascia: Pectoralis major and triceps tendons | Ligament context only: Shoulder capsule and coracoclavicular/acromioclavicular ligaments support joint stability; NOT targeted for stretching</x:v>
      </x:c>
      <x:c r="N4" s="24" t="str">
        <x:v>Pectoralis major; Triceps brachii lateral head; Triceps brachii long head; Triceps brachii medial head; Deltoid; Supraspinatus; Serratus anterior; Pectoralis minor</x:v>
      </x:c>
      <x:c r="O4" s="24" t="str">
        <x:v>Lie on bench with shoulder blades set; lower weights toward chest and press.</x:v>
      </x:c>
      <x:c r="P4" s="24" t="str">
        <x:v>Bench; dumbbells</x:v>
      </x:c>
      <x:c r="Q4" s="24" t="str">
        <x:v>2–3 × 8–12 controlled reps</x:v>
      </x:c>
      <x:c r="R4" s="24" t="str">
        <x:v>Progress gradually; stop with sharp pain, dizziness, or numbness.</x:v>
      </x:c>
      <x:c r="S4" s="24" t="str">
        <x:v>https://orthoinfo.aaos.org/globalassets/pdfs/2024-rotator-cuff-and-shoulder-conditioning-program.pdf</x:v>
      </x:c>
      <x:c r="T4" s="24" t="str">
        <x:v>Anatomy-based mapping</x:v>
      </x:c>
    </x:row>
    <x:row r="5" ht="54" customHeight="1">
      <x:c r="A5" s="24" t="str">
        <x:v>EX0012</x:v>
      </x:c>
      <x:c r="B5" s="24" t="str">
        <x:v>Dumbbell incline bench press</x:v>
      </x:c>
      <x:c r="C5" s="24" t="str">
        <x:v>Shoulder &amp; Chest</x:v>
      </x:c>
      <x:c r="D5" s="24" t="str">
        <x:v>Gym</x:v>
      </x:c>
      <x:c r="E5" s="24" t="str">
        <x:v>Compound strength</x:v>
      </x:c>
      <x:c r="F5" s="24" t="str">
        <x:v>Pectoralis major; Deltoid; Supraspinatus</x:v>
      </x:c>
      <x:c r="G5" s="24" t="str">
        <x:v>Triceps brachii lateral head; Triceps brachii long head; Triceps brachii medial head; Serratus anterior; Pectoralis minor</x:v>
      </x:c>
      <x:c r="H5" s="24" t="str">
        <x:v>Infraspinatus; Subscapularis; Teres minor</x:v>
      </x:c>
      <x:c r="I5" s="24" t="str">
        <x:v>—</x:v>
      </x:c>
      <x:c r="J5" s="24" t="str">
        <x:v>Pectoralis major; Deltoid; Supraspinatus; Triceps brachii lateral head; Triceps brachii long head; Triceps brachii medial head; Serratus anterior; Pectoralis minor; Infraspinatus; Subscapularis; Teres minor</x:v>
      </x:c>
      <x:c r="K5" s="24" t="str">
        <x:v>Pectoralis major; deltoid; triceps tendons</x:v>
      </x:c>
      <x:c r="L5" s="24" t="str">
        <x:v>Shoulder capsule and coracoclavicular/acromioclavicular ligaments support joint stability; NOT targeted for stretching</x:v>
      </x:c>
      <x:c r="M5" s="24" t="str">
        <x:v>Muscles: Pectoralis major; Deltoid; Supraspinatus; Triceps brachii lateral head; Triceps brachii long head; Triceps brachii medial head; Serratus anterior; Pectoralis minor; Infraspinatus; Subscapularis; Teres minor | Tendons/fascia: Pectoralis major; deltoid; triceps tendons | Ligament context only: Shoulder capsule and coracoclavicular/acromioclavicular ligaments support joint stability; NOT targeted for stretching</x:v>
      </x:c>
      <x:c r="N5" s="24" t="str">
        <x:v>Pectoralis major; Deltoid; Supraspinatus; Triceps brachii lateral head; Triceps brachii long head; Triceps brachii medial head; Serratus anterior; Pectoralis minor</x:v>
      </x:c>
      <x:c r="O5" s="24" t="str">
        <x:v>Use a modest incline; press dumbbells above upper chest.</x:v>
      </x:c>
      <x:c r="P5" s="24" t="str">
        <x:v>Adjustable bench; dumbbells</x:v>
      </x:c>
      <x:c r="Q5" s="24" t="str">
        <x:v>2–3 × 8–12 controlled reps</x:v>
      </x:c>
      <x:c r="R5" s="24" t="str">
        <x:v>Progress gradually; stop with sharp pain, dizziness, or numbness.</x:v>
      </x:c>
      <x:c r="S5" s="24" t="str">
        <x:v>https://orthoinfo.aaos.org/globalassets/pdfs/2024-rotator-cuff-and-shoulder-conditioning-program.pdf</x:v>
      </x:c>
      <x:c r="T5" s="24" t="str">
        <x:v>Anatomy-based mapping</x:v>
      </x:c>
    </x:row>
    <x:row r="6" ht="54" customHeight="1">
      <x:c r="A6" s="24" t="str">
        <x:v>EX0013</x:v>
      </x:c>
      <x:c r="B6" s="24" t="str">
        <x:v>Machine chest press</x:v>
      </x:c>
      <x:c r="C6" s="24" t="str">
        <x:v>Shoulder &amp; Chest</x:v>
      </x:c>
      <x:c r="D6" s="24" t="str">
        <x:v>Gym</x:v>
      </x:c>
      <x:c r="E6" s="24" t="str">
        <x:v>Compound strength</x:v>
      </x:c>
      <x:c r="F6" s="24" t="str">
        <x:v>Pectoralis major; Triceps brachii lateral head; Triceps brachii long head; Triceps brachii medial head</x:v>
      </x:c>
      <x:c r="G6" s="24" t="str">
        <x:v>Deltoid; Supraspinatus; Serratus anterior; Pectoralis minor</x:v>
      </x:c>
      <x:c r="H6" s="24" t="str">
        <x:v>Infraspinatus; Subscapularis; Teres minor</x:v>
      </x:c>
      <x:c r="I6" s="24" t="str">
        <x:v>—</x:v>
      </x:c>
      <x:c r="J6" s="24" t="str">
        <x:v>Pectoralis major; Triceps brachii lateral head; Triceps brachii long head; Triceps brachii medial head; Deltoid; Supraspinatus; Serratus anterior; Pectoralis minor; Infraspinatus; Subscapularis; Teres minor</x:v>
      </x:c>
      <x:c r="K6" s="24" t="str">
        <x:v>Pectoralis major and triceps tendons</x:v>
      </x:c>
      <x:c r="L6" s="24" t="str">
        <x:v>Shoulder capsule and coracoclavicular/acromioclavicular ligaments support joint stability; NOT targeted for stretching</x:v>
      </x:c>
      <x:c r="M6" s="24" t="str">
        <x:v>Muscles: Pectoralis major; Triceps brachii lateral head; Triceps brachii long head; Triceps brachii medial head; Deltoid; Supraspinatus; Serratus anterior; Pectoralis minor; Infraspinatus; Subscapularis; Teres minor | Tendons/fascia: Pectoralis major and triceps tendons | Ligament context only: Shoulder capsule and coracoclavicular/acromioclavicular ligaments support joint stability; NOT targeted for stretching</x:v>
      </x:c>
      <x:c r="N6" s="24" t="str">
        <x:v>Pectoralis major; Triceps brachii lateral head; Triceps brachii long head; Triceps brachii medial head; Deltoid; Supraspinatus; Serratus anterior; Pectoralis minor</x:v>
      </x:c>
      <x:c r="O6" s="24" t="str">
        <x:v>Adjust seat for handles at chest height; press without letting shoulders roll forward.</x:v>
      </x:c>
      <x:c r="P6" s="24" t="str">
        <x:v>Chest press machine</x:v>
      </x:c>
      <x:c r="Q6" s="24" t="str">
        <x:v>2–3 × 8–12 controlled reps</x:v>
      </x:c>
      <x:c r="R6" s="24" t="str">
        <x:v>Progress gradually; stop with sharp pain, dizziness, or numbness.</x:v>
      </x:c>
      <x:c r="S6" s="24" t="str">
        <x:v>https://orthoinfo.aaos.org/globalassets/pdfs/2024-rotator-cuff-and-shoulder-conditioning-program.pdf</x:v>
      </x:c>
      <x:c r="T6" s="24" t="str">
        <x:v>Anatomy-based mapping</x:v>
      </x:c>
    </x:row>
    <x:row r="7" ht="54" customHeight="1">
      <x:c r="A7" s="24" t="str">
        <x:v>EX0014</x:v>
      </x:c>
      <x:c r="B7" s="24" t="str">
        <x:v>Cable chest fly</x:v>
      </x:c>
      <x:c r="C7" s="24" t="str">
        <x:v>Shoulder &amp; Chest</x:v>
      </x:c>
      <x:c r="D7" s="24" t="str">
        <x:v>Gym</x:v>
      </x:c>
      <x:c r="E7" s="24" t="str">
        <x:v>Isolation strength</x:v>
      </x:c>
      <x:c r="F7" s="24" t="str">
        <x:v>Pectoralis major</x:v>
      </x:c>
      <x:c r="G7" s="24" t="str">
        <x:v>Deltoid; Supraspinatus</x:v>
      </x:c>
      <x:c r="H7" s="24" t="str">
        <x:v>Infraspinatus; Subscapularis; Teres minor; Serratus anterior; Pectoralis minor</x:v>
      </x:c>
      <x:c r="I7" s="24" t="str">
        <x:v>—</x:v>
      </x:c>
      <x:c r="J7" s="24" t="str">
        <x:v>Pectoralis major; Deltoid; Supraspinatus; Infraspinatus; Subscapularis; Teres minor; Serratus anterior; Pectoralis minor</x:v>
      </x:c>
      <x:c r="K7" s="24" t="str">
        <x:v>Pectoralis major tendon</x:v>
      </x:c>
      <x:c r="L7" s="24" t="str">
        <x:v>Shoulder capsule and coracoclavicular/acromioclavicular ligaments support joint stability; NOT targeted for stretching</x:v>
      </x:c>
      <x:c r="M7" s="24" t="str">
        <x:v>Muscles: Pectoralis major; Deltoid; Supraspinatus; Infraspinatus; Subscapularis; Teres minor; Serratus anterior; Pectoralis minor | Tendons/fascia: Pectoralis major tendon | Ligament context only: Shoulder capsule and coracoclavicular/acromioclavicular ligaments support joint stability; NOT targeted for stretching</x:v>
      </x:c>
      <x:c r="N7" s="24" t="str">
        <x:v>Pectoralis major; Deltoid; Supraspinatus</x:v>
      </x:c>
      <x:c r="O7" s="24" t="str">
        <x:v>With elbows softly bent, bring cables together at chest height.</x:v>
      </x:c>
      <x:c r="P7" s="24" t="str">
        <x:v>Cable station</x:v>
      </x:c>
      <x:c r="Q7" s="24" t="str">
        <x:v>2–3 × 8–12 controlled reps</x:v>
      </x:c>
      <x:c r="R7" s="24" t="str">
        <x:v>Progress gradually; stop with sharp pain, dizziness, or numbness.</x:v>
      </x:c>
      <x:c r="S7" s="24" t="str">
        <x:v>https://orthoinfo.aaos.org/globalassets/pdfs/2024-rotator-cuff-and-shoulder-conditioning-program.pdf</x:v>
      </x:c>
      <x:c r="T7" s="24" t="str">
        <x:v>Anatomy-based mapping</x:v>
      </x:c>
    </x:row>
    <x:row r="8" ht="54" customHeight="1">
      <x:c r="A8" s="24" t="str">
        <x:v>EX0016</x:v>
      </x:c>
      <x:c r="B8" s="24" t="str">
        <x:v>Dumbbell overhead press</x:v>
      </x:c>
      <x:c r="C8" s="24" t="str">
        <x:v>Shoulder &amp; Chest</x:v>
      </x:c>
      <x:c r="D8" s="24" t="str">
        <x:v>Gym</x:v>
      </x:c>
      <x:c r="E8" s="24" t="str">
        <x:v>Compound strength</x:v>
      </x:c>
      <x:c r="F8" s="24" t="str">
        <x:v>Deltoid; Supraspinatus; Triceps brachii lateral head; Triceps brachii long head; Triceps brachii medial head</x:v>
      </x:c>
      <x:c r="G8" s="24" t="str">
        <x:v>Trapezius; Serratus anterior</x:v>
      </x:c>
      <x:c r="H8" s="24" t="str">
        <x:v>Infraspinatus; Subscapularis; Teres minor; Rectus abdominis; External oblique; Internal oblique; Transversus abdominis</x:v>
      </x:c>
      <x:c r="I8" s="24" t="str">
        <x:v>—</x:v>
      </x:c>
      <x:c r="J8" s="24" t="str">
        <x:v>Deltoid; Supraspinatus; Triceps brachii lateral head; Triceps brachii long head; Triceps brachii medial head; Trapezius; Serratus anterior; Infraspinatus; Subscapularis; Teres minor; Rectus abdominis; External oblique; Internal oblique; Transversus abdominis</x:v>
      </x:c>
      <x:c r="K8" s="24" t="str">
        <x:v>Deltoid; triceps; supraspinatus insertions</x:v>
      </x:c>
      <x:c r="L8" s="24" t="str">
        <x:v>Shoulder capsule and coracoclavicular/acromioclavicular ligaments support joint stability; NOT targeted for stretching</x:v>
      </x:c>
      <x:c r="M8" s="24" t="str">
        <x:v>Muscles: Deltoid; Supraspinatus; Triceps brachii lateral head; Triceps brachii long head; Triceps brachii medial head; Trapezius; Serratus anterior; Infraspinatus; Subscapularis; Teres minor; Rectus abdominis; External oblique; Internal oblique; Transversus abdominis | Tendons/fascia: Deltoid; triceps; supraspinatus insertions | Ligament context only: Shoulder capsule and coracoclavicular/acromioclavicular ligaments support joint stability; NOT targeted for stretching</x:v>
      </x:c>
      <x:c r="N8" s="24" t="str">
        <x:v>Deltoid; Supraspinatus; Triceps brachii lateral head; Triceps brachii long head; Triceps brachii medial head; Trapezius; Serratus anterior</x:v>
      </x:c>
      <x:c r="O8" s="24" t="str">
        <x:v>Press dumbbells overhead through comfortable motion without excessive lumbar arch.</x:v>
      </x:c>
      <x:c r="P8" s="24" t="str">
        <x:v>Dumbbells</x:v>
      </x:c>
      <x:c r="Q8" s="24" t="str">
        <x:v>2–3 × 8–12 controlled reps</x:v>
      </x:c>
      <x:c r="R8" s="24" t="str">
        <x:v>Progress gradually; stop with sharp pain, dizziness, or numbness.</x:v>
      </x:c>
      <x:c r="S8" s="24" t="str">
        <x:v>https://orthoinfo.aaos.org/globalassets/pdfs/2024-rotator-cuff-and-shoulder-conditioning-program.pdf</x:v>
      </x:c>
      <x:c r="T8" s="24" t="str">
        <x:v>Anatomy-based mapping</x:v>
      </x:c>
    </x:row>
    <x:row r="9" ht="54" customHeight="1">
      <x:c r="A9" s="24" t="str">
        <x:v>EX0017</x:v>
      </x:c>
      <x:c r="B9" s="24" t="str">
        <x:v>Landmine press</x:v>
      </x:c>
      <x:c r="C9" s="24" t="str">
        <x:v>Shoulder &amp; Chest</x:v>
      </x:c>
      <x:c r="D9" s="24" t="str">
        <x:v>Gym</x:v>
      </x:c>
      <x:c r="E9" s="24" t="str">
        <x:v>Compound strength</x:v>
      </x:c>
      <x:c r="F9" s="24" t="str">
        <x:v>Deltoid; Supraspinatus; Triceps brachii lateral head; Triceps brachii long head; Triceps brachii medial head</x:v>
      </x:c>
      <x:c r="G9" s="24" t="str">
        <x:v>Trapezius; Serratus anterior; Pectoralis minor</x:v>
      </x:c>
      <x:c r="H9" s="24" t="str">
        <x:v>Rectus abdominis; External oblique; Internal oblique; Transversus abdominis; Infraspinatus; Subscapularis; Teres minor</x:v>
      </x:c>
      <x:c r="I9" s="24" t="str">
        <x:v>—</x:v>
      </x:c>
      <x:c r="J9" s="24" t="str">
        <x:v>Deltoid; Supraspinatus; Triceps brachii lateral head; Triceps brachii long head; Triceps brachii medial head; Trapezius; Serratus anterior; Pectoralis minor; Rectus abdominis; External oblique; Internal oblique; Transversus abdominis; Infraspinatus; Subscapularis; Teres minor</x:v>
      </x:c>
      <x:c r="K9" s="24" t="str">
        <x:v>Deltoid and triceps tendons</x:v>
      </x:c>
      <x:c r="L9" s="24" t="str">
        <x:v>Shoulder capsule and coracoclavicular/acromioclavicular ligaments support joint stability; NOT targeted for stretching</x:v>
      </x:c>
      <x:c r="M9" s="24" t="str">
        <x:v>Muscles: Deltoid; Supraspinatus; Triceps brachii lateral head; Triceps brachii long head; Triceps brachii medial head; Trapezius; Serratus anterior; Pectoralis minor; Rectus abdominis; External oblique; Internal oblique; Transversus abdominis; Infraspinatus; Subscapularis; Teres minor | Tendons/fascia: Deltoid and triceps tendons | Ligament context only: Shoulder capsule and coracoclavicular/acromioclavicular ligaments support joint stability; NOT targeted for stretching</x:v>
      </x:c>
      <x:c r="N9" s="24" t="str">
        <x:v>Deltoid; Supraspinatus; Triceps brachii lateral head; Triceps brachii long head; Triceps brachii medial head; Trapezius; Serratus anterior; Pectoralis minor</x:v>
      </x:c>
      <x:c r="O9" s="24" t="str">
        <x:v>Press bar diagonally upward from shoulder while shoulder blade rotates naturally.</x:v>
      </x:c>
      <x:c r="P9" s="24" t="str">
        <x:v>Barbell landmine or anchored bar</x:v>
      </x:c>
      <x:c r="Q9" s="24" t="str">
        <x:v>2–3 × 8–12 controlled reps</x:v>
      </x:c>
      <x:c r="R9" s="24" t="str">
        <x:v>Progress gradually; stop with sharp pain, dizziness, or numbness.</x:v>
      </x:c>
      <x:c r="S9" s="24" t="str">
        <x:v>https://orthoinfo.aaos.org/globalassets/pdfs/2024-rotator-cuff-and-shoulder-conditioning-program.pdf</x:v>
      </x:c>
      <x:c r="T9" s="24" t="str">
        <x:v>Anatomy-based mapping</x:v>
      </x:c>
    </x:row>
    <x:row r="10" ht="54" customHeight="1">
      <x:c r="A10" s="24" t="str">
        <x:v>EX0019</x:v>
      </x:c>
      <x:c r="B10" s="24" t="str">
        <x:v>Dumbbell lateral raise</x:v>
      </x:c>
      <x:c r="C10" s="24" t="str">
        <x:v>Shoulder &amp; Chest</x:v>
      </x:c>
      <x:c r="D10" s="24" t="str">
        <x:v>Gym</x:v>
      </x:c>
      <x:c r="E10" s="24" t="str">
        <x:v>Isolation strength</x:v>
      </x:c>
      <x:c r="F10" s="24" t="str">
        <x:v>Deltoid; Supraspinatus</x:v>
      </x:c>
      <x:c r="G10" s="24" t="str">
        <x:v>Trapezius; Serratus anterior</x:v>
      </x:c>
      <x:c r="H10" s="24" t="str">
        <x:v>Infraspinatus; Subscapularis; Teres minor</x:v>
      </x:c>
      <x:c r="I10" s="24" t="str">
        <x:v>—</x:v>
      </x:c>
      <x:c r="J10" s="24" t="str">
        <x:v>Deltoid; Supraspinatus; Trapezius; Serratus anterior; Infraspinatus; Subscapularis; Teres minor</x:v>
      </x:c>
      <x:c r="K10" s="24" t="str">
        <x:v>Deltoid and supraspinatus tendons</x:v>
      </x:c>
      <x:c r="L10" s="24" t="str">
        <x:v>Shoulder capsule and coracoclavicular/acromioclavicular ligaments support joint stability; NOT targeted for stretching</x:v>
      </x:c>
      <x:c r="M10" s="24" t="str">
        <x:v>Muscles: Deltoid; Supraspinatus; Trapezius; Serratus anterior; Infraspinatus; Subscapularis; Teres minor | Tendons/fascia: Deltoid and supraspinatus tendons | Ligament context only: Shoulder capsule and coracoclavicular/acromioclavicular ligaments support joint stability; NOT targeted for stretching</x:v>
      </x:c>
      <x:c r="N10" s="24" t="str">
        <x:v>Deltoid; Supraspinatus; Trapezius; Serratus anterior</x:v>
      </x:c>
      <x:c r="O10" s="24" t="str">
        <x:v>Raise dumbbells to roughly shoulder height; minimize torso sway.</x:v>
      </x:c>
      <x:c r="P10" s="24" t="str">
        <x:v>Dumbbells</x:v>
      </x:c>
      <x:c r="Q10" s="24" t="str">
        <x:v>2–3 × 8–12 controlled reps</x:v>
      </x:c>
      <x:c r="R10" s="24" t="str">
        <x:v>Progress gradually; stop with sharp pain, dizziness, or numbness.</x:v>
      </x:c>
      <x:c r="S10" s="24" t="str">
        <x:v>https://orthoinfo.aaos.org/globalassets/pdfs/2024-rotator-cuff-and-shoulder-conditioning-program.pdf</x:v>
      </x:c>
      <x:c r="T10" s="24" t="str">
        <x:v>Anatomy-based mapping</x:v>
      </x:c>
    </x:row>
    <x:row r="11" ht="54" customHeight="1">
      <x:c r="A11" s="24" t="str">
        <x:v>EX0022</x:v>
      </x:c>
      <x:c r="B11" s="24" t="str">
        <x:v>Side-lying dumbbell external rotation</x:v>
      </x:c>
      <x:c r="C11" s="24" t="str">
        <x:v>Shoulder &amp; Chest</x:v>
      </x:c>
      <x:c r="D11" s="24" t="str">
        <x:v>Gym</x:v>
      </x:c>
      <x:c r="E11" s="24" t="str">
        <x:v>Isolation strength</x:v>
      </x:c>
      <x:c r="F11" s="24" t="str">
        <x:v>Infraspinatus; Teres minor</x:v>
      </x:c>
      <x:c r="G11" s="24" t="str">
        <x:v>—</x:v>
      </x:c>
      <x:c r="H11" s="24" t="str">
        <x:v>Rhomboid major; Rhomboid minor; Trapezius</x:v>
      </x:c>
      <x:c r="I11" s="24" t="str">
        <x:v>—</x:v>
      </x:c>
      <x:c r="J11" s="24" t="str">
        <x:v>Infraspinatus; Teres minor; Rhomboid major; Rhomboid minor; Trapezius</x:v>
      </x:c>
      <x:c r="K11" s="24" t="str">
        <x:v>Infraspinatus/teres minor tendons</x:v>
      </x:c>
      <x:c r="L11" s="24" t="str">
        <x:v>Shoulder capsule and coracoclavicular/acromioclavicular ligaments support joint stability; NOT targeted for stretching</x:v>
      </x:c>
      <x:c r="M11" s="24" t="str">
        <x:v>Muscles: Infraspinatus; Teres minor; Rhomboid major; Rhomboid minor; Trapezius | Tendons/fascia: Infraspinatus/teres minor tendons | Ligament context only: Shoulder capsule and coracoclavicular/acromioclavicular ligaments support joint stability; NOT targeted for stretching</x:v>
      </x:c>
      <x:c r="N11" s="24" t="str">
        <x:v>Infraspinatus; Teres minor</x:v>
      </x:c>
      <x:c r="O11" s="24" t="str">
        <x:v>Elbow resting on side; lift weight by rotating arm outward, without moving upper arm.</x:v>
      </x:c>
      <x:c r="P11" s="24" t="str">
        <x:v>Mat; light dumbbell</x:v>
      </x:c>
      <x:c r="Q11" s="24" t="str">
        <x:v>2–3 × 8–12 controlled reps</x:v>
      </x:c>
      <x:c r="R11" s="24" t="str">
        <x:v>Progress gradually; stop with sharp pain, dizziness, or numbness.</x:v>
      </x:c>
      <x:c r="S11" s="24" t="str">
        <x:v>https://orthoinfo.aaos.org/globalassets/pdfs/2024-rotator-cuff-and-shoulder-conditioning-program.pdf</x:v>
      </x:c>
      <x:c r="T11" s="24" t="str">
        <x:v>Anatomy-based mapping</x:v>
      </x:c>
    </x:row>
    <x:row r="12" ht="54" customHeight="1">
      <x:c r="A12" s="24" t="str">
        <x:v>EX0025</x:v>
      </x:c>
      <x:c r="B12" s="24" t="str">
        <x:v>Cable face pull</x:v>
      </x:c>
      <x:c r="C12" s="24" t="str">
        <x:v>Shoulder &amp; Chest</x:v>
      </x:c>
      <x:c r="D12" s="24" t="str">
        <x:v>Gym</x:v>
      </x:c>
      <x:c r="E12" s="24" t="str">
        <x:v>Isolation strength</x:v>
      </x:c>
      <x:c r="F12" s="24" t="str">
        <x:v>Rhomboid major; Rhomboid minor; Trapezius; Infraspinatus; Teres minor</x:v>
      </x:c>
      <x:c r="G12" s="24" t="str">
        <x:v>Deltoid</x:v>
      </x:c>
      <x:c r="H12" s="24" t="str">
        <x:v>Rectus abdominis; External oblique; Internal oblique; Transversus abdominis</x:v>
      </x:c>
      <x:c r="I12" s="24" t="str">
        <x:v>—</x:v>
      </x:c>
      <x:c r="J12" s="24" t="str">
        <x:v>Rhomboid major; Rhomboid minor; Trapezius; Infraspinatus; Teres minor; Deltoid; Rectus abdominis; External oblique; Internal oblique; Transversus abdominis</x:v>
      </x:c>
      <x:c r="K12" s="24" t="str">
        <x:v>Rotator cuff tendons; scapular retractor attachments</x:v>
      </x:c>
      <x:c r="L12" s="24" t="str">
        <x:v>Shoulder capsule and coracoclavicular/acromioclavicular ligaments support joint stability; NOT targeted for stretching</x:v>
      </x:c>
      <x:c r="M12" s="24" t="str">
        <x:v>Muscles: Rhomboid major; Rhomboid minor; Trapezius; Infraspinatus; Teres minor; Deltoid; Rectus abdominis; External oblique; Internal oblique; Transversus abdominis | Tendons/fascia: Rotator cuff tendons; scapular retractor attachments | Ligament context only: Shoulder capsule and coracoclavicular/acromioclavicular ligaments support joint stability; NOT targeted for stretching</x:v>
      </x:c>
      <x:c r="N12" s="24" t="str">
        <x:v>Rhomboid major; Rhomboid minor; Trapezius; Infraspinatus; Teres minor; Deltoid</x:v>
      </x:c>
      <x:c r="O12" s="24" t="str">
        <x:v>Pull rope toward face and rotate fists outward with trunk still.</x:v>
      </x:c>
      <x:c r="P12" s="24" t="str">
        <x:v>Cable station; rope</x:v>
      </x:c>
      <x:c r="Q12" s="24" t="str">
        <x:v>2–3 × 8–12 controlled reps</x:v>
      </x:c>
      <x:c r="R12" s="24" t="str">
        <x:v>Progress gradually; stop with sharp pain, dizziness, or numbness.</x:v>
      </x:c>
      <x:c r="S12" s="24" t="str">
        <x:v>https://orthoinfo.aaos.org/globalassets/pdfs/2024-rotator-cuff-and-shoulder-conditioning-program.pdf</x:v>
      </x:c>
      <x:c r="T12" s="24" t="str">
        <x:v>Anatomy-based mapping</x:v>
      </x:c>
    </x:row>
    <x:row r="13" ht="54" customHeight="1">
      <x:c r="A13" s="24" t="str">
        <x:v>EX0032</x:v>
      </x:c>
      <x:c r="B13" s="24" t="str">
        <x:v>Dumbbell pullover</x:v>
      </x:c>
      <x:c r="C13" s="24" t="str">
        <x:v>Shoulder &amp; Chest</x:v>
      </x:c>
      <x:c r="D13" s="24" t="str">
        <x:v>Gym</x:v>
      </x:c>
      <x:c r="E13" s="24" t="str">
        <x:v>Compound strength</x:v>
      </x:c>
      <x:c r="F13" s="24" t="str">
        <x:v>Latissimus dorsi; Pectoralis major</x:v>
      </x:c>
      <x:c r="G13" s="24" t="str">
        <x:v>Teres major; Triceps brachii lateral head; Triceps brachii long head; Triceps brachii medial head</x:v>
      </x:c>
      <x:c r="H13" s="24" t="str">
        <x:v>Rectus abdominis; External oblique; Internal oblique; Transversus abdominis; Infraspinatus; Subscapularis; Supraspinatus; Teres minor</x:v>
      </x:c>
      <x:c r="I13" s="24" t="str">
        <x:v>—</x:v>
      </x:c>
      <x:c r="J13" s="24" t="str">
        <x:v>Latissimus dorsi; Pectoralis major; Teres major; Triceps brachii lateral head; Triceps brachii long head; Triceps brachii medial head; Rectus abdominis; External oblique; Internal oblique; Transversus abdominis; Infraspinatus; Subscapularis; Supraspinatus; Teres minor</x:v>
      </x:c>
      <x:c r="K13" s="24" t="str">
        <x:v>Latissimus and pectoralis tendons</x:v>
      </x:c>
      <x:c r="L13" s="24" t="str">
        <x:v>Shoulder capsule and coracoclavicular/acromioclavicular ligaments support joint stability; NOT targeted for stretching</x:v>
      </x:c>
      <x:c r="M13" s="24" t="str">
        <x:v>Muscles: Latissimus dorsi; Pectoralis major; Teres major; Triceps brachii lateral head; Triceps brachii long head; Triceps brachii medial head; Rectus abdominis; External oblique; Internal oblique; Transversus abdominis; Infraspinatus; Subscapularis; Supraspinatus; Teres minor | Tendons/fascia: Latissimus and pectoralis tendons | Ligament context only: Shoulder capsule and coracoclavicular/acromioclavicular ligaments support joint stability; NOT targeted for stretching</x:v>
      </x:c>
      <x:c r="N13" s="24" t="str">
        <x:v>Latissimus dorsi; Pectoralis major; Teres major; Triceps brachii lateral head; Triceps brachii long head; Triceps brachii medial head</x:v>
      </x:c>
      <x:c r="O13" s="24" t="str">
        <x:v>Lie on bench; bring dumbbell back behind head only as far as shoulder motion allows.</x:v>
      </x:c>
      <x:c r="P13" s="24" t="str">
        <x:v>Bench; dumbbell</x:v>
      </x:c>
      <x:c r="Q13" s="24" t="str">
        <x:v>2–3 × 8–12 controlled reps</x:v>
      </x:c>
      <x:c r="R13" s="24" t="str">
        <x:v>Progress gradually; stop with sharp pain, dizziness, or numbness.</x:v>
      </x:c>
      <x:c r="S13" s="24" t="str">
        <x:v>https://orthoinfo.aaos.org/globalassets/pdfs/2024-rotator-cuff-and-shoulder-conditioning-program.pdf</x:v>
      </x:c>
      <x:c r="T13" s="24" t="str">
        <x:v>Anatomy-based mapping</x:v>
      </x:c>
    </x:row>
    <x:row r="14" ht="54" customHeight="1">
      <x:c r="A14" s="24" t="str">
        <x:v>EX0034</x:v>
      </x:c>
      <x:c r="B14" s="24" t="str">
        <x:v>Dumbbell shrug</x:v>
      </x:c>
      <x:c r="C14" s="24" t="str">
        <x:v>Shoulder &amp; Chest</x:v>
      </x:c>
      <x:c r="D14" s="24" t="str">
        <x:v>Gym</x:v>
      </x:c>
      <x:c r="E14" s="24" t="str">
        <x:v>Isolation strength</x:v>
      </x:c>
      <x:c r="F14" s="24" t="str">
        <x:v>Trapezius; Levator scapulae</x:v>
      </x:c>
      <x:c r="G14" s="24" t="str">
        <x:v>—</x:v>
      </x:c>
      <x:c r="H14" s="24" t="str">
        <x:v>Infraspinatus; Subscapularis; Supraspinatus; Teres minor</x:v>
      </x:c>
      <x:c r="I14" s="24" t="str">
        <x:v>—</x:v>
      </x:c>
      <x:c r="J14" s="24" t="str">
        <x:v>Trapezius; Levator scapulae; Infraspinatus; Subscapularis; Supraspinatus; Teres minor</x:v>
      </x:c>
      <x:c r="K14" s="24" t="str">
        <x:v>Trapezius attachments</x:v>
      </x:c>
      <x:c r="L14" s="24" t="str">
        <x:v>Shoulder capsule and coracoclavicular/acromioclavicular ligaments support joint stability; NOT targeted for stretching</x:v>
      </x:c>
      <x:c r="M14" s="24" t="str">
        <x:v>Muscles: Trapezius; Levator scapulae; Infraspinatus; Subscapularis; Supraspinatus; Teres minor | Tendons/fascia: Trapezius attachments | Ligament context only: Shoulder capsule and coracoclavicular/acromioclavicular ligaments support joint stability; NOT targeted for stretching</x:v>
      </x:c>
      <x:c r="N14" s="24" t="str">
        <x:v>Trapezius; Levator scapulae</x:v>
      </x:c>
      <x:c r="O14" s="24" t="str">
        <x:v>Lift shoulders straight upward without neck rolling.</x:v>
      </x:c>
      <x:c r="P14" s="24" t="str">
        <x:v>Dumbbells</x:v>
      </x:c>
      <x:c r="Q14" s="24" t="str">
        <x:v>2–3 × 8–12 controlled reps</x:v>
      </x:c>
      <x:c r="R14" s="24" t="str">
        <x:v>Progress gradually; stop with sharp pain, dizziness, or numbness.</x:v>
      </x:c>
      <x:c r="S14" s="24" t="str">
        <x:v>https://orthoinfo.aaos.org/globalassets/pdfs/2024-rotator-cuff-and-shoulder-conditioning-program.pdf</x:v>
      </x:c>
      <x:c r="T14" s="24" t="str">
        <x:v>Anatomy-based mapping</x:v>
      </x:c>
    </x:row>
    <x:row r="15" ht="54" customHeight="1">
      <x:c r="A15" s="24" t="str">
        <x:v>EX0036</x:v>
      </x:c>
      <x:c r="B15" s="24" t="str">
        <x:v>Bench-supported reverse fly</x:v>
      </x:c>
      <x:c r="C15" s="24" t="str">
        <x:v>Shoulder &amp; Chest</x:v>
      </x:c>
      <x:c r="D15" s="24" t="str">
        <x:v>Gym</x:v>
      </x:c>
      <x:c r="E15" s="24" t="str">
        <x:v>Isolation strength</x:v>
      </x:c>
      <x:c r="F15" s="24" t="str">
        <x:v>Deltoid; Rhomboid major; Rhomboid minor; Trapezius</x:v>
      </x:c>
      <x:c r="G15" s="24" t="str">
        <x:v>Infraspinatus; Teres minor</x:v>
      </x:c>
      <x:c r="H15" s="24" t="str">
        <x:v>Subscapularis; Supraspinatus</x:v>
      </x:c>
      <x:c r="I15" s="24" t="str">
        <x:v>—</x:v>
      </x:c>
      <x:c r="J15" s="24" t="str">
        <x:v>Deltoid; Rhomboid major; Rhomboid minor; Trapezius; Infraspinatus; Teres minor; Subscapularis; Supraspinatus</x:v>
      </x:c>
      <x:c r="K15" s="24" t="str">
        <x:v>Posterior deltoid, rhomboid attachments</x:v>
      </x:c>
      <x:c r="L15" s="24" t="str">
        <x:v>Shoulder capsule and coracoclavicular/acromioclavicular ligaments support joint stability; NOT targeted for stretching</x:v>
      </x:c>
      <x:c r="M15" s="24" t="str">
        <x:v>Muscles: Deltoid; Rhomboid major; Rhomboid minor; Trapezius; Infraspinatus; Teres minor; Subscapularis; Supraspinatus | Tendons/fascia: Posterior deltoid, rhomboid attachments | Ligament context only: Shoulder capsule and coracoclavicular/acromioclavicular ligaments support joint stability; NOT targeted for stretching</x:v>
      </x:c>
      <x:c r="N15" s="24" t="str">
        <x:v>Deltoid; Rhomboid major; Rhomboid minor; Trapezius; Infraspinatus; Teres minor</x:v>
      </x:c>
      <x:c r="O15" s="24" t="str">
        <x:v>Chest supported; open dumbbells out laterally with soft elbows.</x:v>
      </x:c>
      <x:c r="P15" s="24" t="str">
        <x:v>Incline bench; dumbbells</x:v>
      </x:c>
      <x:c r="Q15" s="24" t="str">
        <x:v>2–3 × 8–12 controlled reps</x:v>
      </x:c>
      <x:c r="R15" s="24" t="str">
        <x:v>Progress gradually; stop with sharp pain, dizziness, or numbness.</x:v>
      </x:c>
      <x:c r="S15" s="24" t="str">
        <x:v>https://orthoinfo.aaos.org/globalassets/pdfs/2024-rotator-cuff-and-shoulder-conditioning-program.pdf</x:v>
      </x:c>
      <x:c r="T15" s="24" t="str">
        <x:v>Anatomy-based mapping</x:v>
      </x:c>
    </x:row>
    <x:row r="16" ht="54" customHeight="1">
      <x:c r="A16" s="24" t="str">
        <x:v>EX0046</x:v>
      </x:c>
      <x:c r="B16" s="24" t="str">
        <x:v>Concentration curl</x:v>
      </x:c>
      <x:c r="C16" s="24" t="str">
        <x:v>Arm</x:v>
      </x:c>
      <x:c r="D16" s="24" t="str">
        <x:v>Gym</x:v>
      </x:c>
      <x:c r="E16" s="24" t="str">
        <x:v>Isolation strength</x:v>
      </x:c>
      <x:c r="F16" s="24" t="str">
        <x:v>Biceps brachii long head; Biceps brachii short head; Brachialis</x:v>
      </x:c>
      <x:c r="G16" s="24" t="str">
        <x:v>Brachioradialis</x:v>
      </x:c>
      <x:c r="H16" s="24" t="str">
        <x:v>—</x:v>
      </x:c>
      <x:c r="I16" s="24" t="str">
        <x:v>—</x:v>
      </x:c>
      <x:c r="J16" s="24" t="str">
        <x:v>Biceps brachii long head; Biceps brachii short head; Brachialis; Brachioradialis</x:v>
      </x:c>
      <x:c r="K16" s="24" t="str">
        <x:v>Atlas-listed tendon/aponeurosis examples: Long-head proximal tendon; distal biceps tendon; bicipital aponeurosis; Conjoined proximal tendon; common distal biceps tendon; Brachialis insertion tendon; Distal brachioradialis tendon</x:v>
      </x:c>
      <x:c r="L16" s="24" t="str">
        <x:v>Elbow collateral ligaments stabilize elbow; NOT a stretch target</x:v>
      </x:c>
      <x:c r="M16" s="24" t="str">
        <x:v>Muscles: Biceps brachii long head; Biceps brachii short head; Brachialis; Brachioradialis | Tendons/fascia: Atlas-listed tendon/aponeurosis examples: Long-head proximal tendon; distal biceps tendon; bicipital aponeurosis; Conjoined proximal tendon; common distal biceps tendon; Brachialis insertion tendon; Distal brachioradialis tendon | Ligament context only: Elbow collateral ligaments stabilize elbow; NOT a stretch target</x:v>
      </x:c>
      <x:c r="N16" s="24" t="str">
        <x:v>Biceps brachii long head; Biceps brachii short head; Brachialis; Brachioradialis</x:v>
      </x:c>
      <x:c r="O16" s="24" t="str">
        <x:v>Support upper arm against inner thigh; curl dumbbell slowly.</x:v>
      </x:c>
      <x:c r="P16" s="24" t="str">
        <x:v>Dumbbell</x:v>
      </x:c>
      <x:c r="Q16" s="24" t="str">
        <x:v>2–3 × 8–12 controlled reps</x:v>
      </x:c>
      <x:c r="R16" s="24" t="str">
        <x:v>Progress gradually; stop with sharp pain, dizziness, or numbness.</x:v>
      </x:c>
      <x:c r="S16" s="24" t="str">
        <x:v>https://www.acsm.org/education-resources/trending-topics-resources/physical-activity-guidelines</x:v>
      </x:c>
      <x:c r="T16" s="24" t="str">
        <x:v>Anatomy-based mapping</x:v>
      </x:c>
    </x:row>
    <x:row r="17" ht="54" customHeight="1">
      <x:c r="A17" s="24" t="str">
        <x:v>EX0047</x:v>
      </x:c>
      <x:c r="B17" s="24" t="str">
        <x:v>Incline dumbbell biceps curl</x:v>
      </x:c>
      <x:c r="C17" s="24" t="str">
        <x:v>Arm</x:v>
      </x:c>
      <x:c r="D17" s="24" t="str">
        <x:v>Gym</x:v>
      </x:c>
      <x:c r="E17" s="24" t="str">
        <x:v>Isolation strength</x:v>
      </x:c>
      <x:c r="F17" s="24" t="str">
        <x:v>Biceps brachii long head; Biceps brachii short head; Brachialis</x:v>
      </x:c>
      <x:c r="G17" s="24" t="str">
        <x:v>Brachioradialis</x:v>
      </x:c>
      <x:c r="H17" s="24" t="str">
        <x:v>—</x:v>
      </x:c>
      <x:c r="I17" s="24" t="str">
        <x:v>—</x:v>
      </x:c>
      <x:c r="J17" s="24" t="str">
        <x:v>Biceps brachii long head; Biceps brachii short head; Brachialis; Brachioradialis</x:v>
      </x:c>
      <x:c r="K17" s="24" t="str">
        <x:v>Atlas-listed tendon/aponeurosis examples: Long-head proximal tendon; distal biceps tendon; bicipital aponeurosis; Conjoined proximal tendon; common distal biceps tendon; Brachialis insertion tendon; Distal brachioradialis tendon</x:v>
      </x:c>
      <x:c r="L17" s="24" t="str">
        <x:v>Elbow collateral ligaments stabilize elbow; NOT a stretch target</x:v>
      </x:c>
      <x:c r="M17" s="24" t="str">
        <x:v>Muscles: Biceps brachii long head; Biceps brachii short head; Brachialis; Brachioradialis | Tendons/fascia: Atlas-listed tendon/aponeurosis examples: Long-head proximal tendon; distal biceps tendon; bicipital aponeurosis; Conjoined proximal tendon; common distal biceps tendon; Brachialis insertion tendon; Distal brachioradialis tendon | Ligament context only: Elbow collateral ligaments stabilize elbow; NOT a stretch target</x:v>
      </x:c>
      <x:c r="N17" s="24" t="str">
        <x:v>Biceps brachii long head; Biceps brachii short head; Brachialis; Brachioradialis</x:v>
      </x:c>
      <x:c r="O17" s="24" t="str">
        <x:v>Sit on inclined bench with arms hanging slightly behind body; curl.</x:v>
      </x:c>
      <x:c r="P17" s="24" t="str">
        <x:v>Bench; dumbbells</x:v>
      </x:c>
      <x:c r="Q17" s="24" t="str">
        <x:v>2–3 × 8–12 controlled reps</x:v>
      </x:c>
      <x:c r="R17" s="24" t="str">
        <x:v>Progress gradually; stop with sharp pain, dizziness, or numbness.</x:v>
      </x:c>
      <x:c r="S17" s="24" t="str">
        <x:v>https://www.acsm.org/education-resources/trending-topics-resources/physical-activity-guidelines</x:v>
      </x:c>
      <x:c r="T17" s="24" t="str">
        <x:v>Anatomy-based mapping</x:v>
      </x:c>
    </x:row>
    <x:row r="18" ht="54" customHeight="1">
      <x:c r="A18" s="24" t="str">
        <x:v>EX0049</x:v>
      </x:c>
      <x:c r="B18" s="24" t="str">
        <x:v>Hammer curl dumbbells</x:v>
      </x:c>
      <x:c r="C18" s="24" t="str">
        <x:v>Arm</x:v>
      </x:c>
      <x:c r="D18" s="24" t="str">
        <x:v>Gym</x:v>
      </x:c>
      <x:c r="E18" s="24" t="str">
        <x:v>Isolation strength</x:v>
      </x:c>
      <x:c r="F18" s="24" t="str">
        <x:v>Brachioradialis; Brachialis; Biceps brachii long head; Biceps brachii short head</x:v>
      </x:c>
      <x:c r="G18" s="24" t="str">
        <x:v>—</x:v>
      </x:c>
      <x:c r="H18" s="24" t="str">
        <x:v>Flexor carpi radialis; Flexor carpi ulnaris humeral head; Flexor carpi ulnaris ulnar head; Palmaris longus</x:v>
      </x:c>
      <x:c r="I18" s="24" t="str">
        <x:v>—</x:v>
      </x:c>
      <x:c r="J18" s="24" t="str">
        <x:v>Brachioradialis; Brachialis; Biceps brachii long head; Biceps brachii short head; Flexor carpi radialis; Flexor carpi ulnaris humeral head; Flexor carpi ulnaris ulnar head; Palmaris longus</x:v>
      </x:c>
      <x:c r="K18" s="24" t="str">
        <x:v>Atlas-listed tendon/aponeurosis examples: Distal brachioradialis tendon; Brachialis insertion tendon; Long-head proximal tendon; distal biceps tendon; bicipital aponeurosis; Conjoined proximal tendon; common distal biceps tendon</x:v>
      </x:c>
      <x:c r="L18" s="24" t="str">
        <x:v>Elbow collateral ligaments stabilize elbow; NOT a stretch target</x:v>
      </x:c>
      <x:c r="M18" s="24" t="str">
        <x:v>Muscles: Brachioradialis; Brachialis; Biceps brachii long head; Biceps brachii short head; Flexor carpi radialis; Flexor carpi ulnaris humeral head; Flexor carpi ulnaris ulnar head; Palmaris longus | Tendons/fascia: Atlas-listed tendon/aponeurosis examples: Distal brachioradialis tendon; Brachialis insertion tendon; Long-head proximal tendon; distal biceps tendon; bicipital aponeurosis; Conjoined proximal tendon; common distal biceps tendon | Ligament context only: Elbow collateral ligaments stabilize elbow; NOT a stretch target</x:v>
      </x:c>
      <x:c r="N18" s="24" t="str">
        <x:v>Brachioradialis; Brachialis; Biceps brachii long head; Biceps brachii short head</x:v>
      </x:c>
      <x:c r="O18" s="24" t="str">
        <x:v>Curl with palms facing in; avoid swinging trunk.</x:v>
      </x:c>
      <x:c r="P18" s="24" t="str">
        <x:v>Dumbbells</x:v>
      </x:c>
      <x:c r="Q18" s="24" t="str">
        <x:v>2–3 × 8–12 controlled reps</x:v>
      </x:c>
      <x:c r="R18" s="24" t="str">
        <x:v>Progress gradually; stop with sharp pain, dizziness, or numbness.</x:v>
      </x:c>
      <x:c r="S18" s="24" t="str">
        <x:v>https://www.acsm.org/education-resources/trending-topics-resources/physical-activity-guidelines</x:v>
      </x:c>
      <x:c r="T18" s="24" t="str">
        <x:v>Anatomy-based mapping</x:v>
      </x:c>
    </x:row>
    <x:row r="19" ht="54" customHeight="1">
      <x:c r="A19" s="24" t="str">
        <x:v>EX0051</x:v>
      </x:c>
      <x:c r="B19" s="24" t="str">
        <x:v>Preacher curl</x:v>
      </x:c>
      <x:c r="C19" s="24" t="str">
        <x:v>Arm</x:v>
      </x:c>
      <x:c r="D19" s="24" t="str">
        <x:v>Gym</x:v>
      </x:c>
      <x:c r="E19" s="24" t="str">
        <x:v>Isolation strength</x:v>
      </x:c>
      <x:c r="F19" s="24" t="str">
        <x:v>Biceps brachii long head; Biceps brachii short head; Brachialis</x:v>
      </x:c>
      <x:c r="G19" s="24" t="str">
        <x:v>Brachioradialis</x:v>
      </x:c>
      <x:c r="H19" s="24" t="str">
        <x:v>—</x:v>
      </x:c>
      <x:c r="I19" s="24" t="str">
        <x:v>—</x:v>
      </x:c>
      <x:c r="J19" s="24" t="str">
        <x:v>Biceps brachii long head; Biceps brachii short head; Brachialis; Brachioradialis</x:v>
      </x:c>
      <x:c r="K19" s="24" t="str">
        <x:v>Atlas-listed tendon/aponeurosis examples: Long-head proximal tendon; distal biceps tendon; bicipital aponeurosis; Conjoined proximal tendon; common distal biceps tendon; Brachialis insertion tendon; Distal brachioradialis tendon</x:v>
      </x:c>
      <x:c r="L19" s="24" t="str">
        <x:v>Elbow collateral ligaments stabilize elbow; NOT a stretch target</x:v>
      </x:c>
      <x:c r="M19" s="24" t="str">
        <x:v>Muscles: Biceps brachii long head; Biceps brachii short head; Brachialis; Brachioradialis | Tendons/fascia: Atlas-listed tendon/aponeurosis examples: Long-head proximal tendon; distal biceps tendon; bicipital aponeurosis; Conjoined proximal tendon; common distal biceps tendon; Brachialis insertion tendon; Distal brachioradialis tendon | Ligament context only: Elbow collateral ligaments stabilize elbow; NOT a stretch target</x:v>
      </x:c>
      <x:c r="N19" s="24" t="str">
        <x:v>Biceps brachii long head; Biceps brachii short head; Brachialis; Brachioradialis</x:v>
      </x:c>
      <x:c r="O19" s="24" t="str">
        <x:v>Support upper arms on sloped pad, flex elbows without locking out hard.</x:v>
      </x:c>
      <x:c r="P19" s="24" t="str">
        <x:v>Preacher bench; dumbbell</x:v>
      </x:c>
      <x:c r="Q19" s="24" t="str">
        <x:v>2–3 × 8–12 controlled reps</x:v>
      </x:c>
      <x:c r="R19" s="24" t="str">
        <x:v>Progress gradually; stop with sharp pain, dizziness, or numbness.</x:v>
      </x:c>
      <x:c r="S19" s="24" t="str">
        <x:v>https://www.acsm.org/education-resources/trending-topics-resources/physical-activity-guidelines</x:v>
      </x:c>
      <x:c r="T19" s="24" t="str">
        <x:v>Anatomy-based mapping</x:v>
      </x:c>
    </x:row>
    <x:row r="20" ht="54" customHeight="1">
      <x:c r="A20" s="24" t="str">
        <x:v>EX0054</x:v>
      </x:c>
      <x:c r="B20" s="24" t="str">
        <x:v>Cable triceps press-down</x:v>
      </x:c>
      <x:c r="C20" s="24" t="str">
        <x:v>Arm</x:v>
      </x:c>
      <x:c r="D20" s="24" t="str">
        <x:v>Gym</x:v>
      </x:c>
      <x:c r="E20" s="24" t="str">
        <x:v>Isolation strength</x:v>
      </x:c>
      <x:c r="F20" s="24" t="str">
        <x:v>Triceps brachii lateral head; Triceps brachii long head; Triceps brachii medial head</x:v>
      </x:c>
      <x:c r="G20" s="24" t="str">
        <x:v>Anconeus</x:v>
      </x:c>
      <x:c r="H20" s="24" t="str">
        <x:v>—</x:v>
      </x:c>
      <x:c r="I20" s="24" t="str">
        <x:v>—</x:v>
      </x:c>
      <x:c r="J20" s="24" t="str">
        <x:v>Triceps brachii lateral head; Triceps brachii long head; Triceps brachii medial head; Anconeus</x:v>
      </x:c>
      <x:c r="K20" s="24" t="str">
        <x:v>Triceps tendon</x:v>
      </x:c>
      <x:c r="L20" s="24" t="str">
        <x:v>Elbow collateral ligaments stabilize elbow; NOT a stretch target</x:v>
      </x:c>
      <x:c r="M20" s="24" t="str">
        <x:v>Muscles: Triceps brachii lateral head; Triceps brachii long head; Triceps brachii medial head; Anconeus | Tendons/fascia: Triceps tendon | Ligament context only: Elbow collateral ligaments stabilize elbow; NOT a stretch target</x:v>
      </x:c>
      <x:c r="N20" s="24" t="str">
        <x:v>Triceps brachii lateral head; Triceps brachii long head; Triceps brachii medial head; Anconeus</x:v>
      </x:c>
      <x:c r="O20" s="24" t="str">
        <x:v>Extend elbows against cable while upper arms stay near sides.</x:v>
      </x:c>
      <x:c r="P20" s="24" t="str">
        <x:v>Cable; rope</x:v>
      </x:c>
      <x:c r="Q20" s="24" t="str">
        <x:v>2–3 × 8–12 controlled reps</x:v>
      </x:c>
      <x:c r="R20" s="24" t="str">
        <x:v>Progress gradually; stop with sharp pain, dizziness, or numbness.</x:v>
      </x:c>
      <x:c r="S20" s="24" t="str">
        <x:v>https://www.acsm.org/education-resources/trending-topics-resources/physical-activity-guidelines</x:v>
      </x:c>
      <x:c r="T20" s="24" t="str">
        <x:v>Anatomy-based mapping</x:v>
      </x:c>
    </x:row>
    <x:row r="21" ht="54" customHeight="1">
      <x:c r="A21" s="24" t="str">
        <x:v>EX0055</x:v>
      </x:c>
      <x:c r="B21" s="24" t="str">
        <x:v>Lying dumbbell skull crusher</x:v>
      </x:c>
      <x:c r="C21" s="24" t="str">
        <x:v>Arm</x:v>
      </x:c>
      <x:c r="D21" s="24" t="str">
        <x:v>Gym</x:v>
      </x:c>
      <x:c r="E21" s="24" t="str">
        <x:v>Isolation strength</x:v>
      </x:c>
      <x:c r="F21" s="24" t="str">
        <x:v>Triceps brachii lateral head; Triceps brachii long head; Triceps brachii medial head</x:v>
      </x:c>
      <x:c r="G21" s="24" t="str">
        <x:v>Anconeus</x:v>
      </x:c>
      <x:c r="H21" s="24" t="str">
        <x:v>Infraspinatus; Subscapularis; Supraspinatus; Teres minor</x:v>
      </x:c>
      <x:c r="I21" s="24" t="str">
        <x:v>—</x:v>
      </x:c>
      <x:c r="J21" s="24" t="str">
        <x:v>Triceps brachii lateral head; Triceps brachii long head; Triceps brachii medial head; Anconeus; Infraspinatus; Subscapularis; Supraspinatus; Teres minor</x:v>
      </x:c>
      <x:c r="K21" s="24" t="str">
        <x:v>Triceps tendon</x:v>
      </x:c>
      <x:c r="L21" s="24" t="str">
        <x:v>Elbow collateral ligaments stabilize elbow; NOT a stretch target</x:v>
      </x:c>
      <x:c r="M21" s="24" t="str">
        <x:v>Muscles: Triceps brachii lateral head; Triceps brachii long head; Triceps brachii medial head; Anconeus; Infraspinatus; Subscapularis; Supraspinatus; Teres minor | Tendons/fascia: Triceps tendon | Ligament context only: Elbow collateral ligaments stabilize elbow; NOT a stretch target</x:v>
      </x:c>
      <x:c r="N21" s="24" t="str">
        <x:v>Triceps brachii lateral head; Triceps brachii long head; Triceps brachii medial head; Anconeus</x:v>
      </x:c>
      <x:c r="O21" s="24" t="str">
        <x:v>Lower dumbbells beside head by bending elbows; extend without shoulder swing.</x:v>
      </x:c>
      <x:c r="P21" s="24" t="str">
        <x:v>Bench; dumbbells</x:v>
      </x:c>
      <x:c r="Q21" s="24" t="str">
        <x:v>2–3 × 8–12 controlled reps</x:v>
      </x:c>
      <x:c r="R21" s="24" t="str">
        <x:v>Progress gradually; stop with sharp pain, dizziness, or numbness.</x:v>
      </x:c>
      <x:c r="S21" s="24" t="str">
        <x:v>https://www.acsm.org/education-resources/trending-topics-resources/physical-activity-guidelines</x:v>
      </x:c>
      <x:c r="T21" s="24" t="str">
        <x:v>Anatomy-based mapping</x:v>
      </x:c>
    </x:row>
    <x:row r="22" ht="54" customHeight="1">
      <x:c r="A22" s="24" t="str">
        <x:v>EX0062</x:v>
      </x:c>
      <x:c r="B22" s="24" t="str">
        <x:v>Dumbbell wrist curl</x:v>
      </x:c>
      <x:c r="C22" s="24" t="str">
        <x:v>Arm</x:v>
      </x:c>
      <x:c r="D22" s="24" t="str">
        <x:v>Gym</x:v>
      </x:c>
      <x:c r="E22" s="24" t="str">
        <x:v>Isolation strength</x:v>
      </x:c>
      <x:c r="F22" s="24" t="str">
        <x:v>Flexor carpi radialis; Flexor carpi ulnaris humeral head; Flexor carpi ulnaris ulnar head; Palmaris longus</x:v>
      </x:c>
      <x:c r="G22" s="24" t="str">
        <x:v>Flexor digitorum superficialis humeroulnar head; Flexor digitorum superficialis radial head; Flexor digitorum profundus lateral portion (digits 2-3); Flexor digitorum profundus medial portion (digits 4-5)</x:v>
      </x:c>
      <x:c r="H22" s="24" t="str">
        <x:v>—</x:v>
      </x:c>
      <x:c r="I22" s="24" t="str">
        <x:v>—</x:v>
      </x:c>
      <x:c r="J22" s="24" t="str">
        <x:v>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</x:v>
      </x:c>
      <x:c r="K22" s="24" t="str">
        <x:v>Common flexor tendon; FCR and FCU tendons</x:v>
      </x:c>
      <x:c r="L22" s="24" t="str">
        <x:v>Elbow collateral ligaments stabilize elbow; NOT a stretch target</x:v>
      </x:c>
      <x:c r="M22" s="24" t="str">
        <x:v>Muscles: 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 | Tendons/fascia: Common flexor tendon; FCR and FCU tendons | Ligament context only: Elbow collateral ligaments stabilize elbow; NOT a stretch target</x:v>
      </x:c>
      <x:c r="N22" s="24" t="str">
        <x:v>Flexor carpi radialis; Flexor carpi ulnaris humeral head; Flexor carpi ulnaris ulnar head; Palmaris longus; Flexor digitorum superficialis humeroulnar head; Flexor digitorum superficialis radial head; Flexor digitorum profundus lateral portion (digits 2-3); Flexor digitorum profundus medial portion (digits 4-5)</x:v>
      </x:c>
      <x:c r="O22" s="24" t="str">
        <x:v>Forearm supported palm up; curl wrist gently.</x:v>
      </x:c>
      <x:c r="P22" s="24" t="str">
        <x:v>Light dumbbell</x:v>
      </x:c>
      <x:c r="Q22" s="24" t="str">
        <x:v>2–3 × 8–12 controlled reps</x:v>
      </x:c>
      <x:c r="R22" s="24" t="str">
        <x:v>Progress gradually; stop with sharp pain, dizziness, or numbness.</x:v>
      </x:c>
      <x:c r="S22" s="24" t="str">
        <x:v>https://www.acsm.org/education-resources/trending-topics-resources/physical-activity-guidelines</x:v>
      </x:c>
      <x:c r="T22" s="24" t="str">
        <x:v>Anatomy-based mapping</x:v>
      </x:c>
    </x:row>
    <x:row r="23" ht="54" customHeight="1">
      <x:c r="A23" s="24" t="str">
        <x:v>EX0063</x:v>
      </x:c>
      <x:c r="B23" s="24" t="str">
        <x:v>Dumbbell reverse wrist curl</x:v>
      </x:c>
      <x:c r="C23" s="24" t="str">
        <x:v>Arm</x:v>
      </x:c>
      <x:c r="D23" s="24" t="str">
        <x:v>Gym</x:v>
      </x:c>
      <x:c r="E23" s="24" t="str">
        <x:v>Isolation strength</x:v>
      </x:c>
      <x:c r="F23" s="24" t="str">
        <x:v>Extensor carpi ulnaris; Extensor carpi radialis brevis; Extensor carpi radialis longus</x:v>
      </x:c>
      <x:c r="G23" s="24" t="str">
        <x:v>Extensor digitorum; Extensor indicis; Extensor digiti minimi</x:v>
      </x:c>
      <x:c r="H23" s="24" t="str">
        <x:v>—</x:v>
      </x:c>
      <x:c r="I23" s="24" t="str">
        <x:v>—</x:v>
      </x:c>
      <x:c r="J23" s="24" t="str">
        <x:v>Extensor carpi ulnaris; Extensor carpi radialis brevis; Extensor carpi radialis longus; Extensor digitorum; Extensor indicis; Extensor digiti minimi</x:v>
      </x:c>
      <x:c r="K23" s="24" t="str">
        <x:v>Common extensor tendon; ECRL/ECRB/ECU tendons</x:v>
      </x:c>
      <x:c r="L23" s="24" t="str">
        <x:v>Elbow collateral ligaments stabilize elbow; NOT a stretch target</x:v>
      </x:c>
      <x:c r="M23" s="24" t="str">
        <x:v>Muscles: Extensor carpi ulnaris; Extensor carpi radialis brevis; Extensor carpi radialis longus; Extensor digitorum; Extensor indicis; Extensor digiti minimi | Tendons/fascia: Common extensor tendon; ECRL/ECRB/ECU tendons | Ligament context only: Elbow collateral ligaments stabilize elbow; NOT a stretch target</x:v>
      </x:c>
      <x:c r="N23" s="24" t="str">
        <x:v>Extensor carpi ulnaris; Extensor carpi radialis brevis; Extensor carpi radialis longus; Extensor digitorum; Extensor indicis; Extensor digiti minimi</x:v>
      </x:c>
      <x:c r="O23" s="24" t="str">
        <x:v>Forearm supported palm down; extend wrist slowly.</x:v>
      </x:c>
      <x:c r="P23" s="24" t="str">
        <x:v>Light dumbbell</x:v>
      </x:c>
      <x:c r="Q23" s="24" t="str">
        <x:v>2–3 × 8–12 controlled reps</x:v>
      </x:c>
      <x:c r="R23" s="24" t="str">
        <x:v>Progress gradually; stop with sharp pain, dizziness, or numbness.</x:v>
      </x:c>
      <x:c r="S23" s="24" t="str">
        <x:v>https://www.acsm.org/education-resources/trending-topics-resources/physical-activity-guidelines</x:v>
      </x:c>
      <x:c r="T23" s="24" t="str">
        <x:v>Anatomy-based mapping</x:v>
      </x:c>
    </x:row>
    <x:row r="24" ht="54" customHeight="1">
      <x:c r="A24" s="24" t="str">
        <x:v>EX0096</x:v>
      </x:c>
      <x:c r="B24" s="24" t="str">
        <x:v>Finger resistance putty extension</x:v>
      </x:c>
      <x:c r="C24" s="24" t="str">
        <x:v>Hand &amp; Fingers</x:v>
      </x:c>
      <x:c r="D24" s="24" t="str">
        <x:v>Gym</x:v>
      </x:c>
      <x:c r="E24" s="24" t="str">
        <x:v>Isolation strength</x:v>
      </x:c>
      <x:c r="F24" s="24" t="str">
        <x:v>Extensor digitorum; Extensor indicis; Extensor digiti minimi; Lumbrical 1 (index); Lumbrical 2 (middle); Lumbrical 3 (ring); Lumbrical 4 (little)</x:v>
      </x:c>
      <x:c r="G24" s="24" t="str">
        <x:v>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H24" s="24" t="str">
        <x:v>—</x:v>
      </x:c>
      <x:c r="I24" s="24" t="str">
        <x:v>—</x:v>
      </x:c>
      <x:c r="J24" s="24" t="str">
        <x:v>Extensor digitorum; Extensor indicis; Extensor digiti minimi;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K24" s="24" t="str">
        <x:v>Extensor tendons</x:v>
      </x:c>
      <x:c r="L24" s="24" t="str">
        <x:v>Digital collateral ligaments, volar plates and flexor tendon pulleys protect joints/tendons; NOT stretch targets</x:v>
      </x:c>
      <x:c r="M24" s="24" t="str">
        <x:v>Muscles: Extensor digitorum; Extensor indicis; Extensor digiti minimi;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 | Tendons/fascia: Extensor tendons | Ligament context only: Digital collateral ligaments, volar plates and flexor tendon pulleys protect joints/tendons; NOT stretch targets</x:v>
      </x:c>
      <x:c r="N24" s="24" t="str">
        <x:v>Extensor digitorum; Extensor indicis; Extensor digiti minimi;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O24" s="24" t="str">
        <x:v>Open fingers slowly in therapy putty with minimal force.</x:v>
      </x:c>
      <x:c r="P24" s="24" t="str">
        <x:v>Therapy putty</x:v>
      </x:c>
      <x:c r="Q24" s="24" t="str">
        <x:v>2–3 × 8–12 controlled reps</x:v>
      </x:c>
      <x:c r="R24" s="24" t="str">
        <x:v>Progress gradually; stop with sharp pain, dizziness, or numbness.</x:v>
      </x:c>
      <x:c r="S24" s="24" t="str">
        <x:v>https://www.acsm.org/education-resources/trending-topics-resources/physical-activity-guidelines</x:v>
      </x:c>
      <x:c r="T24" s="24" t="str">
        <x:v>Anatomy-based mapping</x:v>
      </x:c>
    </x:row>
    <x:row r="25" ht="54" customHeight="1">
      <x:c r="A25" s="24" t="str">
        <x:v>EX0097</x:v>
      </x:c>
      <x:c r="B25" s="24" t="str">
        <x:v>Forearm farmer carry with dumbbells</x:v>
      </x:c>
      <x:c r="C25" s="24" t="str">
        <x:v>Hand &amp; Fingers</x:v>
      </x:c>
      <x:c r="D25" s="24" t="str">
        <x:v>Gym</x:v>
      </x:c>
      <x:c r="E25" s="24" t="str">
        <x:v>Compound strength</x:v>
      </x:c>
      <x:c r="F25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carpi radialis; Flexor carpi ulnaris humeral head; Flexor carpi ulnaris ulnar head; Palmaris longus</x:v>
      </x:c>
      <x:c r="G25" s="24" t="str">
        <x:v>Trapezius</x:v>
      </x:c>
      <x:c r="H25" s="24" t="str">
        <x:v>Rectus abdominis; External oblique; Internal oblique; Transversus abdominis; Rhomboid major; Rhomboid minor</x:v>
      </x:c>
      <x:c r="I25" s="24" t="str">
        <x:v>—</x:v>
      </x:c>
      <x:c r="J25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carpi radialis; Flexor carpi ulnaris humeral head; Flexor carpi ulnaris ulnar head; Palmaris longus; Trapezius; Rectus abdominis; External oblique; Internal oblique; Transversus abdominis; Rhomboid major; Rhomboid minor</x:v>
      </x:c>
      <x:c r="K25" s="24" t="str">
        <x:v>Finger flexor tendons; common flexor tendon</x:v>
      </x:c>
      <x:c r="L25" s="24" t="str">
        <x:v>Digital collateral ligaments, volar plates and flexor tendon pulleys protect joints/tendons; NOT stretch targets</x:v>
      </x:c>
      <x:c r="M25" s="24" t="str">
        <x:v>Muscles: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carpi radialis; Flexor carpi ulnaris humeral head; Flexor carpi ulnaris ulnar head; Palmaris longus; Trapezius; Rectus abdominis; External oblique; Internal oblique; Transversus abdominis; Rhomboid major; Rhomboid minor | Tendons/fascia: Finger flexor tendons; common flexor tendon | Ligament context only: Digital collateral ligaments, volar plates and flexor tendon pulleys protect joints/tendons; NOT stretch targets</x:v>
      </x:c>
      <x:c r="N25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Flexor carpi radialis; Flexor carpi ulnaris humeral head; Flexor carpi ulnaris ulnar head; Palmaris longus; Trapezius</x:v>
      </x:c>
      <x:c r="O25" s="24" t="str">
        <x:v>Carry dumbbells with straight wrists and shoulders comfortably set.</x:v>
      </x:c>
      <x:c r="P25" s="24" t="str">
        <x:v>Dumbbells</x:v>
      </x:c>
      <x:c r="Q25" s="24" t="str">
        <x:v>2–3 × 8–12 controlled reps</x:v>
      </x:c>
      <x:c r="R25" s="24" t="str">
        <x:v>Progress gradually; stop with sharp pain, dizziness, or numbness.</x:v>
      </x:c>
      <x:c r="S25" s="24" t="str">
        <x:v>https://www.acsm.org/education-resources/trending-topics-resources/physical-activity-guidelines</x:v>
      </x:c>
      <x:c r="T25" s="24" t="str">
        <x:v>Anatomy-based mapping</x:v>
      </x:c>
    </x:row>
    <x:row r="26" ht="54" customHeight="1">
      <x:c r="A26" s="24" t="str">
        <x:v>EX0098</x:v>
      </x:c>
      <x:c r="B26" s="24" t="str">
        <x:v>Pinch-grip plate carry</x:v>
      </x:c>
      <x:c r="C26" s="24" t="str">
        <x:v>Hand &amp; Fingers</x:v>
      </x:c>
      <x:c r="D26" s="24" t="str">
        <x:v>Gym</x:v>
      </x:c>
      <x:c r="E26" s="24" t="str">
        <x:v>Isolation strength</x:v>
      </x:c>
      <x:c r="F26" s="24" t="str">
        <x:v>Adductor pollicis oblique head; Adductor pollicis transverse head;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G26" s="24" t="str">
        <x:v>Extensor carpi ulnaris; Extensor carpi radialis brevis; Extensor carpi radialis longus</x:v>
      </x:c>
      <x:c r="H26" s="24" t="str">
        <x:v>Rectus abdominis; External oblique; Internal oblique; Transversus abdominis</x:v>
      </x:c>
      <x:c r="I26" s="24" t="str">
        <x:v>—</x:v>
      </x:c>
      <x:c r="J26" s="24" t="str">
        <x:v>Adductor pollicis oblique head; Adductor pollicis transverse head;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carpi ulnaris; Extensor carpi radialis brevis; Extensor carpi radialis longus; Rectus abdominis; External oblique; Internal oblique; Transversus abdominis</x:v>
      </x:c>
      <x:c r="K26" s="24" t="str">
        <x:v>Thenar adductor tendon; FPL tendon</x:v>
      </x:c>
      <x:c r="L26" s="24" t="str">
        <x:v>Digital collateral ligaments, volar plates and flexor tendon pulleys protect joints/tendons; NOT stretch targets</x:v>
      </x:c>
      <x:c r="M26" s="24" t="str">
        <x:v>Muscles: Adductor pollicis oblique head; Adductor pollicis transverse head;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carpi ulnaris; Extensor carpi radialis brevis; Extensor carpi radialis longus; Rectus abdominis; External oblique; Internal oblique; Transversus abdominis | Tendons/fascia: Thenar adductor tendon; FPL tendon | Ligament context only: Digital collateral ligaments, volar plates and flexor tendon pulleys protect joints/tendons; NOT stretch targets</x:v>
      </x:c>
      <x:c r="N26" s="24" t="str">
        <x:v>Adductor pollicis oblique head; Adductor pollicis transverse head;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Extensor carpi ulnaris; Extensor carpi radialis brevis; Extensor carpi radialis longus</x:v>
      </x:c>
      <x:c r="O26" s="24" t="str">
        <x:v>Pinch light plate vertically between fingers/thumb; hold above floor.</x:v>
      </x:c>
      <x:c r="P26" s="24" t="str">
        <x:v>Light weight plate</x:v>
      </x:c>
      <x:c r="Q26" s="24" t="str">
        <x:v>2–3 × 8–12 controlled reps</x:v>
      </x:c>
      <x:c r="R26" s="24" t="str">
        <x:v>Progress gradually; stop with sharp pain, dizziness, or numbness.</x:v>
      </x:c>
      <x:c r="S26" s="24" t="str">
        <x:v>https://www.acsm.org/education-resources/trending-topics-resources/physical-activity-guidelines</x:v>
      </x:c>
      <x:c r="T26" s="24" t="str">
        <x:v>Anatomy-based mapping</x:v>
      </x:c>
    </x:row>
    <x:row r="27" ht="54" customHeight="1">
      <x:c r="A27" s="24" t="str">
        <x:v>EX0105</x:v>
      </x:c>
      <x:c r="B27" s="24" t="str">
        <x:v>Hip thrust with dumbbell</x:v>
      </x:c>
      <x:c r="C27" s="24" t="str">
        <x:v>Hip &amp; Gluteal</x:v>
      </x:c>
      <x:c r="D27" s="24" t="str">
        <x:v>Gym</x:v>
      </x:c>
      <x:c r="E27" s="24" t="str">
        <x:v>Compound strength</x:v>
      </x:c>
      <x:c r="F27" s="24" t="str">
        <x:v>Gluteus maximus</x:v>
      </x:c>
      <x:c r="G27" s="24" t="str">
        <x:v>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27" s="24" t="str">
        <x:v>Rectus abdominis; External oblique; Internal oblique; Transversus abdominis; Gluteus medius; Gluteus minimus; Tensor fasciae latae</x:v>
      </x:c>
      <x:c r="I27" s="24" t="str">
        <x:v>—</x:v>
      </x:c>
      <x:c r="J27" s="24" t="str">
        <x:v>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Gluteus medius; Gluteus minimus; Tensor fasciae latae</x:v>
      </x:c>
      <x:c r="K27" s="24" t="str">
        <x:v>Gluteus maximus tendon</x:v>
      </x:c>
      <x:c r="L27" s="24" t="str">
        <x:v>Iliofemoral, ischiofemoral, pubofemoral ligaments stabilize hip passively; NOT stretched deliberately</x:v>
      </x:c>
      <x:c r="M27" s="24" t="str">
        <x:v>Muscles: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Gluteus medius; Gluteus minimus; Tensor fasciae latae | Tendons/fascia: Gluteus maximus tendon | Ligament context only: Iliofemoral, ischiofemoral, pubofemoral ligaments stabilize hip passively; NOT stretched deliberately</x:v>
      </x:c>
      <x:c r="N27" s="24" t="str">
        <x:v>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27" s="24" t="str">
        <x:v>Upper back supported on bench; extend hips while keeping ribs down.</x:v>
      </x:c>
      <x:c r="P27" s="24" t="str">
        <x:v>Bench; dumbbell</x:v>
      </x:c>
      <x:c r="Q27" s="24" t="str">
        <x:v>2–3 × 8–12 controlled reps</x:v>
      </x:c>
      <x:c r="R27" s="24" t="str">
        <x:v>Progress gradually; stop with sharp pain, dizziness, or numbness.</x:v>
      </x:c>
      <x:c r="S27" s="24" t="str">
        <x:v>https://orthoinfo.aaos.org/globalassets/pdfs/hip-conditioning-rehab-program-2025.pdf</x:v>
      </x:c>
      <x:c r="T27" s="24" t="str">
        <x:v>Anatomy-based mapping</x:v>
      </x:c>
    </x:row>
    <x:row r="28" ht="54" customHeight="1">
      <x:c r="A28" s="24" t="str">
        <x:v>EX0106</x:v>
      </x:c>
      <x:c r="B28" s="24" t="str">
        <x:v>Cable hip extension / kickback</x:v>
      </x:c>
      <x:c r="C28" s="24" t="str">
        <x:v>Hip &amp; Gluteal</x:v>
      </x:c>
      <x:c r="D28" s="24" t="str">
        <x:v>Gym</x:v>
      </x:c>
      <x:c r="E28" s="24" t="str">
        <x:v>Isolation strength</x:v>
      </x:c>
      <x:c r="F28" s="24" t="str">
        <x:v>Gluteus maximus</x:v>
      </x:c>
      <x:c r="G28" s="24" t="str">
        <x:v>Biceps femoris long head; Biceps femoris short head; Semimembranosus; Semitendinosus</x:v>
      </x:c>
      <x:c r="H28" s="24" t="str">
        <x:v>Rectus abdominis; External oblique; Internal oblique; Transversus abdominis; Gluteus medius; Gluteus minimus; Tensor fasciae latae</x:v>
      </x:c>
      <x:c r="I28" s="24" t="str">
        <x:v>—</x:v>
      </x:c>
      <x:c r="J28" s="24" t="str">
        <x:v>Gluteus maximus; Biceps femoris long head; Biceps femoris short head; Semimembranosus; Semitendinosus; Rectus abdominis; External oblique; Internal oblique; Transversus abdominis; Gluteus medius; Gluteus minimus; Tensor fasciae latae</x:v>
      </x:c>
      <x:c r="K28" s="24" t="str">
        <x:v>Atlas-listed tendon/aponeurosis examples: Iliotibial tract aponeurosis and gluteal tendon; Common hamstring proximal tendon; distal biceps tendon; Common biceps femoris distal tendon; Broad proximal membrane; distal semimembranosus tendon; additional listed attachments</x:v>
      </x:c>
      <x:c r="L28" s="24" t="str">
        <x:v>Iliofemoral, ischiofemoral, pubofemoral ligaments stabilize hip passively; NOT stretched deliberately</x:v>
      </x:c>
      <x:c r="M28" s="24" t="str">
        <x:v>Muscles: Gluteus maximus; Biceps femoris long head; Biceps femoris short head; Semimembranosus; Semitendinosus; Rectus abdominis; External oblique; Internal oblique; Transversus abdominis; Gluteus medius; Gluteus minimus; Tensor fasciae latae | Tendons/fascia: Atlas-listed tendon/aponeurosis examples: Iliotibial tract aponeurosis and gluteal tendon; Common hamstring proximal tendon; distal biceps tendon; Common biceps femoris distal tendon; Broad proximal membrane; distal semimembranosus tendon; additional listed attachments | Ligament context only: Iliofemoral, ischiofemoral, pubofemoral ligaments stabilize hip passively; NOT stretched deliberately</x:v>
      </x:c>
      <x:c r="N28" s="24" t="str">
        <x:v>Gluteus maximus; Biceps femoris long head; Biceps femoris short head; Semimembranosus; Semitendinosus</x:v>
      </x:c>
      <x:c r="O28" s="24" t="str">
        <x:v>Hinge slightly; sweep straightish leg back without arching back.</x:v>
      </x:c>
      <x:c r="P28" s="24" t="str">
        <x:v>Cable ankle strap</x:v>
      </x:c>
      <x:c r="Q28" s="24" t="str">
        <x:v>2–3 × 8–12 controlled reps</x:v>
      </x:c>
      <x:c r="R28" s="24" t="str">
        <x:v>Progress gradually; stop with sharp pain, dizziness, or numbness.</x:v>
      </x:c>
      <x:c r="S28" s="24" t="str">
        <x:v>https://orthoinfo.aaos.org/globalassets/pdfs/hip-conditioning-rehab-program-2025.pdf</x:v>
      </x:c>
      <x:c r="T28" s="24" t="str">
        <x:v>Anatomy-based mapping</x:v>
      </x:c>
    </x:row>
    <x:row r="29" ht="54" customHeight="1">
      <x:c r="A29" s="24" t="str">
        <x:v>EX0111</x:v>
      </x:c>
      <x:c r="B29" s="24" t="str">
        <x:v>Cable standing hip abduction</x:v>
      </x:c>
      <x:c r="C29" s="24" t="str">
        <x:v>Hip &amp; Gluteal</x:v>
      </x:c>
      <x:c r="D29" s="24" t="str">
        <x:v>Gym</x:v>
      </x:c>
      <x:c r="E29" s="24" t="str">
        <x:v>Isolation strength</x:v>
      </x:c>
      <x:c r="F29" s="24" t="str">
        <x:v>Gluteus medius; Gluteus minimus; Tensor fasciae latae</x:v>
      </x:c>
      <x:c r="G29" s="24" t="str">
        <x:v>—</x:v>
      </x:c>
      <x:c r="H29" s="24" t="str">
        <x:v>Rectus abdominis; External oblique; Internal oblique; Transversus abdominis</x:v>
      </x:c>
      <x:c r="I29" s="24" t="str">
        <x:v>—</x:v>
      </x:c>
      <x:c r="J29" s="24" t="str">
        <x:v>Gluteus medius; Gluteus minimus; Tensor fasciae latae; Rectus abdominis; External oblique; Internal oblique; Transversus abdominis</x:v>
      </x:c>
      <x:c r="K29" s="24" t="str">
        <x:v>Gluteus medius/minimus tendon</x:v>
      </x:c>
      <x:c r="L29" s="24" t="str">
        <x:v>Iliofemoral, ischiofemoral, pubofemoral ligaments stabilize hip passively; NOT stretched deliberately</x:v>
      </x:c>
      <x:c r="M29" s="24" t="str">
        <x:v>Muscles: Gluteus medius; Gluteus minimus; Tensor fasciae latae; Rectus abdominis; External oblique; Internal oblique; Transversus abdominis | Tendons/fascia: Gluteus medius/minimus tendon | Ligament context only: Iliofemoral, ischiofemoral, pubofemoral ligaments stabilize hip passively; NOT stretched deliberately</x:v>
      </x:c>
      <x:c r="N29" s="24" t="str">
        <x:v>Gluteus medius; Gluteus minimus; Tensor fasciae latae</x:v>
      </x:c>
      <x:c r="O29" s="24" t="str">
        <x:v>Stand tall with ankle strap; move leg sideways slightly backward.</x:v>
      </x:c>
      <x:c r="P29" s="24" t="str">
        <x:v>Cable ankle strap</x:v>
      </x:c>
      <x:c r="Q29" s="24" t="str">
        <x:v>2–3 × 8–12 controlled reps</x:v>
      </x:c>
      <x:c r="R29" s="24" t="str">
        <x:v>Progress gradually; stop with sharp pain, dizziness, or numbness.</x:v>
      </x:c>
      <x:c r="S29" s="24" t="str">
        <x:v>https://orthoinfo.aaos.org/globalassets/pdfs/hip-conditioning-rehab-program-2025.pdf</x:v>
      </x:c>
      <x:c r="T29" s="24" t="str">
        <x:v>Anatomy-based mapping</x:v>
      </x:c>
    </x:row>
    <x:row r="30" ht="54" customHeight="1">
      <x:c r="A30" s="24" t="str">
        <x:v>EX0112</x:v>
      </x:c>
      <x:c r="B30" s="24" t="str">
        <x:v>Hip abduction machine</x:v>
      </x:c>
      <x:c r="C30" s="24" t="str">
        <x:v>Hip &amp; Gluteal</x:v>
      </x:c>
      <x:c r="D30" s="24" t="str">
        <x:v>Gym</x:v>
      </x:c>
      <x:c r="E30" s="24" t="str">
        <x:v>Isolation strength</x:v>
      </x:c>
      <x:c r="F30" s="24" t="str">
        <x:v>Gluteus medius; Gluteus minimus; Tensor fasciae latae</x:v>
      </x:c>
      <x:c r="G30" s="24" t="str">
        <x:v>Gluteus maximus</x:v>
      </x:c>
      <x:c r="H30" s="24" t="str">
        <x:v>—</x:v>
      </x:c>
      <x:c r="I30" s="24" t="str">
        <x:v>—</x:v>
      </x:c>
      <x:c r="J30" s="24" t="str">
        <x:v>Gluteus medius; Gluteus minimus; Tensor fasciae latae; Gluteus maximus</x:v>
      </x:c>
      <x:c r="K30" s="24" t="str">
        <x:v>Atlas-listed tendon/aponeurosis examples: Gluteus medius tendon; Gluteus minimus tendon and joint-capsule expansions; Iliotibial tract (fascial thickening); Iliotibial tract aponeurosis and gluteal tendon</x:v>
      </x:c>
      <x:c r="L30" s="24" t="str">
        <x:v>Iliofemoral, ischiofemoral, pubofemoral ligaments stabilize hip passively; NOT stretched deliberately</x:v>
      </x:c>
      <x:c r="M30" s="24" t="str">
        <x:v>Muscles: Gluteus medius; Gluteus minimus; Tensor fasciae latae; Gluteus maximus | Tendons/fascia: Atlas-listed tendon/aponeurosis examples: Gluteus medius tendon; Gluteus minimus tendon and joint-capsule expansions; Iliotibial tract (fascial thickening); Iliotibial tract aponeurosis and gluteal tendon | Ligament context only: Iliofemoral, ischiofemoral, pubofemoral ligaments stabilize hip passively; NOT stretched deliberately</x:v>
      </x:c>
      <x:c r="N30" s="24" t="str">
        <x:v>Gluteus medius; Gluteus minimus; Tensor fasciae latae; Gluteus maximus</x:v>
      </x:c>
      <x:c r="O30" s="24" t="str">
        <x:v>Open knees against pads without shifting torso.</x:v>
      </x:c>
      <x:c r="P30" s="24" t="str">
        <x:v>Seated abduction machine</x:v>
      </x:c>
      <x:c r="Q30" s="24" t="str">
        <x:v>2–3 × 8–12 controlled reps</x:v>
      </x:c>
      <x:c r="R30" s="24" t="str">
        <x:v>Progress gradually; stop with sharp pain, dizziness, or numbness.</x:v>
      </x:c>
      <x:c r="S30" s="24" t="str">
        <x:v>https://orthoinfo.aaos.org/globalassets/pdfs/hip-conditioning-rehab-program-2025.pdf</x:v>
      </x:c>
      <x:c r="T30" s="24" t="str">
        <x:v>Anatomy-based mapping</x:v>
      </x:c>
    </x:row>
    <x:row r="31" ht="54" customHeight="1">
      <x:c r="A31" s="24" t="str">
        <x:v>EX0118</x:v>
      </x:c>
      <x:c r="B31" s="24" t="str">
        <x:v>Cable hip internal rotation</x:v>
      </x:c>
      <x:c r="C31" s="24" t="str">
        <x:v>Hip &amp; Gluteal</x:v>
      </x:c>
      <x:c r="D31" s="24" t="str">
        <x:v>Gym</x:v>
      </x:c>
      <x:c r="E31" s="24" t="str">
        <x:v>Isolation strength</x:v>
      </x:c>
      <x:c r="F31" s="24" t="str">
        <x:v>Gluteus minimus; Tensor fasciae latae</x:v>
      </x:c>
      <x:c r="G31" s="24" t="str">
        <x:v>Gluteus medius</x:v>
      </x:c>
      <x:c r="H31" s="24" t="str">
        <x:v>—</x:v>
      </x:c>
      <x:c r="I31" s="24" t="str">
        <x:v>—</x:v>
      </x:c>
      <x:c r="J31" s="24" t="str">
        <x:v>Gluteus minimus; Tensor fasciae latae; Gluteus medius</x:v>
      </x:c>
      <x:c r="K31" s="24" t="str">
        <x:v>Atlas-listed tendon/aponeurosis examples: Gluteus minimus tendon and joint-capsule expansions; Iliotibial tract (fascial thickening); Gluteus medius tendon</x:v>
      </x:c>
      <x:c r="L31" s="24" t="str">
        <x:v>Iliofemoral, ischiofemoral, pubofemoral ligaments stabilize hip passively; NOT stretched deliberately</x:v>
      </x:c>
      <x:c r="M31" s="24" t="str">
        <x:v>Muscles: Gluteus minimus; Tensor fasciae latae; Gluteus medius | Tendons/fascia: Atlas-listed tendon/aponeurosis examples: Gluteus minimus tendon and joint-capsule expansions; Iliotibial tract (fascial thickening); Gluteus medius tendon | Ligament context only: Iliofemoral, ischiofemoral, pubofemoral ligaments stabilize hip passively; NOT stretched deliberately</x:v>
      </x:c>
      <x:c r="N31" s="24" t="str">
        <x:v>Gluteus minimus; Tensor fasciae latae; Gluteus medius</x:v>
      </x:c>
      <x:c r="O31" s="24" t="str">
        <x:v>At 90° knee flexion, rotate femur inward against very light cable.</x:v>
      </x:c>
      <x:c r="P31" s="24" t="str">
        <x:v>Cable ankle strap</x:v>
      </x:c>
      <x:c r="Q31" s="24" t="str">
        <x:v>2–3 × 8–12 controlled reps</x:v>
      </x:c>
      <x:c r="R31" s="24" t="str">
        <x:v>Progress gradually; stop with sharp pain, dizziness, or numbness.</x:v>
      </x:c>
      <x:c r="S31" s="24" t="str">
        <x:v>https://orthoinfo.aaos.org/globalassets/pdfs/hip-conditioning-rehab-program-2025.pdf</x:v>
      </x:c>
      <x:c r="T31" s="24" t="str">
        <x:v>Anatomy-based mapping</x:v>
      </x:c>
    </x:row>
    <x:row r="32" ht="54" customHeight="1">
      <x:c r="A32" s="24" t="str">
        <x:v>EX0121</x:v>
      </x:c>
      <x:c r="B32" s="24" t="str">
        <x:v>Standing cable knee drive</x:v>
      </x:c>
      <x:c r="C32" s="24" t="str">
        <x:v>Hip &amp; Gluteal</x:v>
      </x:c>
      <x:c r="D32" s="24" t="str">
        <x:v>Gym</x:v>
      </x:c>
      <x:c r="E32" s="24" t="str">
        <x:v>Isolation strength</x:v>
      </x:c>
      <x:c r="F32" s="24" t="str">
        <x:v>Iliacus; Psoas major; Sartorius; Tensor fasciae latae; Rectus femoris reflected head; Rectus femoris straight head; Pectineus</x:v>
      </x:c>
      <x:c r="G32" s="24" t="str">
        <x:v>Vastus intermedius; Vastus lateralis; Vastus medialis</x:v>
      </x:c>
      <x:c r="H32" s="24" t="str">
        <x:v>Rectus abdominis; External oblique; Internal oblique; Transversus abdominis; Gluteus medius; Gluteus minimus</x:v>
      </x:c>
      <x:c r="I32" s="24" t="str">
        <x:v>—</x:v>
      </x:c>
      <x:c r="J32" s="24" t="str">
        <x:v>Iliacus; Psoas major; Sartorius; Tensor fasciae latae; Rectus femoris reflected head; Rectus femoris straight head; Pectineus; Vastus intermedius; Vastus lateralis; Vastus medialis; Rectus abdominis; External oblique; Internal oblique; Transversus abdominis; Gluteus medius; Gluteus minimus</x:v>
      </x:c>
      <x:c r="K32" s="24" t="str">
        <x:v>Atlas-listed tendon/aponeurosis examples: Iliopsoas shared tendon; Pes anserinus superficial tendon; Iliotibial tract (fascial thickening); Reflected proximal tendon; quadriceps tendon; additional listed attachments</x:v>
      </x:c>
      <x:c r="L32" s="24" t="str">
        <x:v>Iliofemoral, ischiofemoral, pubofemoral ligaments stabilize hip passively; NOT stretched deliberately</x:v>
      </x:c>
      <x:c r="M32" s="24" t="str">
        <x:v>Muscles: Iliacus; Psoas major; Sartorius; Tensor fasciae latae; Rectus femoris reflected head; Rectus femoris straight head; Pectineus; Vastus intermedius; Vastus lateralis; Vastus medialis; Rectus abdominis; External oblique; Internal oblique; Transversus abdominis; Gluteus medius; Gluteus minimus | Tendons/fascia: Atlas-listed tendon/aponeurosis examples: Iliopsoas shared tendon; Pes anserinus superficial tendon; Iliotibial tract (fascial thickening); Reflected proximal tendon; quadriceps tendon; additional listed attachments | Ligament context only: Iliofemoral, ischiofemoral, pubofemoral ligaments stabilize hip passively; NOT stretched deliberately</x:v>
      </x:c>
      <x:c r="N32" s="24" t="str">
        <x:v>Iliacus; Psoas major; Sartorius; Tensor fasciae latae; Rectus femoris reflected head; Rectus femoris straight head; Pectineus; Vastus intermedius; Vastus lateralis; Vastus medialis</x:v>
      </x:c>
      <x:c r="O32" s="24" t="str">
        <x:v>Raise knee toward torso against cable while maintaining level pelvis.</x:v>
      </x:c>
      <x:c r="P32" s="24" t="str">
        <x:v>Cable ankle strap</x:v>
      </x:c>
      <x:c r="Q32" s="24" t="str">
        <x:v>2–3 × 8–12 controlled reps</x:v>
      </x:c>
      <x:c r="R32" s="24" t="str">
        <x:v>Progress gradually; stop with sharp pain, dizziness, or numbness.</x:v>
      </x:c>
      <x:c r="S32" s="24" t="str">
        <x:v>https://orthoinfo.aaos.org/globalassets/pdfs/hip-conditioning-rehab-program-2025.pdf</x:v>
      </x:c>
      <x:c r="T32" s="24" t="str">
        <x:v>Anatomy-based mapping</x:v>
      </x:c>
    </x:row>
    <x:row r="33" ht="54" customHeight="1">
      <x:c r="A33" s="24" t="str">
        <x:v>EX0127</x:v>
      </x:c>
      <x:c r="B33" s="24" t="str">
        <x:v>Cable standing hip adduction</x:v>
      </x:c>
      <x:c r="C33" s="24" t="str">
        <x:v>Hip &amp; Gluteal</x:v>
      </x:c>
      <x:c r="D33" s="24" t="str">
        <x:v>Gym</x:v>
      </x:c>
      <x:c r="E33" s="24" t="str">
        <x:v>Isolation strength</x:v>
      </x:c>
      <x:c r="F33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G33" s="24" t="str">
        <x:v>—</x:v>
      </x:c>
      <x:c r="H33" s="24" t="str">
        <x:v>Rectus abdominis; External oblique; Internal oblique; Transversus abdominis; Gluteus medius; Gluteus minimus; Tensor fasciae latae</x:v>
      </x:c>
      <x:c r="I33" s="24" t="str">
        <x:v>—</x:v>
      </x:c>
      <x:c r="J33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Gluteus medius; Gluteus minimus; Tensor fasciae latae</x:v>
      </x:c>
      <x:c r="K33" s="24" t="str">
        <x:v>Adductor longus/brevis/magnus tendons</x:v>
      </x:c>
      <x:c r="L33" s="24" t="str">
        <x:v>Iliofemoral, ischiofemoral, pubofemoral ligaments stabilize hip passively; NOT stretched deliberately</x:v>
      </x:c>
      <x:c r="M33" s="24" t="str">
        <x:v>Muscles: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Gluteus medius; Gluteus minimus; Tensor fasciae latae | Tendons/fascia: Adductor longus/brevis/magnus tendons | Ligament context only: Iliofemoral, ischiofemoral, pubofemoral ligaments stabilize hip passively; NOT stretched deliberately</x:v>
      </x:c>
      <x:c r="N33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33" s="24" t="str">
        <x:v>Bring ankle across body against light cable without torso lean.</x:v>
      </x:c>
      <x:c r="P33" s="24" t="str">
        <x:v>Cable ankle strap</x:v>
      </x:c>
      <x:c r="Q33" s="24" t="str">
        <x:v>2–3 × 8–12 controlled reps</x:v>
      </x:c>
      <x:c r="R33" s="24" t="str">
        <x:v>Progress gradually; stop with sharp pain, dizziness, or numbness.</x:v>
      </x:c>
      <x:c r="S33" s="24" t="str">
        <x:v>https://orthoinfo.aaos.org/globalassets/pdfs/hip-conditioning-rehab-program-2025.pdf</x:v>
      </x:c>
      <x:c r="T33" s="24" t="str">
        <x:v>Anatomy-based mapping</x:v>
      </x:c>
    </x:row>
    <x:row r="34" ht="54" customHeight="1">
      <x:c r="A34" s="24" t="str">
        <x:v>EX0129</x:v>
      </x:c>
      <x:c r="B34" s="24" t="str">
        <x:v>Cable hip pull-through</x:v>
      </x:c>
      <x:c r="C34" s="24" t="str">
        <x:v>Hip &amp; Gluteal</x:v>
      </x:c>
      <x:c r="D34" s="24" t="str">
        <x:v>Gym</x:v>
      </x:c>
      <x:c r="E34" s="24" t="str">
        <x:v>Compound strength</x:v>
      </x:c>
      <x:c r="F34" s="24" t="str">
        <x:v>Gluteus maximus; Biceps femoris long head; Biceps femoris short head; Semimembranosus; Semitendinosus</x:v>
      </x:c>
      <x:c r="G34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34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I34" s="24" t="str">
        <x:v>—</x:v>
      </x:c>
      <x:c r="J34" s="24" t="str">
        <x:v>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34" s="24" t="str">
        <x:v>Proximal hamstring and gluteal tendons</x:v>
      </x:c>
      <x:c r="L34" s="24" t="str">
        <x:v>Iliofemoral, ischiofemoral, pubofemoral ligaments stabilize hip passively; NOT stretched deliberately</x:v>
      </x:c>
      <x:c r="M34" s="24" t="str">
        <x:v>Muscles: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Proximal hamstring and gluteal tendons | Ligament context only: Iliofemoral, ischiofemoral, pubofemoral ligaments stabilize hip passively; NOT stretched deliberately</x:v>
      </x:c>
      <x:c r="N34" s="24" t="str">
        <x:v>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34" s="24" t="str">
        <x:v>Face away from low cable; hinge at hips and stand tall.</x:v>
      </x:c>
      <x:c r="P34" s="24" t="str">
        <x:v>Cable rope</x:v>
      </x:c>
      <x:c r="Q34" s="24" t="str">
        <x:v>2–3 × 8–12 controlled reps</x:v>
      </x:c>
      <x:c r="R34" s="24" t="str">
        <x:v>Progress gradually; stop with sharp pain, dizziness, or numbness.</x:v>
      </x:c>
      <x:c r="S34" s="24" t="str">
        <x:v>https://orthoinfo.aaos.org/globalassets/pdfs/hip-conditioning-rehab-program-2025.pdf</x:v>
      </x:c>
      <x:c r="T34" s="24" t="str">
        <x:v>Anatomy-based mapping</x:v>
      </x:c>
    </x:row>
    <x:row r="35" ht="54" customHeight="1">
      <x:c r="A35" s="24" t="str">
        <x:v>EX0146</x:v>
      </x:c>
      <x:c r="B35" s="24" t="str">
        <x:v>Box squat with dumbbell</x:v>
      </x:c>
      <x:c r="C35" s="24" t="str">
        <x:v>Thigh &amp; Knee</x:v>
      </x:c>
      <x:c r="D35" s="24" t="str">
        <x:v>Gym</x:v>
      </x:c>
      <x:c r="E35" s="24" t="str">
        <x:v>Compound strength</x:v>
      </x:c>
      <x:c r="F35" s="24" t="str">
        <x:v>Vastus intermedius; Vastus lateralis; Vastus medialis; Rectus femoris reflected head; Rectus femoris straight head; Gluteus maximus</x:v>
      </x:c>
      <x:c r="G35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35" s="24" t="str">
        <x:v>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</x:v>
      </x:c>
      <x:c r="I35" s="24" t="str">
        <x:v>—</x:v>
      </x:c>
      <x:c r="J35" s="24" t="str">
        <x:v>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</x:v>
      </x:c>
      <x:c r="K35" s="24" t="str">
        <x:v>Quadriceps and patellar tendons</x:v>
      </x:c>
      <x:c r="L35" s="24" t="str">
        <x:v>ACL, PCL, MCL, LCL and patellar retinacula stabilize knee; NOT deliberately stretched</x:v>
      </x:c>
      <x:c r="M35" s="24" t="str">
        <x:v>Muscles: 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 | Tendons/fascia: Quadriceps and patellar tendons | Ligament context only: ACL, PCL, MCL, LCL and patellar retinacula stabilize knee; NOT deliberately stretched</x:v>
      </x:c>
      <x:c r="N35" s="24" t="str">
        <x:v>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35" s="24" t="str">
        <x:v>Lower to box under control; lightly touch then stand.</x:v>
      </x:c>
      <x:c r="P35" s="24" t="str">
        <x:v>Box; dumbbell</x:v>
      </x:c>
      <x:c r="Q35" s="24" t="str">
        <x:v>2–3 × 8–12 controlled reps</x:v>
      </x:c>
      <x:c r="R35" s="24" t="str">
        <x:v>Progress gradually; stop with sharp pain, dizziness, or numbness.</x:v>
      </x:c>
      <x:c r="S35" s="24" t="str">
        <x:v>https://www.orthoinfo.org/recovery/knee-conditioning-program</x:v>
      </x:c>
      <x:c r="T35" s="24" t="str">
        <x:v>Anatomy-based mapping</x:v>
      </x:c>
    </x:row>
    <x:row r="36" ht="54" customHeight="1">
      <x:c r="A36" s="24" t="str">
        <x:v>EX0147</x:v>
      </x:c>
      <x:c r="B36" s="24" t="str">
        <x:v>Goblet squat</x:v>
      </x:c>
      <x:c r="C36" s="24" t="str">
        <x:v>Thigh &amp; Knee</x:v>
      </x:c>
      <x:c r="D36" s="24" t="str">
        <x:v>Gym</x:v>
      </x:c>
      <x:c r="E36" s="24" t="str">
        <x:v>Compound strength</x:v>
      </x:c>
      <x:c r="F36" s="24" t="str">
        <x:v>Vastus intermedius; Vastus lateralis; Vastus medialis; Rectus femoris reflected head; Rectus femoris straight head; Gluteus maximus</x:v>
      </x:c>
      <x:c r="G36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36" s="24" t="str">
        <x:v>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36" s="24" t="str">
        <x:v>—</x:v>
      </x:c>
      <x:c r="J36" s="24" t="str">
        <x:v>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36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36" s="24" t="str">
        <x:v>ACL, PCL, MCL, LCL and patellar retinacula stabilize knee; NOT deliberately stretched</x:v>
      </x:c>
      <x:c r="M36" s="24" t="str">
        <x:v>Muscles: 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36" s="24" t="str">
        <x:v>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36" s="24" t="str">
        <x:v>Hold dumbbell at chest; squat keeping feet planted.</x:v>
      </x:c>
      <x:c r="P36" s="24" t="str">
        <x:v>Dumbbell</x:v>
      </x:c>
      <x:c r="Q36" s="24" t="str">
        <x:v>2–3 × 8–12 controlled reps</x:v>
      </x:c>
      <x:c r="R36" s="24" t="str">
        <x:v>Progress gradually; stop with sharp pain, dizziness, or numbness.</x:v>
      </x:c>
      <x:c r="S36" s="24" t="str">
        <x:v>https://www.orthoinfo.org/recovery/knee-conditioning-program</x:v>
      </x:c>
      <x:c r="T36" s="24" t="str">
        <x:v>Anatomy-based mapping</x:v>
      </x:c>
    </x:row>
    <x:row r="37" ht="54" customHeight="1">
      <x:c r="A37" s="24" t="str">
        <x:v>EX0148</x:v>
      </x:c>
      <x:c r="B37" s="24" t="str">
        <x:v>Barbell back squat</x:v>
      </x:c>
      <x:c r="C37" s="24" t="str">
        <x:v>Thigh &amp; Knee</x:v>
      </x:c>
      <x:c r="D37" s="24" t="str">
        <x:v>Gym</x:v>
      </x:c>
      <x:c r="E37" s="24" t="str">
        <x:v>Compound strength</x:v>
      </x:c>
      <x:c r="F37" s="24" t="str">
        <x:v>Vastus intermedius; Vastus lateralis; Vastus medialis; Rectus femoris reflected head; Rectus femoris straight head; Gluteus maximus; Adductor magnus adductor part</x:v>
      </x:c>
      <x:c r="G37" s="24" t="str">
        <x:v>Biceps femoris long head; Biceps femoris short head; Semimembranosus; Semitendinosus</x:v>
      </x:c>
      <x:c r="H37" s="24" t="str">
        <x:v>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</x:v>
      </x:c>
      <x:c r="I37" s="24" t="str">
        <x:v>—</x:v>
      </x:c>
      <x:c r="J37" s="24" t="str">
        <x:v>Vastus intermedius; Vastus lateralis; Vastus medialis; Rectus femoris reflected head; Rectus femoris straight head; Gluteus maximus; Adductor magnus adductor part; Biceps femoris long head; Biceps femoris short head; Semimembranosus; Semitendinosus;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</x:v>
      </x:c>
      <x:c r="K37" s="24" t="str">
        <x:v>Quadriceps/patellar, adductor magnus and gluteal tendons</x:v>
      </x:c>
      <x:c r="L37" s="24" t="str">
        <x:v>Knee cruciate and collateral ligaments resist unwanted translation/valgus</x:v>
      </x:c>
      <x:c r="M37" s="24" t="str">
        <x:v>Muscles: Vastus intermedius; Vastus lateralis; Vastus medialis; Rectus femoris reflected head; Rectus femoris straight head; Gluteus maximus; Adductor magnus adductor part; Biceps femoris long head; Biceps femoris short head; Semimembranosus; Semitendinosus;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 | Tendons/fascia: Quadriceps/patellar, adductor magnus and gluteal tendons | Ligament context only: Knee cruciate and collateral ligaments resist unwanted translation/valgus</x:v>
      </x:c>
      <x:c r="N37" s="24" t="str">
        <x:v>Vastus intermedius; Vastus lateralis; Vastus medialis; Rectus femoris reflected head; Rectus femoris straight head; Gluteus maximus; Adductor magnus adductor part; Biceps femoris long head; Biceps femoris short head; Semimembranosus; Semitendinosus</x:v>
      </x:c>
      <x:c r="O37" s="24" t="str">
        <x:v>Set bar securely; brace trunk and squat through trained range.</x:v>
      </x:c>
      <x:c r="P37" s="24" t="str">
        <x:v>Rack; barbell</x:v>
      </x:c>
      <x:c r="Q37" s="24" t="str">
        <x:v>2–3 × 8–12 controlled reps</x:v>
      </x:c>
      <x:c r="R37" s="24" t="str">
        <x:v>Progress gradually; stop with sharp pain, dizziness, or numbness.</x:v>
      </x:c>
      <x:c r="S37" s="24" t="str">
        <x:v>https://www.orthoinfo.org/recovery/knee-conditioning-program</x:v>
      </x:c>
      <x:c r="T37" s="24" t="str">
        <x:v>Anatomy-based mapping</x:v>
      </x:c>
    </x:row>
    <x:row r="38" ht="54" customHeight="1">
      <x:c r="A38" s="24" t="str">
        <x:v>EX0149</x:v>
      </x:c>
      <x:c r="B38" s="24" t="str">
        <x:v>Barbell front squat</x:v>
      </x:c>
      <x:c r="C38" s="24" t="str">
        <x:v>Thigh &amp; Knee</x:v>
      </x:c>
      <x:c r="D38" s="24" t="str">
        <x:v>Gym</x:v>
      </x:c>
      <x:c r="E38" s="24" t="str">
        <x:v>Compound strength</x:v>
      </x:c>
      <x:c r="F38" s="24" t="str">
        <x:v>Vastus intermedius; Vastus lateralis; Vastus medialis; Rectus femoris reflected head; Rectus femoris straight head; Gluteus maximus</x:v>
      </x:c>
      <x:c r="G38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38" s="24" t="str">
        <x:v>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38" s="24" t="str">
        <x:v>—</x:v>
      </x:c>
      <x:c r="J38" s="24" t="str">
        <x:v>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38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38" s="24" t="str">
        <x:v>ACL, PCL, MCL, LCL and patellar retinacula stabilize knee; NOT deliberately stretched</x:v>
      </x:c>
      <x:c r="M38" s="24" t="str">
        <x:v>Muscles: 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38" s="24" t="str">
        <x:v>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38" s="24" t="str">
        <x:v>Support bar in front-rack; descend upright within ankle/hip mobility.</x:v>
      </x:c>
      <x:c r="P38" s="24" t="str">
        <x:v>Rack; barbell</x:v>
      </x:c>
      <x:c r="Q38" s="24" t="str">
        <x:v>2–3 × 8–12 controlled reps</x:v>
      </x:c>
      <x:c r="R38" s="24" t="str">
        <x:v>Progress gradually; stop with sharp pain, dizziness, or numbness.</x:v>
      </x:c>
      <x:c r="S38" s="24" t="str">
        <x:v>https://www.orthoinfo.org/recovery/knee-conditioning-program</x:v>
      </x:c>
      <x:c r="T38" s="24" t="str">
        <x:v>Anatomy-based mapping</x:v>
      </x:c>
    </x:row>
    <x:row r="39" ht="54" customHeight="1">
      <x:c r="A39" s="24" t="str">
        <x:v>EX0150</x:v>
      </x:c>
      <x:c r="B39" s="24" t="str">
        <x:v>Dumbbell split squat</x:v>
      </x:c>
      <x:c r="C39" s="24" t="str">
        <x:v>Thigh &amp; Knee</x:v>
      </x:c>
      <x:c r="D39" s="24" t="str">
        <x:v>Gym</x:v>
      </x:c>
      <x:c r="E39" s="24" t="str">
        <x:v>Compound strength</x:v>
      </x:c>
      <x:c r="F39" s="24" t="str">
        <x:v>Vastus intermedius; Vastus lateralis; Vastus medialis; Rectus femoris reflected head; Rectus femoris straight head; Gluteus maximus</x:v>
      </x:c>
      <x:c r="G39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Biceps femoris long head; Biceps femoris short head; Semimembranosus; Semitendinosus</x:v>
      </x:c>
      <x:c r="H39" s="24" t="str">
        <x:v>Gluteus medius; Gluteus minimus; Tensor fasciae latae; Rectus abdominis; External oblique; Internal oblique; Transversus abdominis</x:v>
      </x:c>
      <x:c r="I39" s="24" t="str">
        <x:v>—</x:v>
      </x:c>
      <x:c r="J39" s="24" t="str">
        <x:v>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Biceps femoris long head; Biceps femoris short head; Semimembranosus; Semitendinosus; Gluteus medius; Gluteus minimus; Tensor fasciae latae; Rectus abdominis; External oblique; Internal oblique; Transversus abdominis</x:v>
      </x:c>
      <x:c r="K39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39" s="24" t="str">
        <x:v>ACL, PCL, MCL, LCL and patellar retinacula stabilize knee; NOT deliberately stretched</x:v>
      </x:c>
      <x:c r="M39" s="24" t="str">
        <x:v>Muscles: 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Biceps femoris long head; Biceps femoris short head; Semimembranosus; Semitendinosus; Gluteus medius; Gluteus minimus; Tensor fasciae latae; Rectus abdominis; External oblique; Internal oblique; Transversus abdominis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39" s="24" t="str">
        <x:v>Vastus intermedius; Vastus lateralis; Vastus medialis; Rectus femoris reflected head; Rectus femoris straight head;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Biceps femoris long head; Biceps femoris short head; Semimembranosus; Semitendinosus</x:v>
      </x:c>
      <x:c r="O39" s="24" t="str">
        <x:v>Stagger stance; lower rear knee toward floor keeping front knee tracking forward.</x:v>
      </x:c>
      <x:c r="P39" s="24" t="str">
        <x:v>Dumbbells</x:v>
      </x:c>
      <x:c r="Q39" s="24" t="str">
        <x:v>2–3 × 8–12 controlled reps</x:v>
      </x:c>
      <x:c r="R39" s="24" t="str">
        <x:v>Progress gradually; stop with sharp pain, dizziness, or numbness.</x:v>
      </x:c>
      <x:c r="S39" s="24" t="str">
        <x:v>https://www.orthoinfo.org/recovery/knee-conditioning-program</x:v>
      </x:c>
      <x:c r="T39" s="24" t="str">
        <x:v>Anatomy-based mapping</x:v>
      </x:c>
    </x:row>
    <x:row r="40" ht="54" customHeight="1">
      <x:c r="A40" s="24" t="str">
        <x:v>EX0153</x:v>
      </x:c>
      <x:c r="B40" s="24" t="str">
        <x:v>Walking lunge with dumbbells</x:v>
      </x:c>
      <x:c r="C40" s="24" t="str">
        <x:v>Thigh &amp; Knee</x:v>
      </x:c>
      <x:c r="D40" s="24" t="str">
        <x:v>Gym</x:v>
      </x:c>
      <x:c r="E40" s="24" t="str">
        <x:v>Compound strength</x:v>
      </x:c>
      <x:c r="F40" s="24" t="str">
        <x:v>Vastus intermedius; Vastus lateralis; Vastus medialis; Rectus femoris reflected head; Rectus femoris straight head; Gluteus maximus</x:v>
      </x:c>
      <x:c r="G40" s="24" t="str">
        <x:v>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40" s="24" t="str">
        <x:v>Gluteus medius; Gluteus minimus; Tensor fasciae latae; Rectus abdominis; External oblique; Internal oblique; Transversus abdominis</x:v>
      </x:c>
      <x:c r="I40" s="24" t="str">
        <x:v>—</x:v>
      </x:c>
      <x:c r="J40" s="24" t="str">
        <x:v>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Gluteus medius; Gluteus minimus; Tensor fasciae latae; Rectus abdominis; External oblique; Internal oblique; Transversus abdominis</x:v>
      </x:c>
      <x:c r="K40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40" s="24" t="str">
        <x:v>ACL, PCL, MCL, LCL and patellar retinacula stabilize knee; NOT deliberately stretched</x:v>
      </x:c>
      <x:c r="M40" s="24" t="str">
        <x:v>Muscles: 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Gluteus medius; Gluteus minimus; Tensor fasciae latae; Rectus abdominis; External oblique; Internal oblique; Transversus abdominis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40" s="24" t="str">
        <x:v>Vastus intermedius; Vastus lateralis; Vastus medialis; Rectus femoris reflected head; Rectus femoris straight head; Gluteus maximus;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40" s="24" t="str">
        <x:v>Take controlled steps forward through balanced knee flexion.</x:v>
      </x:c>
      <x:c r="P40" s="24" t="str">
        <x:v>Dumbbells</x:v>
      </x:c>
      <x:c r="Q40" s="24" t="str">
        <x:v>2–3 × 8–12 controlled reps</x:v>
      </x:c>
      <x:c r="R40" s="24" t="str">
        <x:v>Progress gradually; stop with sharp pain, dizziness, or numbness.</x:v>
      </x:c>
      <x:c r="S40" s="24" t="str">
        <x:v>https://www.orthoinfo.org/recovery/knee-conditioning-program</x:v>
      </x:c>
      <x:c r="T40" s="24" t="str">
        <x:v>Anatomy-based mapping</x:v>
      </x:c>
    </x:row>
    <x:row r="41" ht="54" customHeight="1">
      <x:c r="A41" s="24" t="str">
        <x:v>EX0157</x:v>
      </x:c>
      <x:c r="B41" s="24" t="str">
        <x:v>Dumbbell weighted step-up</x:v>
      </x:c>
      <x:c r="C41" s="24" t="str">
        <x:v>Thigh &amp; Knee</x:v>
      </x:c>
      <x:c r="D41" s="24" t="str">
        <x:v>Gym</x:v>
      </x:c>
      <x:c r="E41" s="24" t="str">
        <x:v>Compound strength</x:v>
      </x:c>
      <x:c r="F41" s="24" t="str">
        <x:v>Vastus intermedius; Vastus lateralis; Vastus medialis; Rectus femoris reflected head; Rectus femoris straight head; Gluteus maximus</x:v>
      </x:c>
      <x:c r="G41" s="24" t="str">
        <x:v>Biceps femoris long head; Biceps femoris short head; Semimembranosus; Semitendinosus</x:v>
      </x:c>
      <x:c r="H41" s="24" t="str">
        <x:v>Gluteus medius; Gluteus minimus; Tensor fasciae latae; Rectus abdominis; External oblique; Internal oblique; Transversus abdominis</x:v>
      </x:c>
      <x:c r="I41" s="24" t="str">
        <x:v>—</x:v>
      </x:c>
      <x:c r="J41" s="24" t="str">
        <x:v>Vastus intermedius; Vastus lateralis; Vastus medialis; Rectus femoris reflected head; Rectus femoris straight head; Gluteus maximus; Biceps femoris long head; Biceps femoris short head; Semimembranosus; Semitendinosus; Gluteus medius; Gluteus minimus; Tensor fasciae latae; Rectus abdominis; External oblique; Internal oblique; Transversus abdominis</x:v>
      </x:c>
      <x:c r="K41" s="24" t="str">
        <x:v>Atlas-listed tendon/aponeurosis examples: Deep quadriceps tendon; Quadriceps tendon and lateral retinaculum; Quadriceps tendon; medial patellar retinaculum; Reflected proximal tendon; quadriceps tendon; additional listed attachments</x:v>
      </x:c>
      <x:c r="L41" s="24" t="str">
        <x:v>ACL, PCL, MCL, LCL and patellar retinacula stabilize knee; NOT deliberately stretched</x:v>
      </x:c>
      <x:c r="M41" s="24" t="str">
        <x:v>Muscles: Vastus intermedius; Vastus lateralis; Vastus medialis; Rectus femoris reflected head; Rectus femoris straight head; Gluteus maximus; Biceps femoris long head; Biceps femoris short head; Semimembranosus; Semitendinosus; Gluteus medius; Gluteus minimus; Tensor fasciae latae; Rectus abdominis; External oblique; Internal oblique; Transversus abdominis | Tendons/fascia: Atlas-listed tendon/aponeurosis examples: Deep quadriceps tendon; Quadriceps tendon and lateral retinaculum; Quadriceps tendon; medial patellar retinaculum; Reflected proximal tendon; quadriceps tendon; additional listed attachments | Ligament context only: ACL, PCL, MCL, LCL and patellar retinacula stabilize knee; NOT deliberately stretched</x:v>
      </x:c>
      <x:c r="N41" s="24" t="str">
        <x:v>Vastus intermedius; Vastus lateralis; Vastus medialis; Rectus femoris reflected head; Rectus femoris straight head; Gluteus maximus; Biceps femoris long head; Biceps femoris short head; Semimembranosus; Semitendinosus</x:v>
      </x:c>
      <x:c r="O41" s="24" t="str">
        <x:v>Step onto stable box while keeping pelvis level.</x:v>
      </x:c>
      <x:c r="P41" s="24" t="str">
        <x:v>Box; dumbbells</x:v>
      </x:c>
      <x:c r="Q41" s="24" t="str">
        <x:v>2–3 × 8–12 controlled reps</x:v>
      </x:c>
      <x:c r="R41" s="24" t="str">
        <x:v>Progress gradually; stop with sharp pain, dizziness, or numbness.</x:v>
      </x:c>
      <x:c r="S41" s="24" t="str">
        <x:v>https://www.orthoinfo.org/recovery/knee-conditioning-program</x:v>
      </x:c>
      <x:c r="T41" s="24" t="str">
        <x:v>Anatomy-based mapping</x:v>
      </x:c>
    </x:row>
    <x:row r="42" ht="54" customHeight="1">
      <x:c r="A42" s="24" t="str">
        <x:v>EX0161</x:v>
      </x:c>
      <x:c r="B42" s="24" t="str">
        <x:v>Leg extension machine</x:v>
      </x:c>
      <x:c r="C42" s="24" t="str">
        <x:v>Thigh &amp; Knee</x:v>
      </x:c>
      <x:c r="D42" s="24" t="str">
        <x:v>Gym</x:v>
      </x:c>
      <x:c r="E42" s="24" t="str">
        <x:v>Isolation strength</x:v>
      </x:c>
      <x:c r="F42" s="24" t="str">
        <x:v>Vastus intermedius; Vastus lateralis; Vastus medialis; Rectus femoris reflected head; Rectus femoris straight head</x:v>
      </x:c>
      <x:c r="G42" s="24" t="str">
        <x:v>—</x:v>
      </x:c>
      <x:c r="H42" s="24" t="str">
        <x:v>Articularis genus</x:v>
      </x:c>
      <x:c r="I42" s="24" t="str">
        <x:v>—</x:v>
      </x:c>
      <x:c r="J42" s="24" t="str">
        <x:v>Vastus intermedius; Vastus lateralis; Vastus medialis; Rectus femoris reflected head; Rectus femoris straight head; Articularis genus</x:v>
      </x:c>
      <x:c r="K42" s="24" t="str">
        <x:v>Quadriceps tendon; patellar tendon</x:v>
      </x:c>
      <x:c r="L42" s="24" t="str">
        <x:v>ACL, PCL, MCL, LCL and patellar retinacula stabilize knee; NOT deliberately stretched</x:v>
      </x:c>
      <x:c r="M42" s="24" t="str">
        <x:v>Muscles: Vastus intermedius; Vastus lateralis; Vastus medialis; Rectus femoris reflected head; Rectus femoris straight head; Articularis genus | Tendons/fascia: Quadriceps tendon; patellar tendon | Ligament context only: ACL, PCL, MCL, LCL and patellar retinacula stabilize knee; NOT deliberately stretched</x:v>
      </x:c>
      <x:c r="N42" s="24" t="str">
        <x:v>Vastus intermedius; Vastus lateralis; Vastus medialis; Rectus femoris reflected head; Rectus femoris straight head</x:v>
      </x:c>
      <x:c r="O42" s="24" t="str">
        <x:v>Extend knees against machine without snapping to hyperextension.</x:v>
      </x:c>
      <x:c r="P42" s="24" t="str">
        <x:v>Leg extension machine</x:v>
      </x:c>
      <x:c r="Q42" s="24" t="str">
        <x:v>2–3 × 8–12 controlled reps</x:v>
      </x:c>
      <x:c r="R42" s="24" t="str">
        <x:v>Progress gradually; stop with sharp pain, dizziness, or numbness.</x:v>
      </x:c>
      <x:c r="S42" s="24" t="str">
        <x:v>https://www.orthoinfo.org/recovery/knee-conditioning-program</x:v>
      </x:c>
      <x:c r="T42" s="24" t="str">
        <x:v>Anatomy-based mapping</x:v>
      </x:c>
    </x:row>
    <x:row r="43" ht="54" customHeight="1">
      <x:c r="A43" s="24" t="str">
        <x:v>EX0168</x:v>
      </x:c>
      <x:c r="B43" s="24" t="str">
        <x:v>Seated leg curl machine</x:v>
      </x:c>
      <x:c r="C43" s="24" t="str">
        <x:v>Thigh &amp; Knee</x:v>
      </x:c>
      <x:c r="D43" s="24" t="str">
        <x:v>Gym</x:v>
      </x:c>
      <x:c r="E43" s="24" t="str">
        <x:v>Isolation strength</x:v>
      </x:c>
      <x:c r="F43" s="24" t="str">
        <x:v>Biceps femoris long head; Biceps femoris short head; Semimembranosus; Semitendinosus</x:v>
      </x:c>
      <x:c r="G43" s="24" t="str">
        <x:v>—</x:v>
      </x:c>
      <x:c r="H43" s="24" t="str">
        <x:v>—</x:v>
      </x:c>
      <x:c r="I43" s="24" t="str">
        <x:v>—</x:v>
      </x:c>
      <x:c r="J43" s="24" t="str">
        <x:v>Biceps femoris long head; Biceps femoris short head; Semimembranosus; Semitendinosus</x:v>
      </x:c>
      <x:c r="K43" s="24" t="str">
        <x:v>Hamstring distal tendons</x:v>
      </x:c>
      <x:c r="L43" s="24" t="str">
        <x:v>ACL, PCL, MCL, LCL and patellar retinacula stabilize knee; NOT deliberately stretched</x:v>
      </x:c>
      <x:c r="M43" s="24" t="str">
        <x:v>Muscles: Biceps femoris long head; Biceps femoris short head; Semimembranosus; Semitendinosus | Tendons/fascia: Hamstring distal tendons | Ligament context only: ACL, PCL, MCL, LCL and patellar retinacula stabilize knee; NOT deliberately stretched</x:v>
      </x:c>
      <x:c r="N43" s="24" t="str">
        <x:v>Biceps femoris long head; Biceps femoris short head; Semimembranosus; Semitendinosus</x:v>
      </x:c>
      <x:c r="O43" s="24" t="str">
        <x:v>Flex knees from seated position under controlled resistance.</x:v>
      </x:c>
      <x:c r="P43" s="24" t="str">
        <x:v>Leg curl machine</x:v>
      </x:c>
      <x:c r="Q43" s="24" t="str">
        <x:v>2–3 × 8–12 controlled reps</x:v>
      </x:c>
      <x:c r="R43" s="24" t="str">
        <x:v>Progress gradually; stop with sharp pain, dizziness, or numbness.</x:v>
      </x:c>
      <x:c r="S43" s="24" t="str">
        <x:v>https://www.orthoinfo.org/recovery/knee-conditioning-program</x:v>
      </x:c>
      <x:c r="T43" s="24" t="str">
        <x:v>Anatomy-based mapping</x:v>
      </x:c>
    </x:row>
    <x:row r="44" ht="54" customHeight="1">
      <x:c r="A44" s="24" t="str">
        <x:v>EX0169</x:v>
      </x:c>
      <x:c r="B44" s="24" t="str">
        <x:v>Prone leg curl machine</x:v>
      </x:c>
      <x:c r="C44" s="24" t="str">
        <x:v>Thigh &amp; Knee</x:v>
      </x:c>
      <x:c r="D44" s="24" t="str">
        <x:v>Gym</x:v>
      </x:c>
      <x:c r="E44" s="24" t="str">
        <x:v>Isolation strength</x:v>
      </x:c>
      <x:c r="F44" s="24" t="str">
        <x:v>Biceps femoris long head; Biceps femoris short head; Semimembranosus; Semitendinosus</x:v>
      </x:c>
      <x:c r="G44" s="24" t="str">
        <x:v>—</x:v>
      </x:c>
      <x:c r="H44" s="24" t="str">
        <x:v>—</x:v>
      </x:c>
      <x:c r="I44" s="24" t="str">
        <x:v>—</x:v>
      </x:c>
      <x:c r="J44" s="24" t="str">
        <x:v>Biceps femoris long head; Biceps femoris short head; Semimembranosus; Semitendinosus</x:v>
      </x:c>
      <x:c r="K44" s="24" t="str">
        <x:v>Atlas-listed tendon/aponeurosis examples: Common hamstring proximal tendon; distal biceps tendon; Common biceps femoris distal tendon; Broad proximal membrane; distal semimembranosus tendon; Long distal pes anserinus tendon</x:v>
      </x:c>
      <x:c r="L44" s="24" t="str">
        <x:v>ACL, PCL, MCL, LCL and patellar retinacula stabilize knee; NOT deliberately stretched</x:v>
      </x:c>
      <x:c r="M44" s="24" t="str">
        <x:v>Muscles: Biceps femoris long head; Biceps femoris short head; Semimembranosus; Semitendinosus | Tendons/fascia: Atlas-listed tendon/aponeurosis examples: Common hamstring proximal tendon; distal biceps tendon; Common biceps femoris distal tendon; Broad proximal membrane; distal semimembranosus tendon; Long distal pes anserinus tendon | Ligament context only: ACL, PCL, MCL, LCL and patellar retinacula stabilize knee; NOT deliberately stretched</x:v>
      </x:c>
      <x:c r="N44" s="24" t="str">
        <x:v>Biceps femoris long head; Biceps femoris short head; Semimembranosus; Semitendinosus</x:v>
      </x:c>
      <x:c r="O44" s="24" t="str">
        <x:v>Lie prone, curl pad toward hips without lifting pelvis.</x:v>
      </x:c>
      <x:c r="P44" s="24" t="str">
        <x:v>Leg curl machine</x:v>
      </x:c>
      <x:c r="Q44" s="24" t="str">
        <x:v>2–3 × 8–12 controlled reps</x:v>
      </x:c>
      <x:c r="R44" s="24" t="str">
        <x:v>Progress gradually; stop with sharp pain, dizziness, or numbness.</x:v>
      </x:c>
      <x:c r="S44" s="24" t="str">
        <x:v>https://www.orthoinfo.org/recovery/knee-conditioning-program</x:v>
      </x:c>
      <x:c r="T44" s="24" t="str">
        <x:v>Anatomy-based mapping</x:v>
      </x:c>
    </x:row>
    <x:row r="45" ht="54" customHeight="1">
      <x:c r="A45" s="24" t="str">
        <x:v>EX0170</x:v>
      </x:c>
      <x:c r="B45" s="24" t="str">
        <x:v>Dumbbell Romanian deadlift</x:v>
      </x:c>
      <x:c r="C45" s="24" t="str">
        <x:v>Thigh &amp; Knee</x:v>
      </x:c>
      <x:c r="D45" s="24" t="str">
        <x:v>Gym</x:v>
      </x:c>
      <x:c r="E45" s="24" t="str">
        <x:v>Compound strength</x:v>
      </x:c>
      <x:c r="F45" s="24" t="str">
        <x:v>Biceps femoris long head; Biceps femoris short head; Semimembranosus; Semitendinosus; Gluteus maximus</x:v>
      </x:c>
      <x:c r="G45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45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I45" s="24" t="str">
        <x:v>—</x:v>
      </x:c>
      <x:c r="J45" s="24" t="str">
        <x:v>Biceps femoris long head; Biceps femoris short head; Semimembranosus; Semitendinosus;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45" s="24" t="str">
        <x:v>Proximal hamstring tendons; gluteal insertion tendons</x:v>
      </x:c>
      <x:c r="L45" s="24" t="str">
        <x:v>ACL, PCL, MCL, LCL and patellar retinacula stabilize knee; NOT deliberately stretched</x:v>
      </x:c>
      <x:c r="M45" s="24" t="str">
        <x:v>Muscles: Biceps femoris long head; Biceps femoris short head; Semimembranosus; Semitendinosus;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Proximal hamstring tendons; gluteal insertion tendons | Ligament context only: ACL, PCL, MCL, LCL and patellar retinacula stabilize knee; NOT deliberately stretched</x:v>
      </x:c>
      <x:c r="N45" s="24" t="str">
        <x:v>Biceps femoris long head; Biceps femoris short head; Semimembranosus; Semitendinosus;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45" s="24" t="str">
        <x:v>Keep weights close; push hips back until hamstrings loaded, then stand.</x:v>
      </x:c>
      <x:c r="P45" s="24" t="str">
        <x:v>Dumbbells</x:v>
      </x:c>
      <x:c r="Q45" s="24" t="str">
        <x:v>2–3 × 8–12 controlled reps</x:v>
      </x:c>
      <x:c r="R45" s="24" t="str">
        <x:v>Progress gradually; stop with sharp pain, dizziness, or numbness.</x:v>
      </x:c>
      <x:c r="S45" s="24" t="str">
        <x:v>https://www.orthoinfo.org/recovery/knee-conditioning-program</x:v>
      </x:c>
      <x:c r="T45" s="24" t="str">
        <x:v>Anatomy-based mapping</x:v>
      </x:c>
    </x:row>
    <x:row r="46" ht="54" customHeight="1">
      <x:c r="A46" s="24" t="str">
        <x:v>EX0171</x:v>
      </x:c>
      <x:c r="B46" s="24" t="str">
        <x:v>Barbell Romanian deadlift</x:v>
      </x:c>
      <x:c r="C46" s="24" t="str">
        <x:v>Thigh &amp; Knee</x:v>
      </x:c>
      <x:c r="D46" s="24" t="str">
        <x:v>Gym</x:v>
      </x:c>
      <x:c r="E46" s="24" t="str">
        <x:v>Compound strength</x:v>
      </x:c>
      <x:c r="F46" s="24" t="str">
        <x:v>Biceps femoris long head; Biceps femoris short head; Semimembranosus; Semitendinosus; Gluteus maximus</x:v>
      </x:c>
      <x:c r="G46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46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I46" s="24" t="str">
        <x:v>—</x:v>
      </x:c>
      <x:c r="J46" s="24" t="str">
        <x:v>Biceps femoris long head; Biceps femoris short head; Semimembranosus; Semitendinosus;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46" s="24" t="str">
        <x:v>Atlas-listed tendon/aponeurosis examples: Common hamstring proximal tendon; distal biceps tendon; Common biceps femoris distal tendon; Broad proximal membrane; distal semimembranosus tendon; Long distal pes anserinus tendon; additional listed attachments</x:v>
      </x:c>
      <x:c r="L46" s="24" t="str">
        <x:v>ACL, PCL, MCL, LCL and patellar retinacula stabilize knee; NOT deliberately stretched</x:v>
      </x:c>
      <x:c r="M46" s="24" t="str">
        <x:v>Muscles: Biceps femoris long head; Biceps femoris short head; Semimembranosus; Semitendinosus;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Atlas-listed tendon/aponeurosis examples: Common hamstring proximal tendon; distal biceps tendon; Common biceps femoris distal tendon; Broad proximal membrane; distal semimembranosus tendon; Long distal pes anserinus tendon; additional listed attachments | Ligament context only: ACL, PCL, MCL, LCL and patellar retinacula stabilize knee; NOT deliberately stretched</x:v>
      </x:c>
      <x:c r="N46" s="24" t="str">
        <x:v>Biceps femoris long head; Biceps femoris short head; Semimembranosus; Semitendinosus;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46" s="24" t="str">
        <x:v>Hinge with bar near shins and spine neutral; return by hip extension.</x:v>
      </x:c>
      <x:c r="P46" s="24" t="str">
        <x:v>Barbell</x:v>
      </x:c>
      <x:c r="Q46" s="24" t="str">
        <x:v>2–3 × 8–12 controlled reps</x:v>
      </x:c>
      <x:c r="R46" s="24" t="str">
        <x:v>Progress gradually; stop with sharp pain, dizziness, or numbness.</x:v>
      </x:c>
      <x:c r="S46" s="24" t="str">
        <x:v>https://www.orthoinfo.org/recovery/knee-conditioning-program</x:v>
      </x:c>
      <x:c r="T46" s="24" t="str">
        <x:v>Anatomy-based mapping</x:v>
      </x:c>
    </x:row>
    <x:row r="47" ht="54" customHeight="1">
      <x:c r="A47" s="24" t="str">
        <x:v>EX0173</x:v>
      </x:c>
      <x:c r="B47" s="24" t="str">
        <x:v>Conventional deadlift</x:v>
      </x:c>
      <x:c r="C47" s="24" t="str">
        <x:v>Thigh &amp; Knee</x:v>
      </x:c>
      <x:c r="D47" s="24" t="str">
        <x:v>Gym</x:v>
      </x:c>
      <x:c r="E47" s="24" t="str">
        <x:v>Compound strength</x:v>
      </x:c>
      <x:c r="F47" s="24" t="str">
        <x:v>Gluteus maximus; Vastus intermedius; Vastus lateralis; Vastus medialis; Rectus femoris reflected head; Rectus femoris straight head; Biceps femoris long head; Biceps femoris short head; Semimembranosus; Semitendinosus</x:v>
      </x:c>
      <x:c r="G47" s="24" t="str">
        <x:v>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H47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I47" s="24" t="str">
        <x:v>—</x:v>
      </x:c>
      <x:c r="J47" s="24" t="str">
        <x:v>Gluteus maximus; Vastus intermedius; Vastus lateralis; Vastus medialis; Rectus femoris reflected head; Rectus femoris straight head;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K47" s="24" t="str">
        <x:v>Hamstring/gluteal; quadriceps/patellar and finger flexor tendons</x:v>
      </x:c>
      <x:c r="L47" s="24" t="str">
        <x:v>ACL, PCL, MCL, LCL and patellar retinacula stabilize knee; NOT deliberately stretched</x:v>
      </x:c>
      <x:c r="M47" s="24" t="str">
        <x:v>Muscles: Gluteus maximus; Vastus intermedius; Vastus lateralis; Vastus medialis; Rectus femoris reflected head; Rectus femoris straight head;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 | Tendons/fascia: Hamstring/gluteal; quadriceps/patellar and finger flexor tendons | Ligament context only: ACL, PCL, MCL, LCL and patellar retinacula stabilize knee; NOT deliberately stretched</x:v>
      </x:c>
      <x:c r="N47" s="24" t="str">
        <x:v>Gluteus maximus; Vastus intermedius; Vastus lateralis; Vastus medialis; Rectus femoris reflected head; Rectus femoris straight head; Biceps femoris long head; Biceps femoris short head; Semimembranosus; Semitendinosus;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</x:v>
      </x:c>
      <x:c r="O47" s="24" t="str">
        <x:v>Set bar over midfoot; brace, push floor away and stand tall.</x:v>
      </x:c>
      <x:c r="P47" s="24" t="str">
        <x:v>Barbell; plates</x:v>
      </x:c>
      <x:c r="Q47" s="24" t="str">
        <x:v>2–3 × 8–12 controlled reps</x:v>
      </x:c>
      <x:c r="R47" s="24" t="str">
        <x:v>Progress gradually; stop with sharp pain, dizziness, or numbness.</x:v>
      </x:c>
      <x:c r="S47" s="24" t="str">
        <x:v>https://www.orthoinfo.org/recovery/knee-conditioning-program</x:v>
      </x:c>
      <x:c r="T47" s="24" t="str">
        <x:v>Anatomy-based mapping</x:v>
      </x:c>
    </x:row>
    <x:row r="48" ht="54" customHeight="1">
      <x:c r="A48" s="24" t="str">
        <x:v>EX0174</x:v>
      </x:c>
      <x:c r="B48" s="24" t="str">
        <x:v>Sumo deadlift</x:v>
      </x:c>
      <x:c r="C48" s="24" t="str">
        <x:v>Thigh &amp; Knee</x:v>
      </x:c>
      <x:c r="D48" s="24" t="str">
        <x:v>Gym</x:v>
      </x:c>
      <x:c r="E48" s="24" t="str">
        <x:v>Compound strength</x:v>
      </x:c>
      <x:c r="F48" s="24" t="str">
        <x:v>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Vastus intermedius; Vastus lateralis; Vastus medialis; Rectus femoris reflected head; Rectus femoris straight head</x:v>
      </x:c>
      <x:c r="G48" s="24" t="str">
        <x:v>Biceps femoris long head; Biceps femoris short head; Semimembranosus; Semitendinosus</x:v>
      </x:c>
      <x:c r="H48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I48" s="24" t="str">
        <x:v>—</x:v>
      </x:c>
      <x:c r="J48" s="24" t="str">
        <x:v>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Vastus intermedius; Vastus lateralis; Vastus medialis; Rectus femoris reflected head; Rectus femoris straight head; Biceps femoris long head; Biceps femoris short head; Semimembranosus; Semitendinosus;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K48" s="24" t="str">
        <x:v>Atlas-listed tendon/aponeurosis examples: Iliotibial tract aponeurosis and gluteal tendon; Adductor tendon through ulnar sesamoid; Common adductor tendon; Broad short insertion; additional listed attachments</x:v>
      </x:c>
      <x:c r="L48" s="24" t="str">
        <x:v>ACL, PCL, MCL, LCL and patellar retinacula stabilize knee; NOT deliberately stretched</x:v>
      </x:c>
      <x:c r="M48" s="24" t="str">
        <x:v>Muscles: 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Vastus intermedius; Vastus lateralis; Vastus medialis; Rectus femoris reflected head; Rectus femoris straight head; Biceps femoris long head; Biceps femoris short head; Semimembranosus; Semitendinosus;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 | Tendons/fascia: Atlas-listed tendon/aponeurosis examples: Iliotibial tract aponeurosis and gluteal tendon; Adductor tendon through ulnar sesamoid; Common adductor tendon; Broad short insertion; additional listed attachments | Ligament context only: ACL, PCL, MCL, LCL and patellar retinacula stabilize knee; NOT deliberately stretched</x:v>
      </x:c>
      <x:c r="N48" s="24" t="str">
        <x:v>Gluteus maximus; Adductor pollicis oblique head; Adductor pollicis transverse head; Adductor minimus (proximal magnus subdivision); Adductor brevis; Adductor longus; Adductor magnus adductor part; Adductor magnus hamstring part; Adductor hallucis oblique head; Adductor hallucis transverse head; Gracilis; Pectineus; Vastus intermedius; Vastus lateralis; Vastus medialis; Rectus femoris reflected head; Rectus femoris straight head; Biceps femoris long head; Biceps femoris short head; Semimembranosus; Semitendinosus</x:v>
      </x:c>
      <x:c r="O48" s="24" t="str">
        <x:v>Take comfortable wide stance with toes out; stand with knees tracking toes.</x:v>
      </x:c>
      <x:c r="P48" s="24" t="str">
        <x:v>Barbell; plates</x:v>
      </x:c>
      <x:c r="Q48" s="24" t="str">
        <x:v>2–3 × 8–12 controlled reps</x:v>
      </x:c>
      <x:c r="R48" s="24" t="str">
        <x:v>Progress gradually; stop with sharp pain, dizziness, or numbness.</x:v>
      </x:c>
      <x:c r="S48" s="24" t="str">
        <x:v>https://www.orthoinfo.org/recovery/knee-conditioning-program</x:v>
      </x:c>
      <x:c r="T48" s="24" t="str">
        <x:v>Anatomy-based mapping</x:v>
      </x:c>
    </x:row>
    <x:row r="49" ht="54" customHeight="1">
      <x:c r="A49" s="24" t="str">
        <x:v>EX0175</x:v>
      </x:c>
      <x:c r="B49" s="24" t="str">
        <x:v>Good morning (empty bar/light)</x:v>
      </x:c>
      <x:c r="C49" s="24" t="str">
        <x:v>Thigh &amp; Knee</x:v>
      </x:c>
      <x:c r="D49" s="24" t="str">
        <x:v>Gym</x:v>
      </x:c>
      <x:c r="E49" s="24" t="str">
        <x:v>Compound strength</x:v>
      </x:c>
      <x:c r="F49" s="24" t="str">
        <x:v>Biceps femoris long head; Biceps femoris short head; Semimembranosus; Semitendinosus; Gluteus maximus</x:v>
      </x:c>
      <x:c r="G49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H49" s="24" t="str">
        <x:v>Rectus abdominis; External oblique; Internal oblique; Transversus abdominis</x:v>
      </x:c>
      <x:c r="I49" s="24" t="str">
        <x:v>—</x:v>
      </x:c>
      <x:c r="J49" s="24" t="str">
        <x:v>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49" s="24" t="str">
        <x:v>Atlas-listed tendon/aponeurosis examples: Common hamstring proximal tendon; distal biceps tendon; Common biceps femoris distal tendon; Broad proximal membrane; distal semimembranosus tendon; Long distal pes anserinus tendon; additional listed attachments</x:v>
      </x:c>
      <x:c r="L49" s="24" t="str">
        <x:v>ACL, PCL, MCL, LCL and patellar retinacula stabilize knee; NOT deliberately stretched</x:v>
      </x:c>
      <x:c r="M49" s="24" t="str">
        <x:v>Muscles: 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Atlas-listed tendon/aponeurosis examples: Common hamstring proximal tendon; distal biceps tendon; Common biceps femoris distal tendon; Broad proximal membrane; distal semimembranosus tendon; Long distal pes anserinus tendon; additional listed attachments | Ligament context only: ACL, PCL, MCL, LCL and patellar retinacula stabilize knee; NOT deliberately stretched</x:v>
      </x:c>
      <x:c r="N49" s="24" t="str">
        <x:v>Biceps femoris long head; Biceps femoris short head; Semimembranosus; Semitendinosus; Gluteus maximus;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O49" s="24" t="str">
        <x:v>With light bar, hinge hips back without rounding trunk.</x:v>
      </x:c>
      <x:c r="P49" s="24" t="str">
        <x:v>Light bar</x:v>
      </x:c>
      <x:c r="Q49" s="24" t="str">
        <x:v>2–3 × 8–12 controlled reps</x:v>
      </x:c>
      <x:c r="R49" s="24" t="str">
        <x:v>Progress gradually; stop with sharp pain, dizziness, or numbness.</x:v>
      </x:c>
      <x:c r="S49" s="24" t="str">
        <x:v>https://www.orthoinfo.org/recovery/knee-conditioning-program</x:v>
      </x:c>
      <x:c r="T49" s="24" t="str">
        <x:v>Anatomy-based mapping</x:v>
      </x:c>
    </x:row>
    <x:row r="50" ht="54" customHeight="1">
      <x:c r="A50" s="24" t="str">
        <x:v>EX0192</x:v>
      </x:c>
      <x:c r="B50" s="24" t="str">
        <x:v>Standing calf raise machine</x:v>
      </x:c>
      <x:c r="C50" s="24" t="str">
        <x:v>Leg &amp; Ankle</x:v>
      </x:c>
      <x:c r="D50" s="24" t="str">
        <x:v>Gym</x:v>
      </x:c>
      <x:c r="E50" s="24" t="str">
        <x:v>Isolation strength</x:v>
      </x:c>
      <x:c r="F50" s="24" t="str">
        <x:v>Gastrocnemius lateral head; Gastrocnemius medial head; Soleus; Plantaris</x:v>
      </x:c>
      <x:c r="G50" s="24" t="str">
        <x:v>Tibialis posterior</x:v>
      </x:c>
      <x:c r="H50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50" s="24" t="str">
        <x:v>—</x:v>
      </x:c>
      <x:c r="J50" s="24" t="str">
        <x:v>Gastrocnemius lateral head; Gastrocnemius medial head; Soleus; Plantaris; Tibialis posterior;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50" s="24" t="str">
        <x:v>Achilles tendon</x:v>
      </x:c>
      <x:c r="L50" s="24" t="str">
        <x:v>Deltoid ligament and lateral ankle ligaments (ATFL/CFL/PTFL) stabilize ankle; NOT intentionally stretched</x:v>
      </x:c>
      <x:c r="M50" s="24" t="str">
        <x:v>Muscles: Gastrocnemius lateral head; Gastrocnemius medial head; Soleus; Plantaris; Tibialis posterior;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Achilles tendon | Ligament context only: Deltoid ligament and lateral ankle ligaments (ATFL/CFL/PTFL) stabilize ankle; NOT intentionally stretched</x:v>
      </x:c>
      <x:c r="N50" s="24" t="str">
        <x:v>Gastrocnemius lateral head; Gastrocnemius medial head; Soleus; Plantaris; Tibialis posterior</x:v>
      </x:c>
      <x:c r="O50" s="24" t="str">
        <x:v>Rise through forefoot then lower under control.</x:v>
      </x:c>
      <x:c r="P50" s="24" t="str">
        <x:v>Calf machine</x:v>
      </x:c>
      <x:c r="Q50" s="24" t="str">
        <x:v>2–3 × 8–12 controlled reps</x:v>
      </x:c>
      <x:c r="R50" s="24" t="str">
        <x:v>Progress gradually; stop with sharp pain, dizziness, or numbness.</x:v>
      </x:c>
      <x:c r="S50" s="24" t="str">
        <x:v>https://www.orthoinfo.org/recovery/foot-and-ankle-conditioning-program</x:v>
      </x:c>
      <x:c r="T50" s="24" t="str">
        <x:v>Anatomy-based mapping</x:v>
      </x:c>
    </x:row>
    <x:row r="51" ht="54" customHeight="1">
      <x:c r="A51" s="24" t="str">
        <x:v>EX0193</x:v>
      </x:c>
      <x:c r="B51" s="24" t="str">
        <x:v>Seated calf raise machine</x:v>
      </x:c>
      <x:c r="C51" s="24" t="str">
        <x:v>Leg &amp; Ankle</x:v>
      </x:c>
      <x:c r="D51" s="24" t="str">
        <x:v>Gym</x:v>
      </x:c>
      <x:c r="E51" s="24" t="str">
        <x:v>Isolation strength</x:v>
      </x:c>
      <x:c r="F51" s="24" t="str">
        <x:v>Soleus</x:v>
      </x:c>
      <x:c r="G51" s="24" t="str">
        <x:v>Gastrocnemius lateral head; Gastrocnemius medial head</x:v>
      </x:c>
      <x:c r="H51" s="24" t="str">
        <x:v>—</x:v>
      </x:c>
      <x:c r="I51" s="24" t="str">
        <x:v>—</x:v>
      </x:c>
      <x:c r="J51" s="24" t="str">
        <x:v>Soleus; Gastrocnemius lateral head; Gastrocnemius medial head</x:v>
      </x:c>
      <x:c r="K51" s="24" t="str">
        <x:v>Achilles tendon</x:v>
      </x:c>
      <x:c r="L51" s="24" t="str">
        <x:v>Deltoid ligament and lateral ankle ligaments (ATFL/CFL/PTFL) stabilize ankle; NOT intentionally stretched</x:v>
      </x:c>
      <x:c r="M51" s="24" t="str">
        <x:v>Muscles: Soleus; Gastrocnemius lateral head; Gastrocnemius medial head | Tendons/fascia: Achilles tendon | Ligament context only: Deltoid ligament and lateral ankle ligaments (ATFL/CFL/PTFL) stabilize ankle; NOT intentionally stretched</x:v>
      </x:c>
      <x:c r="N51" s="24" t="str">
        <x:v>Soleus; Gastrocnemius lateral head; Gastrocnemius medial head</x:v>
      </x:c>
      <x:c r="O51" s="24" t="str">
        <x:v>Keep knees bent and move through ankle plantar flexion.</x:v>
      </x:c>
      <x:c r="P51" s="24" t="str">
        <x:v>Seated calf machine</x:v>
      </x:c>
      <x:c r="Q51" s="24" t="str">
        <x:v>2–3 × 8–12 controlled reps</x:v>
      </x:c>
      <x:c r="R51" s="24" t="str">
        <x:v>Progress gradually; stop with sharp pain, dizziness, or numbness.</x:v>
      </x:c>
      <x:c r="S51" s="24" t="str">
        <x:v>https://www.orthoinfo.org/recovery/foot-and-ankle-conditioning-program</x:v>
      </x:c>
      <x:c r="T51" s="24" t="str">
        <x:v>Anatomy-based mapping</x:v>
      </x:c>
    </x:row>
    <x:row r="52" ht="54" customHeight="1">
      <x:c r="A52" s="24" t="str">
        <x:v>EX0199</x:v>
      </x:c>
      <x:c r="B52" s="24" t="str">
        <x:v>Tibialis raise machine / dumbbell foot lift</x:v>
      </x:c>
      <x:c r="C52" s="24" t="str">
        <x:v>Leg &amp; Ankle</x:v>
      </x:c>
      <x:c r="D52" s="24" t="str">
        <x:v>Gym</x:v>
      </x:c>
      <x:c r="E52" s="24" t="str">
        <x:v>Isolation strength</x:v>
      </x:c>
      <x:c r="F52" s="24" t="str">
        <x:v>Tibialis anterior</x:v>
      </x:c>
      <x:c r="G52" s="24" t="str">
        <x:v>Extensor digitorum longus; Extensor hallucis longus; Fibularis tertius</x:v>
      </x:c>
      <x:c r="H52" s="24" t="str">
        <x:v>—</x:v>
      </x:c>
      <x:c r="I52" s="24" t="str">
        <x:v>—</x:v>
      </x:c>
      <x:c r="J52" s="24" t="str">
        <x:v>Tibialis anterior; Extensor digitorum longus; Extensor hallucis longus; Fibularis tertius</x:v>
      </x:c>
      <x:c r="K52" s="24" t="str">
        <x:v>Tibialis anterior tendon</x:v>
      </x:c>
      <x:c r="L52" s="24" t="str">
        <x:v>Deltoid ligament and lateral ankle ligaments (ATFL/CFL/PTFL) stabilize ankle; NOT intentionally stretched</x:v>
      </x:c>
      <x:c r="M52" s="24" t="str">
        <x:v>Muscles: Tibialis anterior; Extensor digitorum longus; Extensor hallucis longus; Fibularis tertius | Tendons/fascia: Tibialis anterior tendon | Ligament context only: Deltoid ligament and lateral ankle ligaments (ATFL/CFL/PTFL) stabilize ankle; NOT intentionally stretched</x:v>
      </x:c>
      <x:c r="N52" s="24" t="str">
        <x:v>Tibialis anterior; Extensor digitorum longus; Extensor hallucis longus; Fibularis tertius</x:v>
      </x:c>
      <x:c r="O52" s="24" t="str">
        <x:v>Dorsiflex foot against very light load, knee still.</x:v>
      </x:c>
      <x:c r="P52" s="24" t="str">
        <x:v>Tib bar or ankle attachment</x:v>
      </x:c>
      <x:c r="Q52" s="24" t="str">
        <x:v>2–3 × 8–12 controlled reps</x:v>
      </x:c>
      <x:c r="R52" s="24" t="str">
        <x:v>Progress gradually; stop with sharp pain, dizziness, or numbness.</x:v>
      </x:c>
      <x:c r="S52" s="24" t="str">
        <x:v>https://www.orthoinfo.org/recovery/foot-and-ankle-conditioning-program</x:v>
      </x:c>
      <x:c r="T52" s="24" t="str">
        <x:v>Anatomy-based mapping</x:v>
      </x:c>
    </x:row>
    <x:row r="53" ht="54" customHeight="1">
      <x:c r="A53" s="24" t="str">
        <x:v>EX0232</x:v>
      </x:c>
      <x:c r="B53" s="24" t="str">
        <x:v>Leg press calf raise</x:v>
      </x:c>
      <x:c r="C53" s="24" t="str">
        <x:v>Leg &amp; Ankle</x:v>
      </x:c>
      <x:c r="D53" s="24" t="str">
        <x:v>Gym</x:v>
      </x:c>
      <x:c r="E53" s="24" t="str">
        <x:v>Isolation strength</x:v>
      </x:c>
      <x:c r="F53" s="24" t="str">
        <x:v>Gastrocnemius lateral head; Gastrocnemius medial head; Soleus; Plantaris</x:v>
      </x:c>
      <x:c r="G53" s="24" t="str">
        <x:v>Tibialis posterior</x:v>
      </x:c>
      <x:c r="H53" s="24" t="str">
        <x:v>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I53" s="24" t="str">
        <x:v>—</x:v>
      </x:c>
      <x:c r="J53" s="24" t="str">
        <x:v>Gastrocnemius lateral head; Gastrocnemius medial head; Soleus; Plantaris; Tibialis posterior;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</x:v>
      </x:c>
      <x:c r="K53" s="24" t="str">
        <x:v>Achilles tendon</x:v>
      </x:c>
      <x:c r="L53" s="24" t="str">
        <x:v>Deltoid ligament and lateral ankle ligaments (ATFL/CFL/PTFL) stabilize ankle; NOT intentionally stretched</x:v>
      </x:c>
      <x:c r="M53" s="24" t="str">
        <x:v>Muscles: Gastrocnemius lateral head; Gastrocnemius medial head; Soleus; Plantaris; Tibialis posterior; Abductor hallucis; Abductor digiti minimi (foot); Adductor hallucis oblique head; Adductor hallucis transverse head; Flexor hallucis brevis lateral head; Flexor hallucis brevis medial head; Flexor digitorum brevis; Quadratus plantae lateral head; Quadratus plantae medial head; Lumbrical 1 (foot); Lumbrical 2 (foot); Lumbrical 3 (foot); Lumbrical 4 (foot); Dorsal interosseous 1 (foot); Dorsal interosseous 2 (foot); Dorsal interosseous 3 (foot); Dorsal interosseous 4 (foot); Plantar interosseous 1 (third toe); Plantar interosseous 2 (fourth toe); Plantar interosseous 3 (fifth toe); Flexor digiti minimi brevis (foot); Opponens digiti minimi (foot, variable) | Tendons/fascia: Achilles tendon | Ligament context only: Deltoid ligament and lateral ankle ligaments (ATFL/CFL/PTFL) stabilize ankle; NOT intentionally stretched</x:v>
      </x:c>
      <x:c r="N53" s="24" t="str">
        <x:v>Gastrocnemius lateral head; Gastrocnemius medial head; Soleus; Plantaris; Tibialis posterior</x:v>
      </x:c>
      <x:c r="O53" s="24" t="str">
        <x:v>On leg press platform plantarflex ankles only, knees soft.</x:v>
      </x:c>
      <x:c r="P53" s="24" t="str">
        <x:v>Leg press machine</x:v>
      </x:c>
      <x:c r="Q53" s="24" t="str">
        <x:v>2–3 × 8–12 controlled reps</x:v>
      </x:c>
      <x:c r="R53" s="24" t="str">
        <x:v>Progress gradually; stop with sharp pain, dizziness, or numbness.</x:v>
      </x:c>
      <x:c r="S53" s="24" t="str">
        <x:v>https://www.orthoinfo.org/recovery/foot-and-ankle-conditioning-program</x:v>
      </x:c>
      <x:c r="T53" s="24" t="str">
        <x:v>Anatomy-based mapping</x:v>
      </x:c>
    </x:row>
    <x:row r="54" ht="54" customHeight="1">
      <x:c r="A54" s="24" t="str">
        <x:v>EX0245</x:v>
      </x:c>
      <x:c r="B54" s="24" t="str">
        <x:v>Cable anti-rotation press</x:v>
      </x:c>
      <x:c r="C54" s="24" t="str">
        <x:v>Abdomen &amp; Core</x:v>
      </x:c>
      <x:c r="D54" s="24" t="str">
        <x:v>Gym</x:v>
      </x:c>
      <x:c r="E54" s="24" t="str">
        <x:v>Compound strength</x:v>
      </x:c>
      <x:c r="F54" s="24" t="str">
        <x:v>External oblique; Internal oblique; Transversus abdominis</x:v>
      </x:c>
      <x:c r="G54" s="24" t="str">
        <x:v>Rectus abdominis</x:v>
      </x:c>
      <x:c r="H54" s="24" t="str">
        <x:v>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54" s="24" t="str">
        <x:v>—</x:v>
      </x:c>
      <x:c r="J54" s="24" t="str">
        <x:v>External oblique; Internal oblique; Transversus abdominis; Rectus abdominis;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54" s="24" t="str">
        <x:v>Atlas-listed tendon/aponeurosis examples: Broad external oblique aponeurosis; Internal oblique aponeurosis; conjoint tendon; Transversus aponeurosis; conjoint tendon; Tendinous intersections and rectus sheath insertion</x:v>
      </x:c>
      <x:c r="L54" s="24" t="str">
        <x:v>Thoracolumbar fascia and spinal ligaments contribute passive stability; NOT targeted for stretching</x:v>
      </x:c>
      <x:c r="M54" s="24" t="str">
        <x:v>Muscles: External oblique; Internal oblique; Transversus abdominis; Rectus abdominis;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Broad external oblique aponeurosis; Internal oblique aponeurosis; conjoint tendon; Transversus aponeurosis; conjoint tendon; Tendinous intersections and rectus sheath insertion | Ligament context only: Thoracolumbar fascia and spinal ligaments contribute passive stability; NOT targeted for stretching</x:v>
      </x:c>
      <x:c r="N54" s="24" t="str">
        <x:v>External oblique; Internal oblique; Transversus abdominis; Rectus abdominis</x:v>
      </x:c>
      <x:c r="O54" s="24" t="str">
        <x:v>Resist trunk twisting against cable while arms move forward.</x:v>
      </x:c>
      <x:c r="P54" s="24" t="str">
        <x:v>Cable station</x:v>
      </x:c>
      <x:c r="Q54" s="24" t="str">
        <x:v>2–3 × 8–12 controlled reps</x:v>
      </x:c>
      <x:c r="R54" s="24" t="str">
        <x:v>Progress gradually; stop with sharp pain, dizziness, or numbness.</x:v>
      </x:c>
      <x:c r="S54" s="24" t="str">
        <x:v>https://www.acsm.org/education-resources/trending-topics-resources/physical-activity-guidelines</x:v>
      </x:c>
      <x:c r="T54" s="24" t="str">
        <x:v>Anatomy-based mapping</x:v>
      </x:c>
    </x:row>
    <x:row r="55" ht="54" customHeight="1">
      <x:c r="A55" s="24" t="str">
        <x:v>EX0246</x:v>
      </x:c>
      <x:c r="B55" s="24" t="str">
        <x:v>Cable wood chop high-to-low</x:v>
      </x:c>
      <x:c r="C55" s="24" t="str">
        <x:v>Abdomen &amp; Core</x:v>
      </x:c>
      <x:c r="D55" s="24" t="str">
        <x:v>Gym</x:v>
      </x:c>
      <x:c r="E55" s="24" t="str">
        <x:v>Compound strength</x:v>
      </x:c>
      <x:c r="F55" s="24" t="str">
        <x:v>External oblique; Internal oblique; Transversus abdominis</x:v>
      </x:c>
      <x:c r="G55" s="24" t="str">
        <x:v>Rectus abdominis</x:v>
      </x:c>
      <x:c r="H55" s="24" t="str">
        <x:v>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55" s="24" t="str">
        <x:v>—</x:v>
      </x:c>
      <x:c r="J55" s="24" t="str">
        <x:v>External oblique; Internal oblique; Transversus abdominis; Rectus abdominis;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55" s="24" t="str">
        <x:v>Atlas-listed tendon/aponeurosis examples: Broad external oblique aponeurosis; Internal oblique aponeurosis; conjoint tendon; Transversus aponeurosis; conjoint tendon; Tendinous intersections and rectus sheath insertion</x:v>
      </x:c>
      <x:c r="L55" s="24" t="str">
        <x:v>Thoracolumbar fascia and spinal ligaments contribute passive stability; NOT targeted for stretching</x:v>
      </x:c>
      <x:c r="M55" s="24" t="str">
        <x:v>Muscles: External oblique; Internal oblique; Transversus abdominis; Rectus abdominis;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Broad external oblique aponeurosis; Internal oblique aponeurosis; conjoint tendon; Transversus aponeurosis; conjoint tendon; Tendinous intersections and rectus sheath insertion | Ligament context only: Thoracolumbar fascia and spinal ligaments contribute passive stability; NOT targeted for stretching</x:v>
      </x:c>
      <x:c r="N55" s="24" t="str">
        <x:v>External oblique; Internal oblique; Transversus abdominis; Rectus abdominis</x:v>
      </x:c>
      <x:c r="O55" s="24" t="str">
        <x:v>Draw cable diagonally toward opposite hip with controlled trunk rotation.</x:v>
      </x:c>
      <x:c r="P55" s="24" t="str">
        <x:v>Cable station</x:v>
      </x:c>
      <x:c r="Q55" s="24" t="str">
        <x:v>2–3 × 8–12 controlled reps</x:v>
      </x:c>
      <x:c r="R55" s="24" t="str">
        <x:v>Progress gradually; stop with sharp pain, dizziness, or numbness.</x:v>
      </x:c>
      <x:c r="S55" s="24" t="str">
        <x:v>https://www.acsm.org/education-resources/trending-topics-resources/physical-activity-guidelines</x:v>
      </x:c>
      <x:c r="T55" s="24" t="str">
        <x:v>Anatomy-based mapping</x:v>
      </x:c>
    </x:row>
    <x:row r="56" ht="54" customHeight="1">
      <x:c r="A56" s="24" t="str">
        <x:v>EX0247</x:v>
      </x:c>
      <x:c r="B56" s="24" t="str">
        <x:v>Cable low-to-high lift</x:v>
      </x:c>
      <x:c r="C56" s="24" t="str">
        <x:v>Abdomen &amp; Core</x:v>
      </x:c>
      <x:c r="D56" s="24" t="str">
        <x:v>Gym</x:v>
      </x:c>
      <x:c r="E56" s="24" t="str">
        <x:v>Compound strength</x:v>
      </x:c>
      <x:c r="F56" s="24" t="str">
        <x:v>External oblique; Internal oblique; Transversus abdominis</x:v>
      </x:c>
      <x:c r="G56" s="24" t="str">
        <x:v>Trapezius; Serratus anterior; Deltoid; Supraspinatus</x:v>
      </x:c>
      <x:c r="H56" s="24" t="str">
        <x:v>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56" s="24" t="str">
        <x:v>—</x:v>
      </x:c>
      <x:c r="J56" s="24" t="str">
        <x:v>External oblique; Internal oblique; Transversus abdominis; Trapezius; Serratus anterior; Deltoid; Supraspinatus;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56" s="24" t="str">
        <x:v>Atlas-listed tendon/aponeurosis examples: Broad external oblique aponeurosis; Internal oblique aponeurosis; conjoint tendon; Transversus aponeurosis; conjoint tendon; Broad aponeuroses and scapular/clavicular tendinous insertions; additional listed attachments</x:v>
      </x:c>
      <x:c r="L56" s="24" t="str">
        <x:v>Thoracolumbar fascia and spinal ligaments contribute passive stability; NOT targeted for stretching</x:v>
      </x:c>
      <x:c r="M56" s="24" t="str">
        <x:v>Muscles: External oblique; Internal oblique; Transversus abdominis; Trapezius; Serratus anterior; Deltoid; Supraspinatus;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Broad external oblique aponeurosis; Internal oblique aponeurosis; conjoint tendon; Transversus aponeurosis; conjoint tendon; Broad aponeuroses and scapular/clavicular tendinous insertions; additional listed attachments | Ligament context only: Thoracolumbar fascia and spinal ligaments contribute passive stability; NOT targeted for stretching</x:v>
      </x:c>
      <x:c r="N56" s="24" t="str">
        <x:v>External oblique; Internal oblique; Transversus abdominis; Trapezius; Serratus anterior; Deltoid; Supraspinatus</x:v>
      </x:c>
      <x:c r="O56" s="24" t="str">
        <x:v>Pull cable diagonally up through trunk/shoulder rotation without wrenching spine.</x:v>
      </x:c>
      <x:c r="P56" s="24" t="str">
        <x:v>Cable station</x:v>
      </x:c>
      <x:c r="Q56" s="24" t="str">
        <x:v>2–3 × 8–12 controlled reps</x:v>
      </x:c>
      <x:c r="R56" s="24" t="str">
        <x:v>Progress gradually; stop with sharp pain, dizziness, or numbness.</x:v>
      </x:c>
      <x:c r="S56" s="24" t="str">
        <x:v>https://www.acsm.org/education-resources/trending-topics-resources/physical-activity-guidelines</x:v>
      </x:c>
      <x:c r="T56" s="24" t="str">
        <x:v>Anatomy-based mapping</x:v>
      </x:c>
    </x:row>
    <x:row r="57" ht="54" customHeight="1">
      <x:c r="A57" s="24" t="str">
        <x:v>EX0248</x:v>
      </x:c>
      <x:c r="B57" s="24" t="str">
        <x:v>Hanging knee raise assisted</x:v>
      </x:c>
      <x:c r="C57" s="24" t="str">
        <x:v>Abdomen &amp; Core</x:v>
      </x:c>
      <x:c r="D57" s="24" t="str">
        <x:v>Gym</x:v>
      </x:c>
      <x:c r="E57" s="24" t="str">
        <x:v>Compound strength</x:v>
      </x:c>
      <x:c r="F57" s="24" t="str">
        <x:v>Iliacus; Psoas major; Sartorius; Tensor fasciae latae; Rectus femoris reflected head; Rectus femoris straight head; Pectineus; Rectus abdominis</x:v>
      </x:c>
      <x:c r="G57" s="24" t="str">
        <x:v>External oblique; Internal oblique; Transversus abdominis</x:v>
      </x:c>
      <x:c r="H57" s="24" t="str">
        <x:v>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Rhomboid major; Rhomboid minor; Trapezius</x:v>
      </x:c>
      <x:c r="I57" s="24" t="str">
        <x:v>—</x:v>
      </x:c>
      <x:c r="J57" s="24" t="str">
        <x:v>Iliacus; Psoas major; Sartorius; Tensor fasciae latae; Rectus femoris reflected head; Rectus femoris straight head; Pectineus;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Rhomboid major; Rhomboid minor; Trapezius</x:v>
      </x:c>
      <x:c r="K57" s="24" t="str">
        <x:v>Atlas-listed tendon/aponeurosis examples: Iliopsoas shared tendon; Pes anserinus superficial tendon; Iliotibial tract (fascial thickening); Reflected proximal tendon; quadriceps tendon; additional listed attachments</x:v>
      </x:c>
      <x:c r="L57" s="24" t="str">
        <x:v>Thoracolumbar fascia and spinal ligaments contribute passive stability; NOT targeted for stretching</x:v>
      </x:c>
      <x:c r="M57" s="24" t="str">
        <x:v>Muscles: Iliacus; Psoas major; Sartorius; Tensor fasciae latae; Rectus femoris reflected head; Rectus femoris straight head; Pectineus;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Rhomboid major; Rhomboid minor; Trapezius | Tendons/fascia: Atlas-listed tendon/aponeurosis examples: Iliopsoas shared tendon; Pes anserinus superficial tendon; Iliotibial tract (fascial thickening); Reflected proximal tendon; quadriceps tendon; additional listed attachments | Ligament context only: Thoracolumbar fascia and spinal ligaments contribute passive stability; NOT targeted for stretching</x:v>
      </x:c>
      <x:c r="N57" s="24" t="str">
        <x:v>Iliacus; Psoas major; Sartorius; Tensor fasciae latae; Rectus femoris reflected head; Rectus femoris straight head; Pectineus; Rectus abdominis; External oblique; Internal oblique; Transversus abdominis</x:v>
      </x:c>
      <x:c r="O57" s="24" t="str">
        <x:v>From captain's chair or bar, flex hips and gently posteriorly tilt pelvis.</x:v>
      </x:c>
      <x:c r="P57" s="24" t="str">
        <x:v>Captain's chair</x:v>
      </x:c>
      <x:c r="Q57" s="24" t="str">
        <x:v>2–3 × 8–12 controlled reps</x:v>
      </x:c>
      <x:c r="R57" s="24" t="str">
        <x:v>Progress gradually; stop with sharp pain, dizziness, or numbness.</x:v>
      </x:c>
      <x:c r="S57" s="24" t="str">
        <x:v>https://www.acsm.org/education-resources/trending-topics-resources/physical-activity-guidelines</x:v>
      </x:c>
      <x:c r="T57" s="24" t="str">
        <x:v>Anatomy-based mapping</x:v>
      </x:c>
    </x:row>
    <x:row r="58" ht="54" customHeight="1">
      <x:c r="A58" s="24" t="str">
        <x:v>EX0249</x:v>
      </x:c>
      <x:c r="B58" s="24" t="str">
        <x:v>Ab wheel rollout short range</x:v>
      </x:c>
      <x:c r="C58" s="24" t="str">
        <x:v>Abdomen &amp; Core</x:v>
      </x:c>
      <x:c r="D58" s="24" t="str">
        <x:v>Gym</x:v>
      </x:c>
      <x:c r="E58" s="24" t="str">
        <x:v>Compound strength</x:v>
      </x:c>
      <x:c r="F58" s="24" t="str">
        <x:v>Rectus abdominis; Transversus abdominis</x:v>
      </x:c>
      <x:c r="G58" s="24" t="str">
        <x:v>Latissimus dorsi</x:v>
      </x:c>
      <x:c r="H58" s="24" t="str">
        <x:v>Deltoid; Supraspinatus;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58" s="24" t="str">
        <x:v>—</x:v>
      </x:c>
      <x:c r="J58" s="24" t="str">
        <x:v>Rectus abdominis; Transversus abdominis; Latissimus dorsi; Deltoid; Supraspinatus;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58" s="24" t="str">
        <x:v>Abdominal aponeuroses</x:v>
      </x:c>
      <x:c r="L58" s="24" t="str">
        <x:v>Thoracolumbar fascia and spinal ligaments contribute passive stability; NOT targeted for stretching</x:v>
      </x:c>
      <x:c r="M58" s="24" t="str">
        <x:v>Muscles: Rectus abdominis; Transversus abdominis; Latissimus dorsi; Deltoid; Supraspinatus;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Abdominal aponeuroses | Ligament context only: Thoracolumbar fascia and spinal ligaments contribute passive stability; NOT targeted for stretching</x:v>
      </x:c>
      <x:c r="N58" s="24" t="str">
        <x:v>Rectus abdominis; Transversus abdominis; Latissimus dorsi</x:v>
      </x:c>
      <x:c r="O58" s="24" t="str">
        <x:v>Kneel, roll wheel only as far as trunk can resist arching.</x:v>
      </x:c>
      <x:c r="P58" s="24" t="str">
        <x:v>Ab wheel</x:v>
      </x:c>
      <x:c r="Q58" s="24" t="str">
        <x:v>2–3 × 8–12 controlled reps</x:v>
      </x:c>
      <x:c r="R58" s="24" t="str">
        <x:v>Advanced; avoid with symptomatic lumbar disc/shoulder issues.</x:v>
      </x:c>
      <x:c r="S58" s="24" t="str">
        <x:v>https://www.acsm.org/education-resources/trending-topics-resources/physical-activity-guidelines</x:v>
      </x:c>
      <x:c r="T58" s="24" t="str">
        <x:v>Anatomy-based mapping</x:v>
      </x:c>
    </x:row>
    <x:row r="59" ht="54" customHeight="1">
      <x:c r="A59" s="24" t="str">
        <x:v>EX0250</x:v>
      </x:c>
      <x:c r="B59" s="24" t="str">
        <x:v>Standing suitcase carry</x:v>
      </x:c>
      <x:c r="C59" s="24" t="str">
        <x:v>Abdomen &amp; Core</x:v>
      </x:c>
      <x:c r="D59" s="24" t="str">
        <x:v>Gym</x:v>
      </x:c>
      <x:c r="E59" s="24" t="str">
        <x:v>Compound strength</x:v>
      </x:c>
      <x:c r="F59" s="24" t="str">
        <x:v>Quadratus lumborum;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G59" s="24" t="str">
        <x:v>Trapezius</x:v>
      </x:c>
      <x:c r="H59" s="24" t="str">
        <x:v>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</x:v>
      </x:c>
      <x:c r="I59" s="24" t="str">
        <x:v>—</x:v>
      </x:c>
      <x:c r="J59" s="24" t="str">
        <x:v>Quadratus lumborum;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Trapezius;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</x:v>
      </x:c>
      <x:c r="K59" s="24" t="str">
        <x:v>Atlas-listed tendon/aponeurosis examples: Short aponeuroses to lumbar transverse processes; Broad external oblique aponeurosis; Internal oblique aponeurosis; conjoint tendon; Transversus aponeurosis; conjoint tendon; additional listed attachments</x:v>
      </x:c>
      <x:c r="L59" s="24" t="str">
        <x:v>Thoracolumbar fascia and spinal ligaments contribute passive stability; NOT targeted for stretching</x:v>
      </x:c>
      <x:c r="M59" s="24" t="str">
        <x:v>Muscles: Quadratus lumborum;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Trapezius; Gluteus medius; Gluteus minimus; Tensor fasciae latae;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 | Tendons/fascia: Atlas-listed tendon/aponeurosis examples: Short aponeuroses to lumbar transverse processes; Broad external oblique aponeurosis; Internal oblique aponeurosis; conjoint tendon; Transversus aponeurosis; conjoint tendon; additional listed attachments | Ligament context only: Thoracolumbar fascia and spinal ligaments contribute passive stability; NOT targeted for stretching</x:v>
      </x:c>
      <x:c r="N59" s="24" t="str">
        <x:v>Quadratus lumborum;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Trapezius</x:v>
      </x:c>
      <x:c r="O59" s="24" t="str">
        <x:v>Carry weight at one side; walk tall without side bending.</x:v>
      </x:c>
      <x:c r="P59" s="24" t="str">
        <x:v>Dumbbell</x:v>
      </x:c>
      <x:c r="Q59" s="24" t="str">
        <x:v>2–3 × 8–12 controlled reps</x:v>
      </x:c>
      <x:c r="R59" s="24" t="str">
        <x:v>Progress gradually; stop with sharp pain, dizziness, or numbness.</x:v>
      </x:c>
      <x:c r="S59" s="24" t="str">
        <x:v>https://www.acsm.org/education-resources/trending-topics-resources/physical-activity-guidelines</x:v>
      </x:c>
      <x:c r="T59" s="24" t="str">
        <x:v>Anatomy-based mapping</x:v>
      </x:c>
    </x:row>
    <x:row r="60" ht="54" customHeight="1">
      <x:c r="A60" s="24" t="str">
        <x:v>EX0251</x:v>
      </x:c>
      <x:c r="B60" s="24" t="str">
        <x:v>Front-rack single-dumbbell carry</x:v>
      </x:c>
      <x:c r="C60" s="24" t="str">
        <x:v>Abdomen &amp; Core</x:v>
      </x:c>
      <x:c r="D60" s="24" t="str">
        <x:v>Gym</x:v>
      </x:c>
      <x:c r="E60" s="24" t="str">
        <x:v>Compound strength</x:v>
      </x:c>
      <x:c r="F60" s="24" t="str">
        <x:v>External oblique; Internal oblique; Transversus abdominis; Rectus abdominis</x:v>
      </x:c>
      <x:c r="G60" s="24" t="str">
        <x:v>Deltoid; Supraspinatus;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H60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</x:v>
      </x:c>
      <x:c r="I60" s="24" t="str">
        <x:v>—</x:v>
      </x:c>
      <x:c r="J60" s="24" t="str">
        <x:v>External oblique; Internal oblique; Transversus abdominis; Rectus abdominis; Deltoid; Supraspinatus;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</x:v>
      </x:c>
      <x:c r="K60" s="24" t="str">
        <x:v>Atlas-listed tendon/aponeurosis examples: Broad external oblique aponeurosis; Internal oblique aponeurosis; conjoint tendon; Transversus aponeurosis; conjoint tendon; Tendinous intersections and rectus sheath insertion; additional listed attachments</x:v>
      </x:c>
      <x:c r="L60" s="24" t="str">
        <x:v>Thoracolumbar fascia and spinal ligaments contribute passive stability; NOT targeted for stretching</x:v>
      </x:c>
      <x:c r="M60" s="24" t="str">
        <x:v>Muscles: External oblique; Internal oblique; Transversus abdominis; Rectus abdominis; Deltoid; Supraspinatus;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medius; Gluteus minimus; Tensor fasciae latae | Tendons/fascia: Atlas-listed tendon/aponeurosis examples: Broad external oblique aponeurosis; Internal oblique aponeurosis; conjoint tendon; Transversus aponeurosis; conjoint tendon; Tendinous intersections and rectus sheath insertion; additional listed attachments | Ligament context only: Thoracolumbar fascia and spinal ligaments contribute passive stability; NOT targeted for stretching</x:v>
      </x:c>
      <x:c r="N60" s="24" t="str">
        <x:v>External oblique; Internal oblique; Transversus abdominis; Rectus abdominis; Deltoid; Supraspinatus;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O60" s="24" t="str">
        <x:v>Carry a dumbbell at shoulder while resisting trunk rotation.</x:v>
      </x:c>
      <x:c r="P60" s="24" t="str">
        <x:v>Dumbbell</x:v>
      </x:c>
      <x:c r="Q60" s="24" t="str">
        <x:v>2–3 × 8–12 controlled reps</x:v>
      </x:c>
      <x:c r="R60" s="24" t="str">
        <x:v>Progress gradually; stop with sharp pain, dizziness, or numbness.</x:v>
      </x:c>
      <x:c r="S60" s="24" t="str">
        <x:v>https://www.acsm.org/education-resources/trending-topics-resources/physical-activity-guidelines</x:v>
      </x:c>
      <x:c r="T60" s="24" t="str">
        <x:v>Anatomy-based mapping</x:v>
      </x:c>
    </x:row>
    <x:row r="61" ht="54" customHeight="1">
      <x:c r="A61" s="24" t="str">
        <x:v>EX0267</x:v>
      </x:c>
      <x:c r="B61" s="24" t="str">
        <x:v>Dumbbell single-arm row</x:v>
      </x:c>
      <x:c r="C61" s="24" t="str">
        <x:v>Back &amp; Spine</x:v>
      </x:c>
      <x:c r="D61" s="24" t="str">
        <x:v>Gym</x:v>
      </x:c>
      <x:c r="E61" s="24" t="str">
        <x:v>Compound strength</x:v>
      </x:c>
      <x:c r="F61" s="24" t="str">
        <x:v>Latissimus dorsi; Rhomboid major; Rhomboid minor; Trapezius</x:v>
      </x:c>
      <x:c r="G61" s="24" t="str">
        <x:v>Biceps brachii long head; Biceps brachii short head; Teres major</x:v>
      </x:c>
      <x:c r="H61" s="24" t="str">
        <x:v>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I61" s="24" t="str">
        <x:v>—</x:v>
      </x:c>
      <x:c r="J61" s="24" t="str">
        <x:v>Latissimus dorsi; Rhomboid major; Rhomboid minor; Trapezius; Biceps brachii long head; Biceps brachii short head; Teres major;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</x:v>
      </x:c>
      <x:c r="K61" s="24" t="str">
        <x:v>Atlas-listed tendon/aponeurosis examples: Flattened latissimus dorsi tendon; Fibrous scapular insertion; Fibrous insertion slips; Broad aponeuroses and scapular/clavicular tendinous insertions; additional listed attachments</x:v>
      </x:c>
      <x:c r="L61" s="24" t="str">
        <x:v>Interspinous/supraspinous ligaments and ligamenta flava limit end-range motion; NOT intentionally stretched</x:v>
      </x:c>
      <x:c r="M61" s="24" t="str">
        <x:v>Muscles: Latissimus dorsi; Rhomboid major; Rhomboid minor; Trapezius; Biceps brachii long head; Biceps brachii short head; Teres major; Rectus abdominis; External oblique; Internal oblique; Transversus abdominis; Flexor digitorum superficialis humeroulnar head; Flexor digitorum superficialis radial head; Flexor digitorum profundus lateral portion (digits 2-3); Flexor digitorum profundus medial portion (digits 4-5); Abductor pollicis brevis; Flexor pollicis brevis deep head; Flexor pollicis brevis superficial head; Opponens pollicis; Adductor pollicis oblique head; Adductor pollicis transverse head; Abductor digiti minimi (hand); Flexor digiti minimi brevis (hand); Opponens digiti minimi; Palmaris brevis; Lumbrical 1 (index); Lumbrical 2 (middle); Lumbrical 3 (ring); Lumbrical 4 (little); Dorsal interosseous 1 (index); Dorsal interosseous 2 (middle radial); Dorsal interosseous 3 (middle ulnar); Dorsal interosseous 4 (ring); Dorsal interosseous 1 (foot); Dorsal interosseous 2 (foot); Dorsal interosseous 3 (foot); Dorsal interosseous 4 (foot); Palmar interosseous 1 (index); Palmar interosseous 2 (ring); Palmar interosseous 3 (little) | Tendons/fascia: Atlas-listed tendon/aponeurosis examples: Flattened latissimus dorsi tendon; Fibrous scapular insertion; Fibrous insertion slips; Broad aponeuroses and scapular/clavicular tendinous insertions; additional listed attachments | Ligament context only: Interspinous/supraspinous ligaments and ligamenta flava limit end-range motion; NOT intentionally stretched</x:v>
      </x:c>
      <x:c r="N61" s="24" t="str">
        <x:v>Latissimus dorsi; Rhomboid major; Rhomboid minor; Trapezius; Biceps brachii long head; Biceps brachii short head; Teres major</x:v>
      </x:c>
      <x:c r="O61" s="24" t="str">
        <x:v>Support free hand on bench; row dumbbell toward hip.</x:v>
      </x:c>
      <x:c r="P61" s="24" t="str">
        <x:v>Bench; dumbbell</x:v>
      </x:c>
      <x:c r="Q61" s="24" t="str">
        <x:v>2–3 × 8–12 controlled reps</x:v>
      </x:c>
      <x:c r="R61" s="24" t="str">
        <x:v>Progress gradually; stop with sharp pain, dizziness, or numbness.</x:v>
      </x:c>
      <x:c r="S61" s="24" t="str">
        <x:v>https://orthoinfo.aaos.org/globalassets/pdfs/spine-conditioning-program.pdf</x:v>
      </x:c>
      <x:c r="T61" s="24" t="str">
        <x:v>Anatomy-based mapping</x:v>
      </x:c>
    </x:row>
    <x:row r="62" ht="54" customHeight="1">
      <x:c r="A62" s="24" t="str">
        <x:v>EX0268</x:v>
      </x:c>
      <x:c r="B62" s="24" t="str">
        <x:v>Chest-supported dumbbell row</x:v>
      </x:c>
      <x:c r="C62" s="24" t="str">
        <x:v>Back &amp; Spine</x:v>
      </x:c>
      <x:c r="D62" s="24" t="str">
        <x:v>Gym</x:v>
      </x:c>
      <x:c r="E62" s="24" t="str">
        <x:v>Compound strength</x:v>
      </x:c>
      <x:c r="F62" s="24" t="str">
        <x:v>Latissimus dorsi; Teres major; Trapezius; Rhomboid major; Rhomboid minor</x:v>
      </x:c>
      <x:c r="G62" s="24" t="str">
        <x:v>Biceps brachii long head; Biceps brachii short head</x:v>
      </x:c>
      <x:c r="H62" s="24" t="str">
        <x:v>Infraspinatus; Subscapularis; Supraspinatus; Teres minor</x:v>
      </x:c>
      <x:c r="I62" s="24" t="str">
        <x:v>—</x:v>
      </x:c>
      <x:c r="J62" s="24" t="str">
        <x:v>Latissimus dorsi; Teres major; Trapezius; Rhomboid major; Rhomboid minor; Biceps brachii long head; Biceps brachii short head; Infraspinatus; Subscapularis; Supraspinatus; Teres minor</x:v>
      </x:c>
      <x:c r="K62" s="24" t="str">
        <x:v>Atlas-listed tendon/aponeurosis examples: Flattened latissimus dorsi tendon; Teres major insertion tendon; Broad aponeuroses and scapular/clavicular tendinous insertions; Fibrous scapular insertion; additional listed attachments</x:v>
      </x:c>
      <x:c r="L62" s="24" t="str">
        <x:v>Interspinous/supraspinous ligaments and ligamenta flava limit end-range motion; NOT intentionally stretched</x:v>
      </x:c>
      <x:c r="M62" s="24" t="str">
        <x:v>Muscles: Latissimus dorsi; Teres major; Trapezius; Rhomboid major; Rhomboid minor; Biceps brachii long head; Biceps brachii short head; Infraspinatus; Subscapularis; Supraspinatus; Teres minor | Tendons/fascia: Atlas-listed tendon/aponeurosis examples: Flattened latissimus dorsi tendon; Teres major insertion tendon; Broad aponeuroses and scapular/clavicular tendinous insertions; Fibrous scapular insertion; additional listed attachments | Ligament context only: Interspinous/supraspinous ligaments and ligamenta flava limit end-range motion; NOT intentionally stretched</x:v>
      </x:c>
      <x:c r="N62" s="24" t="str">
        <x:v>Latissimus dorsi; Teres major; Trapezius; Rhomboid major; Rhomboid minor; Biceps brachii long head; Biceps brachii short head</x:v>
      </x:c>
      <x:c r="O62" s="24" t="str">
        <x:v>Chest on incline bench; pull elbows behind torso without shrug.</x:v>
      </x:c>
      <x:c r="P62" s="24" t="str">
        <x:v>Incline bench; dumbbells</x:v>
      </x:c>
      <x:c r="Q62" s="24" t="str">
        <x:v>2–3 × 8–12 controlled reps</x:v>
      </x:c>
      <x:c r="R62" s="24" t="str">
        <x:v>Progress gradually; stop with sharp pain, dizziness, or numbness.</x:v>
      </x:c>
      <x:c r="S62" s="24" t="str">
        <x:v>https://orthoinfo.aaos.org/globalassets/pdfs/spine-conditioning-program.pdf</x:v>
      </x:c>
      <x:c r="T62" s="24" t="str">
        <x:v>Anatomy-based mapping</x:v>
      </x:c>
    </x:row>
    <x:row r="63" ht="54" customHeight="1">
      <x:c r="A63" s="24" t="str">
        <x:v>EX0269</x:v>
      </x:c>
      <x:c r="B63" s="24" t="str">
        <x:v>Seated cable row</x:v>
      </x:c>
      <x:c r="C63" s="24" t="str">
        <x:v>Back &amp; Spine</x:v>
      </x:c>
      <x:c r="D63" s="24" t="str">
        <x:v>Gym</x:v>
      </x:c>
      <x:c r="E63" s="24" t="str">
        <x:v>Compound strength</x:v>
      </x:c>
      <x:c r="F63" s="24" t="str">
        <x:v>Latissimus dorsi; Teres major; Trapezius; Rhomboid major; Rhomboid minor</x:v>
      </x:c>
      <x:c r="G63" s="24" t="str">
        <x:v>Biceps brachii long head; Biceps brachii short head</x:v>
      </x:c>
      <x:c r="H63" s="24" t="str">
        <x:v>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I63" s="24" t="str">
        <x:v>—</x:v>
      </x:c>
      <x:c r="J63" s="24" t="str">
        <x:v>Latissimus dorsi; Teres major; Trapezius; Rhomboid major; Rhomboid minor; Biceps brachii long head; Biceps brachii short head;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</x:v>
      </x:c>
      <x:c r="K63" s="24" t="str">
        <x:v>Atlas-listed tendon/aponeurosis examples: Flattened latissimus dorsi tendon; Teres major insertion tendon; Broad aponeuroses and scapular/clavicular tendinous insertions; Fibrous scapular insertion; additional listed attachments</x:v>
      </x:c>
      <x:c r="L63" s="24" t="str">
        <x:v>Interspinous/supraspinous ligaments and ligamenta flava limit end-range motion; NOT intentionally stretched</x:v>
      </x:c>
      <x:c r="M63" s="24" t="str">
        <x:v>Muscles: Latissimus dorsi; Teres major; Trapezius; Rhomboid major; Rhomboid minor; Biceps brachii long head; Biceps brachii short head; Rectus abdominis; External oblique; Internal oblique; Transversus abdominis;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 | Tendons/fascia: Atlas-listed tendon/aponeurosis examples: Flattened latissimus dorsi tendon; Teres major insertion tendon; Broad aponeuroses and scapular/clavicular tendinous insertions; Fibrous scapular insertion; additional listed attachments | Ligament context only: Interspinous/supraspinous ligaments and ligamenta flava limit end-range motion; NOT intentionally stretched</x:v>
      </x:c>
      <x:c r="N63" s="24" t="str">
        <x:v>Latissimus dorsi; Teres major; Trapezius; Rhomboid major; Rhomboid minor; Biceps brachii long head; Biceps brachii short head</x:v>
      </x:c>
      <x:c r="O63" s="24" t="str">
        <x:v>Pull cable toward belly with torso stable.</x:v>
      </x:c>
      <x:c r="P63" s="24" t="str">
        <x:v>Seated cable row</x:v>
      </x:c>
      <x:c r="Q63" s="24" t="str">
        <x:v>2–3 × 8–12 controlled reps</x:v>
      </x:c>
      <x:c r="R63" s="24" t="str">
        <x:v>Progress gradually; stop with sharp pain, dizziness, or numbness.</x:v>
      </x:c>
      <x:c r="S63" s="24" t="str">
        <x:v>https://orthoinfo.aaos.org/globalassets/pdfs/spine-conditioning-program.pdf</x:v>
      </x:c>
      <x:c r="T63" s="24" t="str">
        <x:v>Anatomy-based mapping</x:v>
      </x:c>
    </x:row>
    <x:row r="64" ht="54" customHeight="1">
      <x:c r="A64" s="24" t="str">
        <x:v>EX0270</x:v>
      </x:c>
      <x:c r="B64" s="24" t="str">
        <x:v>Lat pulldown</x:v>
      </x:c>
      <x:c r="C64" s="24" t="str">
        <x:v>Back &amp; Spine</x:v>
      </x:c>
      <x:c r="D64" s="24" t="str">
        <x:v>Gym</x:v>
      </x:c>
      <x:c r="E64" s="24" t="str">
        <x:v>Compound strength</x:v>
      </x:c>
      <x:c r="F64" s="24" t="str">
        <x:v>Latissimus dorsi; Teres major</x:v>
      </x:c>
      <x:c r="G64" s="24" t="str">
        <x:v>Biceps brachii long head; Biceps brachii short head; Rhomboid major; Rhomboid minor; Trapezius</x:v>
      </x:c>
      <x:c r="H64" s="24" t="str">
        <x:v>Infraspinatus; Subscapularis; Supraspinatus; Teres minor; Rectus abdominis; External oblique; Internal oblique; Transversus abdominis</x:v>
      </x:c>
      <x:c r="I64" s="24" t="str">
        <x:v>—</x:v>
      </x:c>
      <x:c r="J64" s="24" t="str">
        <x:v>Latissimus dorsi; Teres major; Biceps brachii long head; Biceps brachii short head; Rhomboid major; Rhomboid minor; Trapezius; Infraspinatus; Subscapularis; Supraspinatus; Teres minor; Rectus abdominis; External oblique; Internal oblique; Transversus abdominis</x:v>
      </x:c>
      <x:c r="K64" s="24" t="str">
        <x:v>Atlas-listed tendon/aponeurosis examples: Flattened latissimus dorsi tendon; Teres major insertion tendon; Long-head proximal tendon; distal biceps tendon; bicipital aponeurosis; Conjoined proximal tendon; common distal biceps tendon; additional listed attachments</x:v>
      </x:c>
      <x:c r="L64" s="24" t="str">
        <x:v>Interspinous/supraspinous ligaments and ligamenta flava limit end-range motion; NOT intentionally stretched</x:v>
      </x:c>
      <x:c r="M64" s="24" t="str">
        <x:v>Muscles: Latissimus dorsi; Teres major; Biceps brachii long head; Biceps brachii short head; Rhomboid major; Rhomboid minor; Trapezius; Infraspinatus; Subscapularis; Supraspinatus; Teres minor; Rectus abdominis; External oblique; Internal oblique; Transversus abdominis | Tendons/fascia: Atlas-listed tendon/aponeurosis examples: Flattened latissimus dorsi tendon; Teres major insertion tendon; Long-head proximal tendon; distal biceps tendon; bicipital aponeurosis; Conjoined proximal tendon; common distal biceps tendon; additional listed attachments | Ligament context only: Interspinous/supraspinous ligaments and ligamenta flava limit end-range motion; NOT intentionally stretched</x:v>
      </x:c>
      <x:c r="N64" s="24" t="str">
        <x:v>Latissimus dorsi; Teres major; Biceps brachii long head; Biceps brachii short head; Rhomboid major; Rhomboid minor; Trapezius</x:v>
      </x:c>
      <x:c r="O64" s="24" t="str">
        <x:v>Pull bar to upper chest, not behind neck.</x:v>
      </x:c>
      <x:c r="P64" s="24" t="str">
        <x:v>Pulldown machine</x:v>
      </x:c>
      <x:c r="Q64" s="24" t="str">
        <x:v>2–3 × 8–12 controlled reps</x:v>
      </x:c>
      <x:c r="R64" s="24" t="str">
        <x:v>Progress gradually; stop with sharp pain, dizziness, or numbness.</x:v>
      </x:c>
      <x:c r="S64" s="24" t="str">
        <x:v>https://orthoinfo.aaos.org/globalassets/pdfs/spine-conditioning-program.pdf</x:v>
      </x:c>
      <x:c r="T64" s="24" t="str">
        <x:v>Anatomy-based mapping</x:v>
      </x:c>
    </x:row>
    <x:row r="65" ht="54" customHeight="1">
      <x:c r="A65" s="24" t="str">
        <x:v>EX0271</x:v>
      </x:c>
      <x:c r="B65" s="24" t="str">
        <x:v>Cable straight-arm pulldown</x:v>
      </x:c>
      <x:c r="C65" s="24" t="str">
        <x:v>Back &amp; Spine</x:v>
      </x:c>
      <x:c r="D65" s="24" t="str">
        <x:v>Gym</x:v>
      </x:c>
      <x:c r="E65" s="24" t="str">
        <x:v>Isolation strength</x:v>
      </x:c>
      <x:c r="F65" s="24" t="str">
        <x:v>Latissimus dorsi; Teres major</x:v>
      </x:c>
      <x:c r="G65" s="24" t="str">
        <x:v>Triceps brachii lateral head; Triceps brachii long head; Triceps brachii medial head</x:v>
      </x:c>
      <x:c r="H65" s="24" t="str">
        <x:v>Rectus abdominis; External oblique; Internal oblique; Transversus abdominis</x:v>
      </x:c>
      <x:c r="I65" s="24" t="str">
        <x:v>—</x:v>
      </x:c>
      <x:c r="J65" s="24" t="str">
        <x:v>Latissimus dorsi; Teres major; Triceps brachii lateral head; Triceps brachii long head; Triceps brachii medial head; Rectus abdominis; External oblique; Internal oblique; Transversus abdominis</x:v>
      </x:c>
      <x:c r="K65" s="24" t="str">
        <x:v>Atlas-listed tendon/aponeurosis examples: Flattened latissimus dorsi tendon; Teres major insertion tendon; Common triceps tendon; Common triceps tendon to olecranon</x:v>
      </x:c>
      <x:c r="L65" s="24" t="str">
        <x:v>Interspinous/supraspinous ligaments and ligamenta flava limit end-range motion; NOT intentionally stretched</x:v>
      </x:c>
      <x:c r="M65" s="24" t="str">
        <x:v>Muscles: Latissimus dorsi; Teres major; Triceps brachii lateral head; Triceps brachii long head; Triceps brachii medial head; Rectus abdominis; External oblique; Internal oblique; Transversus abdominis | Tendons/fascia: Atlas-listed tendon/aponeurosis examples: Flattened latissimus dorsi tendon; Teres major insertion tendon; Common triceps tendon; Common triceps tendon to olecranon | Ligament context only: Interspinous/supraspinous ligaments and ligamenta flava limit end-range motion; NOT intentionally stretched</x:v>
      </x:c>
      <x:c r="N65" s="24" t="str">
        <x:v>Latissimus dorsi; Teres major; Triceps brachii lateral head; Triceps brachii long head; Triceps brachii medial head</x:v>
      </x:c>
      <x:c r="O65" s="24" t="str">
        <x:v>Pull handles from overhead to thighs without trunk rocking.</x:v>
      </x:c>
      <x:c r="P65" s="24" t="str">
        <x:v>Cable station</x:v>
      </x:c>
      <x:c r="Q65" s="24" t="str">
        <x:v>2–3 × 8–12 controlled reps</x:v>
      </x:c>
      <x:c r="R65" s="24" t="str">
        <x:v>Progress gradually; stop with sharp pain, dizziness, or numbness.</x:v>
      </x:c>
      <x:c r="S65" s="24" t="str">
        <x:v>https://orthoinfo.aaos.org/globalassets/pdfs/spine-conditioning-program.pdf</x:v>
      </x:c>
      <x:c r="T65" s="24" t="str">
        <x:v>Anatomy-based mapping</x:v>
      </x:c>
    </x:row>
    <x:row r="66" ht="54" customHeight="1">
      <x:c r="A66" s="24" t="str">
        <x:v>EX0272</x:v>
      </x:c>
      <x:c r="B66" s="24" t="str">
        <x:v>Dumbbell bent-over reverse row</x:v>
      </x:c>
      <x:c r="C66" s="24" t="str">
        <x:v>Back &amp; Spine</x:v>
      </x:c>
      <x:c r="D66" s="24" t="str">
        <x:v>Gym</x:v>
      </x:c>
      <x:c r="E66" s="24" t="str">
        <x:v>Compound strength</x:v>
      </x:c>
      <x:c r="F66" s="24" t="str">
        <x:v>Rhomboid major; Rhomboid minor; Trapezius</x:v>
      </x:c>
      <x:c r="G66" s="24" t="str">
        <x:v>Deltoid; Biceps brachii long head; Biceps brachii short head</x:v>
      </x:c>
      <x:c r="H66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I66" s="24" t="str">
        <x:v>—</x:v>
      </x:c>
      <x:c r="J66" s="24" t="str">
        <x:v>Rhomboid major; Rhomboid minor; Trapezius; Deltoid; Biceps brachii long head; Biceps brachii short head;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</x:v>
      </x:c>
      <x:c r="K66" s="24" t="str">
        <x:v>Atlas-listed tendon/aponeurosis examples: Fibrous scapular insertion; Fibrous insertion slips; Broad aponeuroses and scapular/clavicular tendinous insertions; Deltoid insertion tendon; additional listed attachments</x:v>
      </x:c>
      <x:c r="L66" s="24" t="str">
        <x:v>Interspinous/supraspinous ligaments and ligamenta flava limit end-range motion; NOT intentionally stretched</x:v>
      </x:c>
      <x:c r="M66" s="24" t="str">
        <x:v>Muscles: Rhomboid major; Rhomboid minor; Trapezius; Deltoid; Biceps brachii long head; Biceps brachii short head;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Rectus abdominis; External oblique; Internal oblique; Transversus abdominis | Tendons/fascia: Atlas-listed tendon/aponeurosis examples: Fibrous scapular insertion; Fibrous insertion slips; Broad aponeuroses and scapular/clavicular tendinous insertions; Deltoid insertion tendon; additional listed attachments | Ligament context only: Interspinous/supraspinous ligaments and ligamenta flava limit end-range motion; NOT intentionally stretched</x:v>
      </x:c>
      <x:c r="N66" s="24" t="str">
        <x:v>Rhomboid major; Rhomboid minor; Trapezius; Deltoid; Biceps brachii long head; Biceps brachii short head</x:v>
      </x:c>
      <x:c r="O66" s="24" t="str">
        <x:v>Hinge hips; draw upper arms outward while retracting scapulae.</x:v>
      </x:c>
      <x:c r="P66" s="24" t="str">
        <x:v>Dumbbells</x:v>
      </x:c>
      <x:c r="Q66" s="24" t="str">
        <x:v>2–3 × 8–12 controlled reps</x:v>
      </x:c>
      <x:c r="R66" s="24" t="str">
        <x:v>Progress gradually; stop with sharp pain, dizziness, or numbness.</x:v>
      </x:c>
      <x:c r="S66" s="24" t="str">
        <x:v>https://orthoinfo.aaos.org/globalassets/pdfs/spine-conditioning-program.pdf</x:v>
      </x:c>
      <x:c r="T66" s="24" t="str">
        <x:v>Anatomy-based mapping</x:v>
      </x:c>
    </x:row>
    <x:row r="67" ht="54" customHeight="1">
      <x:c r="A67" s="24" t="str">
        <x:v>EX0273</x:v>
      </x:c>
      <x:c r="B67" s="24" t="str">
        <x:v>Back extension on Roman chair</x:v>
      </x:c>
      <x:c r="C67" s="24" t="str">
        <x:v>Back &amp; Spine</x:v>
      </x:c>
      <x:c r="D67" s="24" t="str">
        <x:v>Gym</x:v>
      </x:c>
      <x:c r="E67" s="24" t="str">
        <x:v>Compound strength</x:v>
      </x:c>
      <x:c r="F67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</x:v>
      </x:c>
      <x:c r="G67" s="24" t="str">
        <x:v>Biceps femoris long head; Biceps femoris short head; Semimembranosus; Semitendinosus</x:v>
      </x:c>
      <x:c r="H67" s="24" t="str">
        <x:v>Rectus abdominis; External oblique; Internal oblique; Transversus abdominis</x:v>
      </x:c>
      <x:c r="I67" s="24" t="str">
        <x:v>—</x:v>
      </x:c>
      <x:c r="J67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maximus; Biceps femoris long head; Biceps femoris short head; Semimembranosus; Semitendinosus; Rectus abdominis; External oblique; Internal oblique; Transversus abdominis</x:v>
      </x:c>
      <x:c r="K67" s="24" t="str">
        <x:v>Atlas-listed tendon/aponeurosis examples: Costal-to-cervical tendons; Common erector spinae aponeurosis; rib slips; Long costal fascicular tendons; Mastoid insertion tendon; additional listed attachments</x:v>
      </x:c>
      <x:c r="L67" s="24" t="str">
        <x:v>Interspinous/supraspinous ligaments and ligamenta flava limit end-range motion; NOT intentionally stretched</x:v>
      </x:c>
      <x:c r="M67" s="24" t="str">
        <x:v>Muscles: 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maximus; Biceps femoris long head; Biceps femoris short head; Semimembranosus; Semitendinosus; Rectus abdominis; External oblique; Internal oblique; Transversus abdominis | Tendons/fascia: Atlas-listed tendon/aponeurosis examples: Costal-to-cervical tendons; Common erector spinae aponeurosis; rib slips; Long costal fascicular tendons; Mastoid insertion tendon; additional listed attachments | Ligament context only: Interspinous/supraspinous ligaments and ligamenta flava limit end-range motion; NOT intentionally stretched</x:v>
      </x:c>
      <x:c r="N67" s="24" t="str">
        <x:v>Iliocostalis cervicis; Iliocostalis lumborum; Iliocostalis thoracis; Longissimus capitis; Longissimus cervicis; Longissimus thoracis; Spinalis capitis (variable/integrated); Spinalis cervicis; Spinalis thoracis; Semispinalis capitis; Semispinalis cervicis; Semispinalis thoracis; Multifidus cervical fascicles; Multifidus lumbar fascicles; Multifidus thoracic fascicles; Rotatores breves (thoracic, segmental); Rotatores cervicis (variable); Rotatores longi (thoracic, segmental); Rotatores lumborum (variable); Interspinales cervicis; Interspinales lumborum; Interspinales thoracis (inconstant); Intertransversarii cervicis anteriores; Intertransversarii cervicis posteriores; Intertransversarii lumborum laterales; Intertransversarii lumborum mediales; Intertransversarii thoracis (sparse); Quadratus lumborum; Gluteus maximus; Biceps femoris long head; Biceps femoris short head; Semimembranosus; Semitendinosus</x:v>
      </x:c>
      <x:c r="O67" s="24" t="str">
        <x:v>Hinge around hips under control; return to neutral, not hyperextension.</x:v>
      </x:c>
      <x:c r="P67" s="24" t="str">
        <x:v>Back extension bench</x:v>
      </x:c>
      <x:c r="Q67" s="24" t="str">
        <x:v>2–3 × 8–12 controlled reps</x:v>
      </x:c>
      <x:c r="R67" s="24" t="str">
        <x:v>Progress gradually; stop with sharp pain, dizziness, or numbness.</x:v>
      </x:c>
      <x:c r="S67" s="24" t="str">
        <x:v>https://orthoinfo.aaos.org/globalassets/pdfs/spine-conditioning-program.pdf</x:v>
      </x:c>
      <x:c r="T67" s="24" t="str">
        <x:v>Anatomy-based mapping</x:v>
      </x:c>
    </x:row>
    <x:row r="68" ht="54" customHeight="1">
      <x:c r="A68" s="24" t="str">
        <x:v>EX0274</x:v>
      </x:c>
      <x:c r="B68" s="24" t="str">
        <x:v>Cable upright standing row (low-to-ribs)</x:v>
      </x:c>
      <x:c r="C68" s="24" t="str">
        <x:v>Back &amp; Spine</x:v>
      </x:c>
      <x:c r="D68" s="24" t="str">
        <x:v>Gym</x:v>
      </x:c>
      <x:c r="E68" s="24" t="str">
        <x:v>Compound strength</x:v>
      </x:c>
      <x:c r="F68" s="24" t="str">
        <x:v>Rhomboid major; Rhomboid minor; Trapezius</x:v>
      </x:c>
      <x:c r="G68" s="24" t="str">
        <x:v>Biceps brachii long head; Biceps brachii short head</x:v>
      </x:c>
      <x:c r="H68" s="24" t="str">
        <x:v>Rectus abdominis; External oblique; Internal oblique; Transversus abdominis</x:v>
      </x:c>
      <x:c r="I68" s="24" t="str">
        <x:v>—</x:v>
      </x:c>
      <x:c r="J68" s="24" t="str">
        <x:v>Rhomboid major; Rhomboid minor; Trapezius; Biceps brachii long head; Biceps brachii short head; Rectus abdominis; External oblique; Internal oblique; Transversus abdominis</x:v>
      </x:c>
      <x:c r="K68" s="24" t="str">
        <x:v>Atlas-listed tendon/aponeurosis examples: Fibrous scapular insertion; Fibrous insertion slips; Broad aponeuroses and scapular/clavicular tendinous insertions; Long-head proximal tendon; distal biceps tendon; bicipital aponeurosis; additional listed attachments</x:v>
      </x:c>
      <x:c r="L68" s="24" t="str">
        <x:v>Interspinous/supraspinous ligaments and ligamenta flava limit end-range motion; NOT intentionally stretched</x:v>
      </x:c>
      <x:c r="M68" s="24" t="str">
        <x:v>Muscles: Rhomboid major; Rhomboid minor; Trapezius; Biceps brachii long head; Biceps brachii short head; Rectus abdominis; External oblique; Internal oblique; Transversus abdominis | Tendons/fascia: Atlas-listed tendon/aponeurosis examples: Fibrous scapular insertion; Fibrous insertion slips; Broad aponeuroses and scapular/clavicular tendinous insertions; Long-head proximal tendon; distal biceps tendon; bicipital aponeurosis; additional listed attachments | Ligament context only: Interspinous/supraspinous ligaments and ligamenta flava limit end-range motion; NOT intentionally stretched</x:v>
      </x:c>
      <x:c r="N68" s="24" t="str">
        <x:v>Rhomboid major; Rhomboid minor; Trapezius; Biceps brachii long head; Biceps brachii short head</x:v>
      </x:c>
      <x:c r="O68" s="24" t="str">
        <x:v>Draw cable to mid-torso with elbows below shoulders.</x:v>
      </x:c>
      <x:c r="P68" s="24" t="str">
        <x:v>Cable station</x:v>
      </x:c>
      <x:c r="Q68" s="24" t="str">
        <x:v>2–3 × 8–12 controlled reps</x:v>
      </x:c>
      <x:c r="R68" s="24" t="str">
        <x:v>Progress gradually; stop with sharp pain, dizziness, or numbness.</x:v>
      </x:c>
      <x:c r="S68" s="24" t="str">
        <x:v>https://orthoinfo.aaos.org/globalassets/pdfs/spine-conditioning-program.pdf</x:v>
      </x:c>
      <x:c r="T68" s="24" t="str">
        <x:v>Anatomy-based mapping</x:v>
      </x:c>
    </x:row>
    <x:row r="69" ht="54" customHeight="1">
      <x:c r="A69" s="24" t="str">
        <x:v>EX0308</x:v>
      </x:c>
      <x:c r="B69" s="24" t="str">
        <x:v>Inspiratory resistance device low-load (supervised)</x:v>
      </x:c>
      <x:c r="C69" s="24" t="str">
        <x:v>Thorax &amp; Breathing</x:v>
      </x:c>
      <x:c r="D69" s="24" t="str">
        <x:v>Gym</x:v>
      </x:c>
      <x:c r="E69" s="24" t="str">
        <x:v>Breathing</x:v>
      </x:c>
      <x:c r="F69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</x:v>
      </x:c>
      <x:c r="G69" s="24" t="str">
        <x:v>—</x:v>
      </x:c>
      <x:c r="H69" s="24" t="str">
        <x:v>Rectus abdominis; External oblique; Internal oblique; Transversus abdominis</x:v>
      </x:c>
      <x:c r="I69" s="24" t="str">
        <x:v>—</x:v>
      </x:c>
      <x:c r="J69" s="24" t="str">
        <x:v>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</x:v>
      </x:c>
      <x:c r="K69" s="24" t="str">
        <x:v>Atlas-listed tendon/aponeurosis examples: Central tendon; Central tendon; crural tendons; Segmental rib-to-rib muscle attachment; Minute rib insertion tendon; additional listed attachments</x:v>
      </x:c>
      <x:c r="L69" s="24" t="str">
        <x:v>Costovertebral/costotransverse ligaments guide rib motion; NOT actively stretched</x:v>
      </x:c>
      <x:c r="M69" s="24" t="str">
        <x:v>Muscles: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scalene; Rectus abdominis; External oblique; Internal oblique; Transversus abdominis | Tendons/fascia: Atlas-listed tendon/aponeurosis examples: Central tendon; Central tendon; crural tendons; Segmental rib-to-rib muscle attachment; Minute rib insertion tendon; additional listed attachments | Ligament context only: Costovertebral/costotransverse ligaments guide rib motion; NOT actively stretched</x:v>
      </x:c>
      <x:c r="N69" s="24" t="str">
        <x:v>Low-load activation, not ordinarily to fatigue: Diaphragm costal part; Diaphragm lumbar part / crura; Diaphragm sternal part; External intercostal (interspace 1, R1-R2); External intercostal (interspace 10, R10-R11); External intercostal (interspace 11, R11-R12); External intercostal (interspace 2, R2-R3); External intercostal (interspace 3, R3-R4); External intercostal (interspace 4, R4-R5); External intercostal (interspace 5, R5-R6); External intercostal (interspace 6, R6-R7); External intercostal (interspace 7, R7-R8); External intercostal (interspace 8, R8-R9); External intercostal (interspace 9, R9-R10); Internal intercostal (interspace 1, R1-R2); Internal intercostal (interspace 10, R10-R11); Internal intercostal (interspace 11, R11-R12); Internal intercostal (interspace 2, R2-R3); Internal intercostal (interspace 3, R3-R4); Internal intercostal (interspace 4, R4-R5); Internal intercostal (interspace 5, R5-R6); Internal intercostal (interspace 6, R6-R7); Internal intercostal (interspace 7, R7-R8); Internal intercostal (interspace 8, R8-R9); Internal intercostal (interspace 9, R9-R10); Innermost intercostal (interspace 1, R1-R2); Innermost intercostal (interspace 10, R10-R11); Innermost intercostal (interspace 11, R11-R12); Innermost intercostal (interspace 2, R2-R3); Innermost intercostal (interspace 3, R3-R4); Innermost intercostal (interspace 4, R4-R5); Innermost intercostal (interspace 5, R5-R6); Innermost intercostal (interspace 6, R6-R7); Innermost intercostal (interspace 7, R7-R8); Innermost intercostal (interspace 8, R8-R9); Innermost intercostal (interspace 9, R9-R10); Levator costae brevis (C7 to rib 1); Levator costae brevis (T1 to rib 2); Levator costae brevis (T10 to rib 11); Levator costae brevis (T11 to rib 12); Levator costae brevis (T2 to rib 3); Levator costae brevis (T3 to rib 4); Levator costae brevis (T4 to rib 5); Levator costae brevis (T5 to rib 6); Levator costae brevis (T6 to rib 7); Levator costae brevis (T7 to rib 8); Levator costae brevis (T8 to rib 9); Levator costae brevis (T9 to rib 10); Levatores costarum longi; Subcostales (variable rib-spanning slips); Transversus thoracis; Serratus posterior inferior; Serratus posterior superior; Anterior scalene; Middle scalene; Posterior scalene</x:v>
      </x:c>
      <x:c r="O69" s="24" t="str">
        <x:v>Breathe against individually selected low resistance device with clinician instruction.</x:v>
      </x:c>
      <x:c r="P69" s="24" t="str">
        <x:v>Inspiratory trainer</x:v>
      </x:c>
      <x:c r="Q69" s="24" t="str">
        <x:v>1–2 × 5–10 controlled reps</x:v>
      </x:c>
      <x:c r="R69" s="24" t="str">
        <x:v>Avoid without evaluation with heart/lung disease or unexplained breathlessness.</x:v>
      </x:c>
      <x:c r="S69" s="24" t="str">
        <x:v>https://www.acsm.org/education-resources/trending-topics-resources/physical-activity-guidelines</x:v>
      </x:c>
      <x:c r="T69" s="24" t="str">
        <x:v>Anatomy-based mapping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0cfd893dcb6e4e04"/>
  </x:tableParts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5" hidden="0" customWidth="1"/>
    <x:col min="2" max="2" width="26" hidden="0" customWidth="1"/>
    <x:col min="3" max="3" width="30" hidden="0" customWidth="1"/>
    <x:col min="4" max="4" width="36" hidden="0" customWidth="1"/>
    <x:col min="5" max="5" width="20" hidden="0" customWidth="1"/>
    <x:col min="6" max="6" width="48" hidden="0" customWidth="1"/>
    <x:col min="7" max="7" width="48" hidden="0" customWidth="1"/>
    <x:col min="8" max="8" width="50" hidden="0" customWidth="1"/>
    <x:col min="9" max="9" width="50" hidden="0" customWidth="1"/>
    <x:col min="10" max="10" width="38" hidden="0" customWidth="1"/>
    <x:col min="11" max="11" width="40" hidden="0" customWidth="1"/>
    <x:col min="12" max="12" width="40" hidden="0" customWidth="1"/>
    <x:col min="13" max="13" width="46" hidden="0" customWidth="1"/>
    <x:col min="14" max="14" width="38" hidden="0" customWidth="1"/>
    <x:col min="15" max="15" width="33" hidden="0" customWidth="1"/>
    <x:col min="16" max="16" width="48" hidden="0" customWidth="1"/>
    <x:col min="17" max="17" width="52" hidden="0" customWidth="1"/>
  </x:cols>
  <x:sheetData>
    <x:row r="1" ht="36" customHeight="1">
      <x:c r="A1" s="4" t="str">
        <x:v>349-MUSCLE COVERAGE INDEX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5" customHeight="1">
      <x:c r="A2" s="10" t="str">
        <x:v>Match exact anatomy-atlas names to movement IDs; unsupported muscles remain listed with reasons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3" ht="42" customHeight="1">
      <x:c r="A3" s="17" t="str">
        <x:v>Atlas muscle (EXACT NAME)</x:v>
      </x:c>
      <x:c r="B3" s="17" t="str">
        <x:v>Atlas regional tab</x:v>
      </x:c>
      <x:c r="C3" s="17" t="str">
        <x:v>Anatomical compartment</x:v>
      </x:c>
      <x:c r="D3" s="17" t="str">
        <x:v>Innervation</x:v>
      </x:c>
      <x:c r="E3" s="17" t="str">
        <x:v>Spinal roots / cranial nerve</x:v>
      </x:c>
      <x:c r="F3" s="17" t="str">
        <x:v>Origin (from atlas)</x:v>
      </x:c>
      <x:c r="G3" s="17" t="str">
        <x:v>Insertion (from atlas)</x:v>
      </x:c>
      <x:c r="H3" s="17" t="str">
        <x:v>Tendon / aponeurosis (from atlas)</x:v>
      </x:c>
      <x:c r="I3" s="17" t="str">
        <x:v>Ligament / retinaculum context (from atlas)</x:v>
      </x:c>
      <x:c r="J3" s="17" t="str">
        <x:v>Fiber-type profile (atlas)</x:v>
      </x:c>
      <x:c r="K3" s="17" t="str">
        <x:v>PRIMARY exercise IDs</x:v>
      </x:c>
      <x:c r="L3" s="17" t="str">
        <x:v>SECONDARY exercise IDs</x:v>
      </x:c>
      <x:c r="M3" s="17" t="str">
        <x:v>STABILIZER exercise IDs</x:v>
      </x:c>
      <x:c r="N3" s="17" t="str">
        <x:v>STRETCH / lengthening IDs</x:v>
      </x:c>
      <x:c r="O3" s="17" t="str">
        <x:v>Coverage classification</x:v>
      </x:c>
      <x:c r="P3" s="17" t="str">
        <x:v>Representative exercises</x:v>
      </x:c>
      <x:c r="Q3" s="17" t="str">
        <x:v>Limits / important notes</x:v>
      </x:c>
    </x:row>
    <x:row r="4" ht="54" customHeight="1">
      <x:c r="A4" s="24" t="str">
        <x:v>Pectoralis major</x:v>
      </x:c>
      <x:c r="B4" s="24" t="str">
        <x:v>Shoulder &amp; Scapula</x:v>
      </x:c>
      <x:c r="C4" s="24" t="str">
        <x:v>Anterior axioappendicular</x:v>
      </x:c>
      <x:c r="D4" s="24" t="str">
        <x:v>Medial and lateral pectoral nerves</x:v>
      </x:c>
      <x:c r="E4" s="24" t="str">
        <x:v>C5-T1</x:v>
      </x:c>
      <x:c r="F4" s="24" t="str">
        <x:v>Medial clavicle; sternum; upper costal cartilages; external oblique aponeurosis</x:v>
      </x:c>
      <x:c r="G4" s="24" t="str">
        <x:v>Lateral lip of intertubercular sulcus humerus</x:v>
      </x:c>
      <x:c r="H4" s="24" t="str">
        <x:v>Bilaminar pectoralis major tendon</x:v>
      </x:c>
      <x:c r="I4" s="24" t="str">
        <x:v>Costoclavicular ligament nearby; no direct ligament insertion</x:v>
      </x:c>
      <x:c r="J4" s="24" t="str">
        <x:v>Mixed Type I and Type II; ratio unverified</x:v>
      </x:c>
      <x:c r="K4" s="24" t="str">
        <x:v>EX0001; EX0002; EX0003; EX0004; EX0005; EX0009; EX0010; EX0011; EX0012; EX0013; EX0014; EX0032</x:v>
      </x:c>
      <x:c r="L4" s="24" t="str">
        <x:v>EX0006; EX0021; EX0056; EX0375</x:v>
      </x:c>
      <x:c r="M4" s="24" t="str">
        <x:v>—</x:v>
      </x:c>
      <x:c r="N4" s="24" t="str">
        <x:v>EX0037; EX0040; EX0277; EX0279</x:v>
      </x:c>
      <x:c r="O4" s="24" t="str">
        <x:v>Active strength target (group or direct)</x:v>
      </x:c>
      <x:c r="P4" s="24" t="str">
        <x:v>Standard push-up; Incline countertop / wall push-up; Knee push-up; Close-grip push-up; Scapular push-up / push-up plus; Band shoulder internal rotation at side</x:v>
      </x:c>
      <x:c r="Q4" s="24" t="str">
        <x:v>Active/involved status varies with technique, loading, individual anatomy and fatigue.</x:v>
      </x:c>
    </x:row>
    <x:row r="5" ht="54" customHeight="1">
      <x:c r="A5" s="24" t="str">
        <x:v>Pectoralis minor</x:v>
      </x:c>
      <x:c r="B5" s="24" t="str">
        <x:v>Shoulder &amp; Scapula</x:v>
      </x:c>
      <x:c r="C5" s="24" t="str">
        <x:v>Anterior axioappendicular</x:v>
      </x:c>
      <x:c r="D5" s="24" t="str">
        <x:v>Medial pectoral nerve</x:v>
      </x:c>
      <x:c r="E5" s="24" t="str">
        <x:v>C8-T1</x:v>
      </x:c>
      <x:c r="F5" s="24" t="str">
        <x:v>Ribs 3-5 near costal cartilages</x:v>
      </x:c>
      <x:c r="G5" s="24" t="str">
        <x:v>Medial border/superior surface coracoid process</x:v>
      </x:c>
      <x:c r="H5" s="24" t="str">
        <x:v>Pectoralis minor insertion tendon</x:v>
      </x:c>
      <x:c r="I5" s="24" t="str">
        <x:v>Coracoacromial/coracoclavicular ligaments share coracoid region, no direct connection</x:v>
      </x:c>
      <x:c r="J5" s="24" t="str">
        <x:v>Mixed Type I and Type II; ratio unverified</x:v>
      </x:c>
      <x:c r="K5" s="24" t="str">
        <x:v>EX0006; EX0026; EX0035; EX0376</x:v>
      </x:c>
      <x:c r="L5" s="24" t="str">
        <x:v>EX0001; EX0002; EX0003; EX0004; EX0005; EX0009; EX0010; EX0011; EX0012; EX0013; EX0017; EX0234</x:v>
      </x:c>
      <x:c r="M5" s="24" t="str">
        <x:v>EX0014; EX0233; EX0235; EX0236; EX0258</x:v>
      </x:c>
      <x:c r="N5" s="24" t="str">
        <x:v>EX0037</x:v>
      </x:c>
      <x:c r="O5" s="24" t="str">
        <x:v>Active strength target (group or direct)</x:v>
      </x:c>
      <x:c r="P5" s="24" t="str">
        <x:v>Scapular push-up / push-up plus; Wall slide with upward reach; Scapular depression hold on chair; Clavicle-set isometric: gentle arm press into wall; Standard push-up; Incline countertop / wall push-up</x:v>
      </x:c>
      <x:c r="Q5" s="24" t="str">
        <x:v>Active/involved status varies with technique, loading, individual anatomy and fatigue.</x:v>
      </x:c>
    </x:row>
    <x:row r="6" ht="54" customHeight="1">
      <x:c r="A6" s="24" t="str">
        <x:v>Subclavius</x:v>
      </x:c>
      <x:c r="B6" s="24" t="str">
        <x:v>Shoulder &amp; Scapula</x:v>
      </x:c>
      <x:c r="C6" s="24" t="str">
        <x:v>Infraclavicular</x:v>
      </x:c>
      <x:c r="D6" s="24" t="str">
        <x:v>Nerve to subclavius</x:v>
      </x:c>
      <x:c r="E6" s="24" t="str">
        <x:v>C5-C6</x:v>
      </x:c>
      <x:c r="F6" s="24" t="str">
        <x:v>Junction of rib 1 and costal cartilage</x:v>
      </x:c>
      <x:c r="G6" s="24" t="str">
        <x:v>Groove on inferior midclavicle</x:v>
      </x:c>
      <x:c r="H6" s="24" t="str">
        <x:v>Short insertion tendon to subclavian groove</x:v>
      </x:c>
      <x:c r="I6" s="24" t="str">
        <x:v>Costoclavicular ligament adjacent to attachment</x:v>
      </x:c>
      <x:c r="J6" s="24" t="str">
        <x:v>Mixed Type I and Type II; ratio unverified</x:v>
      </x:c>
      <x:c r="K6" s="24" t="str">
        <x:v>—</x:v>
      </x:c>
      <x:c r="L6" s="24" t="str">
        <x:v>—</x:v>
      </x:c>
      <x:c r="M6" s="24" t="str">
        <x:v>EX0375; EX0376</x:v>
      </x:c>
      <x:c r="N6" s="24" t="str">
        <x:v>—</x:v>
      </x:c>
      <x:c r="O6" s="24" t="str">
        <x:v>Indirect stabilizer only</x:v>
      </x:c>
      <x:c r="P6" s="24" t="str">
        <x:v>Band straight-arm shoulder flexion and slight adduction; Clavicle-set isometric: gentle arm press into wall</x:v>
      </x:c>
      <x:c r="Q6" s="24" t="str">
        <x:v>Active/involved status varies with technique, loading, individual anatomy and fatigue.</x:v>
      </x:c>
    </x:row>
    <x:row r="7" ht="54" customHeight="1">
      <x:c r="A7" s="24" t="str">
        <x:v>Teres major</x:v>
      </x:c>
      <x:c r="B7" s="24" t="str">
        <x:v>Shoulder &amp; Scapula</x:v>
      </x:c>
      <x:c r="C7" s="24" t="str">
        <x:v>Posterior axillary fold</x:v>
      </x:c>
      <x:c r="D7" s="24" t="str">
        <x:v>Lower subscapular nerve</x:v>
      </x:c>
      <x:c r="E7" s="24" t="str">
        <x:v>C5-C6</x:v>
      </x:c>
      <x:c r="F7" s="24" t="str">
        <x:v>Dorsal inferior angle/lateral border of scapula</x:v>
      </x:c>
      <x:c r="G7" s="24" t="str">
        <x:v>Medial lip of intertubercular sulcus</x:v>
      </x:c>
      <x:c r="H7" s="24" t="str">
        <x:v>Teres major insertion tendon</x:v>
      </x:c>
      <x:c r="I7" s="24" t="str">
        <x:v>No specific direct ligament attachment</x:v>
      </x:c>
      <x:c r="J7" s="24" t="str">
        <x:v>Mixed Type I and Type II; ratio unverified</x:v>
      </x:c>
      <x:c r="K7" s="24" t="str">
        <x:v>EX0031; EX0044; EX0262; EX0263; EX0264; EX0265; EX0268; EX0269; EX0270; EX0271</x:v>
      </x:c>
      <x:c r="L7" s="24" t="str">
        <x:v>EX0021; EX0032; EX0266; EX0267</x:v>
      </x:c>
      <x:c r="M7" s="24" t="str">
        <x:v>—</x:v>
      </x:c>
      <x:c r="N7" s="24" t="str">
        <x:v>EX0039; EX0040</x:v>
      </x:c>
      <x:c r="O7" s="24" t="str">
        <x:v>Active strength target (group or direct)</x:v>
      </x:c>
      <x:c r="P7" s="24" t="str">
        <x:v>Band straight-arm pulldown; Underhand inverted table row; Seated band row; Standing band row; Band shoulder internal rotation at side; Dumbbell pullover</x:v>
      </x:c>
      <x:c r="Q7" s="24" t="str">
        <x:v>Active/involved status varies with technique, loading, individual anatomy and fatigue.</x:v>
      </x:c>
    </x:row>
    <x:row r="8" ht="54" customHeight="1">
      <x:c r="A8" s="24" t="str">
        <x:v>Latissimus dorsi</x:v>
      </x:c>
      <x:c r="B8" s="24" t="str">
        <x:v>Shoulder &amp; Scapula</x:v>
      </x:c>
      <x:c r="C8" s="24" t="str">
        <x:v>Posterior axioappendicular</x:v>
      </x:c>
      <x:c r="D8" s="24" t="str">
        <x:v>Thoracodorsal nerve</x:v>
      </x:c>
      <x:c r="E8" s="24" t="str">
        <x:v>C6-C8</x:v>
      </x:c>
      <x:c r="F8" s="24" t="str">
        <x:v>T7-T12 spinous processes; thoracolumbar fascia; iliac crest; lower ribs</x:v>
      </x:c>
      <x:c r="G8" s="24" t="str">
        <x:v>Floor of intertubercular sulcus humerus</x:v>
      </x:c>
      <x:c r="H8" s="24" t="str">
        <x:v>Flattened latissimus dorsi tendon</x:v>
      </x:c>
      <x:c r="I8" s="24" t="str">
        <x:v>Thoracolumbar fascia is fascia not ligament</x:v>
      </x:c>
      <x:c r="J8" s="24" t="str">
        <x:v>Mixed Type I and Type II; ratio unverified</x:v>
      </x:c>
      <x:c r="K8" s="24" t="str">
        <x:v>EX0031; EX0032; EX0035; EX0044; EX0262; EX0263; EX0264; EX0265; EX0266; EX0267; EX0268; EX0269; EX0270; EX0271</x:v>
      </x:c>
      <x:c r="L8" s="24" t="str">
        <x:v>EX0249</x:v>
      </x:c>
      <x:c r="M8" s="24" t="str">
        <x:v>—</x:v>
      </x:c>
      <x:c r="N8" s="24" t="str">
        <x:v>EX0039; EX0040; EX0278</x:v>
      </x:c>
      <x:c r="O8" s="24" t="str">
        <x:v>Active strength target (group or direct)</x:v>
      </x:c>
      <x:c r="P8" s="24" t="str">
        <x:v>Band straight-arm pulldown; Dumbbell pullover; Scapular depression hold on chair; Underhand inverted table row; Ab wheel rollout short range; Overhead lat stretch on counter</x:v>
      </x:c>
      <x:c r="Q8" s="24" t="str">
        <x:v>Active/involved status varies with technique, loading, individual anatomy and fatigue.</x:v>
      </x:c>
    </x:row>
    <x:row r="9" ht="54" customHeight="1">
      <x:c r="A9" s="24" t="str">
        <x:v>Infraspinatus</x:v>
      </x:c>
      <x:c r="B9" s="24" t="str">
        <x:v>Shoulder &amp; Scapula</x:v>
      </x:c>
      <x:c r="C9" s="24" t="str">
        <x:v>Rotator cuff</x:v>
      </x:c>
      <x:c r="D9" s="24" t="str">
        <x:v>Suprascapular nerve</x:v>
      </x:c>
      <x:c r="E9" s="24" t="str">
        <x:v>C5-C6</x:v>
      </x:c>
      <x:c r="F9" s="24" t="str">
        <x:v>Infraspinous fossa of scapula</x:v>
      </x:c>
      <x:c r="G9" s="24" t="str">
        <x:v>Middle facet of greater tubercle of humerus</x:v>
      </x:c>
      <x:c r="H9" s="24" t="str">
        <x:v>Infraspinatus tendon blends with capsule</x:v>
      </x:c>
      <x:c r="I9" s="24" t="str">
        <x:v>Capsular ligaments of glenohumeral joint, adjacent</x:v>
      </x:c>
      <x:c r="J9" s="24" t="str">
        <x:v>Mixed Type I and Type II; ratio unverified</x:v>
      </x:c>
      <x:c r="K9" s="24" t="str">
        <x:v>EX0020; EX0022; EX0024; EX0025; EX0027; EX0030</x:v>
      </x:c>
      <x:c r="L9" s="24" t="str">
        <x:v>EX0036</x:v>
      </x:c>
      <x:c r="M9" s="24" t="str">
        <x:v>EX0001; EX0002; EX0003; EX0004; EX0005; EX0006; EX0007; EX0008; EX0009; EX0010; EX0011; EX0012; EX0013; EX0014; EX0015; EX0016; EX0017; EX0018; EX0019; EX0023; EX0026; EX0028; EX0029; EX0032; EX0033; EX0034; EX0035; EX0044; EX0055; EX0056; EX0234; EX0262; EX0264; EX0265; EX0268; EX0270</x:v>
      </x:c>
      <x:c r="N9" s="24" t="str">
        <x:v>EX0038; EX0041</x:v>
      </x:c>
      <x:c r="O9" s="24" t="str">
        <x:v>Active strength target (group or direct)</x:v>
      </x:c>
      <x:c r="P9" s="24" t="str">
        <x:v>Band shoulder external rotation at side; Side-lying dumbbell external rotation; Band face pull; Cable face pull; Bench-supported reverse fly; Standard push-up</x:v>
      </x:c>
      <x:c r="Q9" s="24" t="str">
        <x:v>Active/involved status varies with technique, loading, individual anatomy and fatigue.</x:v>
      </x:c>
    </x:row>
    <x:row r="10" ht="54" customHeight="1">
      <x:c r="A10" s="24" t="str">
        <x:v>Subscapularis</x:v>
      </x:c>
      <x:c r="B10" s="24" t="str">
        <x:v>Shoulder &amp; Scapula</x:v>
      </x:c>
      <x:c r="C10" s="24" t="str">
        <x:v>Rotator cuff</x:v>
      </x:c>
      <x:c r="D10" s="24" t="str">
        <x:v>Upper and lower subscapular nerves</x:v>
      </x:c>
      <x:c r="E10" s="24" t="str">
        <x:v>C5-C7</x:v>
      </x:c>
      <x:c r="F10" s="24" t="str">
        <x:v>Subscapular fossa of scapula</x:v>
      </x:c>
      <x:c r="G10" s="24" t="str">
        <x:v>Lesser tubercle and anterior humeral capsule</x:v>
      </x:c>
      <x:c r="H10" s="24" t="str">
        <x:v>Subscapularis tendon</x:v>
      </x:c>
      <x:c r="I10" s="24" t="str">
        <x:v>Transverse humeral ligament nearby; shoulder capsule blends with tendon</x:v>
      </x:c>
      <x:c r="J10" s="24" t="str">
        <x:v>Mixed Type I and Type II; ratio unverified</x:v>
      </x:c>
      <x:c r="K10" s="24" t="str">
        <x:v>EX0021</x:v>
      </x:c>
      <x:c r="L10" s="24" t="str">
        <x:v>—</x:v>
      </x:c>
      <x:c r="M10" s="24" t="str">
        <x:v>EX0001; EX0002; EX0003; EX0004; EX0005; EX0006; EX0007; EX0008; EX0009; EX0010; EX0011; EX0012; EX0013; EX0014; EX0015; EX0016; EX0017; EX0018; EX0019; EX0023; EX0026; EX0028; EX0029; EX0032; EX0033; EX0034; EX0035; EX0036; EX0044; EX0055; EX0056; EX0234; EX0262; EX0264; EX0265; EX0268; EX0270; EX0375</x:v>
      </x:c>
      <x:c r="N10" s="24" t="str">
        <x:v>—</x:v>
      </x:c>
      <x:c r="O10" s="24" t="str">
        <x:v>Active strength target (group or direct)</x:v>
      </x:c>
      <x:c r="P10" s="24" t="str">
        <x:v>Band shoulder internal rotation at side; Standard push-up; Incline countertop / wall push-up; Knee push-up; Close-grip push-up</x:v>
      </x:c>
      <x:c r="Q10" s="24" t="str">
        <x:v>Active/involved status varies with technique, loading, individual anatomy and fatigue.</x:v>
      </x:c>
    </x:row>
    <x:row r="11" ht="54" customHeight="1">
      <x:c r="A11" s="24" t="str">
        <x:v>Supraspinatus</x:v>
      </x:c>
      <x:c r="B11" s="24" t="str">
        <x:v>Shoulder &amp; Scapula</x:v>
      </x:c>
      <x:c r="C11" s="24" t="str">
        <x:v>Rotator cuff</x:v>
      </x:c>
      <x:c r="D11" s="24" t="str">
        <x:v>Suprascapular nerve</x:v>
      </x:c>
      <x:c r="E11" s="24" t="str">
        <x:v>C5-C6</x:v>
      </x:c>
      <x:c r="F11" s="24" t="str">
        <x:v>Supraspinous fossa of scapula</x:v>
      </x:c>
      <x:c r="G11" s="24" t="str">
        <x:v>Superior facet of greater tubercle of humerus</x:v>
      </x:c>
      <x:c r="H11" s="24" t="str">
        <x:v>Supraspinatus tendon blends with shoulder capsule</x:v>
      </x:c>
      <x:c r="I11" s="24" t="str">
        <x:v>Coracoacromial arch overlies tendon, not direct attachment</x:v>
      </x:c>
      <x:c r="J11" s="24" t="str">
        <x:v>Mixed Type I and Type II; ratio unverified</x:v>
      </x:c>
      <x:c r="K11" s="24" t="str">
        <x:v>EX0005; EX0007; EX0008; EX0012; EX0015; EX0016; EX0017; EX0018; EX0019; EX0023</x:v>
      </x:c>
      <x:c r="L11" s="24" t="str">
        <x:v>EX0001; EX0002; EX0004; EX0009; EX0010; EX0011; EX0013; EX0014; EX0026; EX0028; EX0056; EX0247; EX0251; EX0303</x:v>
      </x:c>
      <x:c r="M11" s="24" t="str">
        <x:v>EX0003; EX0006; EX0029; EX0032; EX0033; EX0034; EX0035; EX0036; EX0044; EX0055; EX0233; EX0234; EX0235; EX0236; EX0249; EX0262; EX0264; EX0265; EX0268; EX0270</x:v>
      </x:c>
      <x:c r="N11" s="24" t="str">
        <x:v>—</x:v>
      </x:c>
      <x:c r="O11" s="24" t="str">
        <x:v>Active strength target (group or direct)</x:v>
      </x:c>
      <x:c r="P11" s="24" t="str">
        <x:v>Decline feet-elevated push-up; Pike push-up; Wall handstand lean / shrug; Dumbbell incline bench press; Standard push-up; Incline countertop / wall push-up</x:v>
      </x:c>
      <x:c r="Q11" s="24" t="str">
        <x:v>Active/involved status varies with technique, loading, individual anatomy and fatigue.</x:v>
      </x:c>
    </x:row>
    <x:row r="12" ht="54" customHeight="1">
      <x:c r="A12" s="24" t="str">
        <x:v>Teres minor</x:v>
      </x:c>
      <x:c r="B12" s="24" t="str">
        <x:v>Shoulder &amp; Scapula</x:v>
      </x:c>
      <x:c r="C12" s="24" t="str">
        <x:v>Rotator cuff</x:v>
      </x:c>
      <x:c r="D12" s="24" t="str">
        <x:v>Axillary nerve</x:v>
      </x:c>
      <x:c r="E12" s="24" t="str">
        <x:v>C5-C6</x:v>
      </x:c>
      <x:c r="F12" s="24" t="str">
        <x:v>Upper two-thirds lateral border of scapula</x:v>
      </x:c>
      <x:c r="G12" s="24" t="str">
        <x:v>Inferior facet of greater tubercle of humerus</x:v>
      </x:c>
      <x:c r="H12" s="24" t="str">
        <x:v>Teres minor tendon blends with capsule</x:v>
      </x:c>
      <x:c r="I12" s="24" t="str">
        <x:v>Glenohumeral capsular ligament complex, adjacent</x:v>
      </x:c>
      <x:c r="J12" s="24" t="str">
        <x:v>Mixed Type I and Type II; ratio unverified</x:v>
      </x:c>
      <x:c r="K12" s="24" t="str">
        <x:v>EX0020; EX0022; EX0024; EX0025; EX0027; EX0030</x:v>
      </x:c>
      <x:c r="L12" s="24" t="str">
        <x:v>EX0036</x:v>
      </x:c>
      <x:c r="M12" s="24" t="str">
        <x:v>EX0001; EX0002; EX0003; EX0004; EX0005; EX0006; EX0007; EX0008; EX0009; EX0010; EX0011; EX0012; EX0013; EX0014; EX0015; EX0016; EX0017; EX0018; EX0019; EX0023; EX0026; EX0028; EX0029; EX0032; EX0033; EX0034; EX0035; EX0044; EX0055; EX0056; EX0234; EX0262; EX0264; EX0265; EX0268; EX0270</x:v>
      </x:c>
      <x:c r="N12" s="24" t="str">
        <x:v>EX0038; EX0041</x:v>
      </x:c>
      <x:c r="O12" s="24" t="str">
        <x:v>Active strength target (group or direct)</x:v>
      </x:c>
      <x:c r="P12" s="24" t="str">
        <x:v>Band shoulder external rotation at side; Side-lying dumbbell external rotation; Band face pull; Cable face pull; Bench-supported reverse fly; Standard push-up</x:v>
      </x:c>
      <x:c r="Q12" s="24" t="str">
        <x:v>Active/involved status varies with technique, loading, individual anatomy and fatigue.</x:v>
      </x:c>
    </x:row>
    <x:row r="13" ht="54" customHeight="1">
      <x:c r="A13" s="24" t="str">
        <x:v>Levator scapulae</x:v>
      </x:c>
      <x:c r="B13" s="24" t="str">
        <x:v>Shoulder &amp; Scapula</x:v>
      </x:c>
      <x:c r="C13" s="24" t="str">
        <x:v>Shoulder girdle</x:v>
      </x:c>
      <x:c r="D13" s="24" t="str">
        <x:v>Dorsal scapular nerve; cervical plexus branches</x:v>
      </x:c>
      <x:c r="E13" s="24" t="str">
        <x:v>C3-C5</x:v>
      </x:c>
      <x:c r="F13" s="24" t="str">
        <x:v>Posterior tubercles transverse processes C1-C4</x:v>
      </x:c>
      <x:c r="G13" s="24" t="str">
        <x:v>Superior medial border of scapula</x:v>
      </x:c>
      <x:c r="H13" s="24" t="str">
        <x:v>Short aponeurotic scapular attachment</x:v>
      </x:c>
      <x:c r="I13" s="24" t="str">
        <x:v>Nuchal ligament adjacent, not primary attachment</x:v>
      </x:c>
      <x:c r="J13" s="24" t="str">
        <x:v>Mixed Type I and Type II; ratio unverified</x:v>
      </x:c>
      <x:c r="K13" s="24" t="str">
        <x:v>EX0033; EX0034; EX0288; EX0289; EX0292; EX0300; EX0301; EX0302</x:v>
      </x:c>
      <x:c r="L13" s="24" t="str">
        <x:v>EX0290; EX0294</x:v>
      </x:c>
      <x:c r="M13" s="24" t="str">
        <x:v>EX0284; EX0285; EX0287; EX0303</x:v>
      </x:c>
      <x:c r="N13" s="24" t="str">
        <x:v>EX0296; EX0297</x:v>
      </x:c>
      <x:c r="O13" s="24" t="str">
        <x:v>Active strength target (group or direct)</x:v>
      </x:c>
      <x:c r="P13" s="24" t="str">
        <x:v>Band scapular elevation / shrug; Dumbbell shrug; Neck isometric extension hand resistance; Neck isometric lateral flexion; Neck isometric rotation; Scapular retraction posture drill</x:v>
      </x:c>
      <x:c r="Q13" s="24" t="str">
        <x:v>Active/involved status varies with technique, loading, individual anatomy and fatigue.</x:v>
      </x:c>
    </x:row>
    <x:row r="14" ht="54" customHeight="1">
      <x:c r="A14" s="24" t="str">
        <x:v>Rhomboid major</x:v>
      </x:c>
      <x:c r="B14" s="24" t="str">
        <x:v>Shoulder &amp; Scapula</x:v>
      </x:c>
      <x:c r="C14" s="24" t="str">
        <x:v>Shoulder girdle</x:v>
      </x:c>
      <x:c r="D14" s="24" t="str">
        <x:v>Dorsal scapular nerve</x:v>
      </x:c>
      <x:c r="E14" s="24" t="str">
        <x:v>C4-C5</x:v>
      </x:c>
      <x:c r="F14" s="24" t="str">
        <x:v>T2-T5 spinous processes</x:v>
      </x:c>
      <x:c r="G14" s="24" t="str">
        <x:v>Medial border scapula from spine to inferior angle</x:v>
      </x:c>
      <x:c r="H14" s="24" t="str">
        <x:v>Fibrous scapular insertion</x:v>
      </x:c>
      <x:c r="I14" s="24" t="str">
        <x:v>No specific direct ligament attachment</x:v>
      </x:c>
      <x:c r="J14" s="24" t="str">
        <x:v>Mixed Type I and Type II; ratio unverified</x:v>
      </x:c>
      <x:c r="K14" s="24" t="str">
        <x:v>EX0024; EX0025; EX0027; EX0029; EX0030; EX0036; EX0044; EX0262; EX0263; EX0264; EX0267; EX0268; EX0269; EX0272; EX0274; EX0294</x:v>
      </x:c>
      <x:c r="L14" s="24" t="str">
        <x:v>EX0261; EX0265; EX0266; EX0270</x:v>
      </x:c>
      <x:c r="M14" s="24" t="str">
        <x:v>EX0020; EX0021; EX0022; EX0031; EX0097; EX0248; EX0300</x:v>
      </x:c>
      <x:c r="N14" s="24" t="str">
        <x:v>—</x:v>
      </x:c>
      <x:c r="O14" s="24" t="str">
        <x:v>Active strength target (group or direct)</x:v>
      </x:c>
      <x:c r="P14" s="24" t="str">
        <x:v>Band face pull; Cable face pull; Band pull-apart; Prone T raise; Superman alternating arms only; Assisted pull-up with band</x:v>
      </x:c>
      <x:c r="Q14" s="24" t="str">
        <x:v>Active/involved status varies with technique, loading, individual anatomy and fatigue.</x:v>
      </x:c>
    </x:row>
    <x:row r="15" ht="54" customHeight="1">
      <x:c r="A15" s="24" t="str">
        <x:v>Rhomboid minor</x:v>
      </x:c>
      <x:c r="B15" s="24" t="str">
        <x:v>Shoulder &amp; Scapula</x:v>
      </x:c>
      <x:c r="C15" s="24" t="str">
        <x:v>Shoulder girdle</x:v>
      </x:c>
      <x:c r="D15" s="24" t="str">
        <x:v>Dorsal scapular nerve</x:v>
      </x:c>
      <x:c r="E15" s="24" t="str">
        <x:v>C4-C5</x:v>
      </x:c>
      <x:c r="F15" s="24" t="str">
        <x:v>Nuchal ligament; C7-T1 spinous processes</x:v>
      </x:c>
      <x:c r="G15" s="24" t="str">
        <x:v>Medial border scapula at root of spine</x:v>
      </x:c>
      <x:c r="H15" s="24" t="str">
        <x:v>Fibrous insertion slips</x:v>
      </x:c>
      <x:c r="I15" s="24" t="str">
        <x:v>Direct origin from nuchal ligament</x:v>
      </x:c>
      <x:c r="J15" s="24" t="str">
        <x:v>Mixed Type I and Type II; ratio unverified</x:v>
      </x:c>
      <x:c r="K15" s="24" t="str">
        <x:v>EX0024; EX0025; EX0027; EX0029; EX0030; EX0036; EX0044; EX0262; EX0263; EX0264; EX0267; EX0268; EX0269; EX0272; EX0274; EX0294</x:v>
      </x:c>
      <x:c r="L15" s="24" t="str">
        <x:v>EX0261; EX0265; EX0266; EX0270</x:v>
      </x:c>
      <x:c r="M15" s="24" t="str">
        <x:v>EX0020; EX0021; EX0022; EX0031; EX0097; EX0248; EX0300</x:v>
      </x:c>
      <x:c r="N15" s="24" t="str">
        <x:v>—</x:v>
      </x:c>
      <x:c r="O15" s="24" t="str">
        <x:v>Active strength target (group or direct)</x:v>
      </x:c>
      <x:c r="P15" s="24" t="str">
        <x:v>Band face pull; Cable face pull; Band pull-apart; Prone T raise; Superman alternating arms only; Assisted pull-up with band</x:v>
      </x:c>
      <x:c r="Q15" s="24" t="str">
        <x:v>Active/involved status varies with technique, loading, individual anatomy and fatigue.</x:v>
      </x:c>
    </x:row>
    <x:row r="16" ht="54" customHeight="1">
      <x:c r="A16" s="24" t="str">
        <x:v>Deltoid</x:v>
      </x:c>
      <x:c r="B16" s="24" t="str">
        <x:v>Shoulder &amp; Scapula</x:v>
      </x:c>
      <x:c r="C16" s="24" t="str">
        <x:v>Shoulder lateral</x:v>
      </x:c>
      <x:c r="D16" s="24" t="str">
        <x:v>Axillary nerve</x:v>
      </x:c>
      <x:c r="E16" s="24" t="str">
        <x:v>C5-C6</x:v>
      </x:c>
      <x:c r="F16" s="24" t="str">
        <x:v>Lateral third clavicle; acromion; scapular spine</x:v>
      </x:c>
      <x:c r="G16" s="24" t="str">
        <x:v>Deltoid tuberosity of humerus</x:v>
      </x:c>
      <x:c r="H16" s="24" t="str">
        <x:v>Deltoid insertion tendon</x:v>
      </x:c>
      <x:c r="I16" s="24" t="str">
        <x:v>Coracoacromial ligament overlies cuff, not direct attachment</x:v>
      </x:c>
      <x:c r="J16" s="24" t="str">
        <x:v>Mixed Type I and Type II; ratio unverified</x:v>
      </x:c>
      <x:c r="K16" s="24" t="str">
        <x:v>EX0005; EX0007; EX0008; EX0012; EX0015; EX0016; EX0017; EX0018; EX0019; EX0023; EX0036; EX0375</x:v>
      </x:c>
      <x:c r="L16" s="24" t="str">
        <x:v>EX0001; EX0002; EX0004; EX0009; EX0010; EX0011; EX0013; EX0014; EX0020; EX0024; EX0025; EX0026; EX0027; EX0028; EX0029; EX0056; EX0247; EX0251; EX0272; EX0303</x:v>
      </x:c>
      <x:c r="M16" s="24" t="str">
        <x:v>EX0233; EX0235; EX0236; EX0249</x:v>
      </x:c>
      <x:c r="N16" s="24" t="str">
        <x:v>EX0038</x:v>
      </x:c>
      <x:c r="O16" s="24" t="str">
        <x:v>Active strength target (group or direct)</x:v>
      </x:c>
      <x:c r="P16" s="24" t="str">
        <x:v>Decline feet-elevated push-up; Pike push-up; Wall handstand lean / shrug; Dumbbell incline bench press; Standard push-up; Incline countertop / wall push-up</x:v>
      </x:c>
      <x:c r="Q16" s="24" t="str">
        <x:v>Active/involved status varies with technique, loading, individual anatomy and fatigue.</x:v>
      </x:c>
    </x:row>
    <x:row r="17" ht="54" customHeight="1">
      <x:c r="A17" s="24" t="str">
        <x:v>Trapezius</x:v>
      </x:c>
      <x:c r="B17" s="24" t="str">
        <x:v>Shoulder &amp; Scapula</x:v>
      </x:c>
      <x:c r="C17" s="24" t="str">
        <x:v>Superficial back / scapula</x:v>
      </x:c>
      <x:c r="D17" s="24" t="str">
        <x:v>Spinal accessory nerve CN XI (motor); cervical plexus proprioception</x:v>
      </x:c>
      <x:c r="E17" s="24" t="str">
        <x:v>CN XI (spinal nucleus C1-C5); C3-C4 sensory</x:v>
      </x:c>
      <x:c r="F17" s="24" t="str">
        <x:v>Medial superior nuchal line; external occipital protuberance; nuchal ligament; C7-T12 spinous processes</x:v>
      </x:c>
      <x:c r="G17" s="24" t="str">
        <x:v>Lateral clavicle; acromion; spine of scapula</x:v>
      </x:c>
      <x:c r="H17" s="24" t="str">
        <x:v>Broad aponeuroses and scapular/clavicular tendinous insertions</x:v>
      </x:c>
      <x:c r="I17" s="24" t="str">
        <x:v>Nuchal ligament direct origin</x:v>
      </x:c>
      <x:c r="J17" s="24" t="str">
        <x:v>Mixed Type I and Type II; ratio unverified</x:v>
      </x:c>
      <x:c r="K17" s="24" t="str">
        <x:v>EX0008; EX0024; EX0025; EX0026; EX0027; EX0028; EX0029; EX0030; EX0033; EX0034; EX0036; EX0040; EX0044; EX0262; EX0263; EX0264; EX0267; EX0268; EX0269; EX0272; EX0274; EX0294; EX0302; EX0303; EX0310</x:v>
      </x:c>
      <x:c r="L17" s="24" t="str">
        <x:v>EX0007; EX0015; EX0016; EX0017; EX0019; EX0023; EX0035; EX0097; EX0247; EX0250; EX0261; EX0265; EX0266; EX0270; EX0288; EX0309</x:v>
      </x:c>
      <x:c r="M17" s="24" t="str">
        <x:v>EX0018; EX0020; EX0021; EX0022; EX0031; EX0248; EX0300; EX0376</x:v>
      </x:c>
      <x:c r="N17" s="24" t="str">
        <x:v>EX0296</x:v>
      </x:c>
      <x:c r="O17" s="24" t="str">
        <x:v>Active strength target (group or direct)</x:v>
      </x:c>
      <x:c r="P17" s="24" t="str">
        <x:v>Wall handstand lean / shrug; Band face pull; Cable face pull; Wall slide with upward reach; Pike push-up; Standing band shoulder press</x:v>
      </x:c>
      <x:c r="Q17" s="24" t="str">
        <x:v>Active/involved status varies with technique, loading, individual anatomy and fatigue.</x:v>
      </x:c>
    </x:row>
    <x:row r="18" ht="54" customHeight="1">
      <x:c r="A18" s="24" t="str">
        <x:v>Serratus anterior</x:v>
      </x:c>
      <x:c r="B18" s="24" t="str">
        <x:v>Shoulder &amp; Scapula</x:v>
      </x:c>
      <x:c r="C18" s="24" t="str">
        <x:v>Thoracic scapular</x:v>
      </x:c>
      <x:c r="D18" s="24" t="str">
        <x:v>Long thoracic nerve</x:v>
      </x:c>
      <x:c r="E18" s="24" t="str">
        <x:v>C5-C7</x:v>
      </x:c>
      <x:c r="F18" s="24" t="str">
        <x:v>Lateral surfaces ribs 1-8/9</x:v>
      </x:c>
      <x:c r="G18" s="24" t="str">
        <x:v>Anterior medial border of scapula, especially inferior angle</x:v>
      </x:c>
      <x:c r="H18" s="24" t="str">
        <x:v>Muscular/slip attachments; no dominant distal tendon</x:v>
      </x:c>
      <x:c r="I18" s="24" t="str">
        <x:v>No specific direct ligament attachment</x:v>
      </x:c>
      <x:c r="J18" s="24" t="str">
        <x:v>Mixed Type I and Type II; ratio unverified</x:v>
      </x:c>
      <x:c r="K18" s="24" t="str">
        <x:v>EX0006; EX0008; EX0026; EX0028; EX0040; EX0303; EX0310</x:v>
      </x:c>
      <x:c r="L18" s="24" t="str">
        <x:v>EX0001; EX0002; EX0003; EX0004; EX0005; EX0007; EX0009; EX0010; EX0011; EX0012; EX0013; EX0015; EX0016; EX0017; EX0019; EX0023; EX0234; EX0247; EX0309; EX0376</x:v>
      </x:c>
      <x:c r="M18" s="24" t="str">
        <x:v>EX0014; EX0018; EX0233; EX0235; EX0236; EX0258</x:v>
      </x:c>
      <x:c r="N18" s="24" t="str">
        <x:v>—</x:v>
      </x:c>
      <x:c r="O18" s="24" t="str">
        <x:v>Active strength target (group or direct)</x:v>
      </x:c>
      <x:c r="P18" s="24" t="str">
        <x:v>Scapular push-up / push-up plus; Wall handstand lean / shrug; Wall slide with upward reach; Prone Y raise; Standard push-up; Incline countertop / wall push-up</x:v>
      </x:c>
      <x:c r="Q18" s="24" t="str">
        <x:v>Active/involved status varies with technique, loading, individual anatomy and fatigue.</x:v>
      </x:c>
    </x:row>
    <x:row r="19" ht="54" customHeight="1">
      <x:c r="A19" s="24" t="str">
        <x:v>Biceps brachii long head</x:v>
      </x:c>
      <x:c r="B19" s="24" t="str">
        <x:v>Arm</x:v>
      </x:c>
      <x:c r="C19" s="24" t="str">
        <x:v>Anterior arm</x:v>
      </x:c>
      <x:c r="D19" s="24" t="str">
        <x:v>Musculocutaneous nerve</x:v>
      </x:c>
      <x:c r="E19" s="24" t="str">
        <x:v>C5-C6</x:v>
      </x:c>
      <x:c r="F19" s="24" t="str">
        <x:v>Supraglenoid tubercle of scapula and superior labrum</x:v>
      </x:c>
      <x:c r="G19" s="24" t="str">
        <x:v>Radial tuberosity; forearm fascia via bicipital aponeurosis</x:v>
      </x:c>
      <x:c r="H19" s="24" t="str">
        <x:v>Long-head proximal tendon; distal biceps tendon; bicipital aponeurosis</x:v>
      </x:c>
      <x:c r="I19" s="24" t="str">
        <x:v>Transverse humeral ligament overlies proximal tendon in groove</x:v>
      </x:c>
      <x:c r="J19" s="24" t="str">
        <x:v>Mixed Type I and Type II; ratio unverified</x:v>
      </x:c>
      <x:c r="K19" s="24" t="str">
        <x:v>EX0044; EX0045; EX0046; EX0047; EX0048; EX0049; EX0051; EX0057; EX0059; EX0061; EX0072; EX0266</x:v>
      </x:c>
      <x:c r="L19" s="24" t="str">
        <x:v>EX0050; EX0262; EX0263; EX0264; EX0265; EX0267; EX0268; EX0269; EX0270; EX0272; EX0274</x:v>
      </x:c>
      <x:c r="M19" s="24" t="str">
        <x:v>EX0058</x:v>
      </x:c>
      <x:c r="N19" s="24" t="str">
        <x:v>EX0043</x:v>
      </x:c>
      <x:c r="O19" s="24" t="str">
        <x:v>Active strength target (group or direct)</x:v>
      </x:c>
      <x:c r="P19" s="24" t="str">
        <x:v>Underhand inverted table row; Door-anchor band biceps curl; Concentration curl; Incline dumbbell biceps curl; Reverse curl band; Seated band row</x:v>
      </x:c>
      <x:c r="Q19" s="24" t="str">
        <x:v>Active/involved status varies with technique, loading, individual anatomy and fatigue.</x:v>
      </x:c>
    </x:row>
    <x:row r="20" ht="54" customHeight="1">
      <x:c r="A20" s="24" t="str">
        <x:v>Biceps brachii short head</x:v>
      </x:c>
      <x:c r="B20" s="24" t="str">
        <x:v>Arm</x:v>
      </x:c>
      <x:c r="C20" s="24" t="str">
        <x:v>Anterior arm</x:v>
      </x:c>
      <x:c r="D20" s="24" t="str">
        <x:v>Musculocutaneous nerve</x:v>
      </x:c>
      <x:c r="E20" s="24" t="str">
        <x:v>C5-C6</x:v>
      </x:c>
      <x:c r="F20" s="24" t="str">
        <x:v>Coracoid process of scapula</x:v>
      </x:c>
      <x:c r="G20" s="24" t="str">
        <x:v>Radial tuberosity; forearm fascia via bicipital aponeurosis</x:v>
      </x:c>
      <x:c r="H20" s="24" t="str">
        <x:v>Conjoined proximal tendon; common distal biceps tendon</x:v>
      </x:c>
      <x:c r="I20" s="24" t="str">
        <x:v>Coracoclavicular ligaments near coracoid, no direct attachment</x:v>
      </x:c>
      <x:c r="J20" s="24" t="str">
        <x:v>Mixed Type I and Type II; ratio unverified</x:v>
      </x:c>
      <x:c r="K20" s="24" t="str">
        <x:v>EX0044; EX0045; EX0046; EX0047; EX0048; EX0049; EX0051; EX0057; EX0059; EX0061; EX0072; EX0266</x:v>
      </x:c>
      <x:c r="L20" s="24" t="str">
        <x:v>EX0050; EX0262; EX0263; EX0264; EX0265; EX0267; EX0268; EX0269; EX0270; EX0272; EX0274</x:v>
      </x:c>
      <x:c r="M20" s="24" t="str">
        <x:v>EX0058</x:v>
      </x:c>
      <x:c r="N20" s="24" t="str">
        <x:v>EX0043</x:v>
      </x:c>
      <x:c r="O20" s="24" t="str">
        <x:v>Active strength target (group or direct)</x:v>
      </x:c>
      <x:c r="P20" s="24" t="str">
        <x:v>Underhand inverted table row; Door-anchor band biceps curl; Concentration curl; Incline dumbbell biceps curl; Reverse curl band; Seated band row</x:v>
      </x:c>
      <x:c r="Q20" s="24" t="str">
        <x:v>Active/involved status varies with technique, loading, individual anatomy and fatigue.</x:v>
      </x:c>
    </x:row>
    <x:row r="21" ht="54" customHeight="1">
      <x:c r="A21" s="24" t="str">
        <x:v>Brachialis</x:v>
      </x:c>
      <x:c r="B21" s="24" t="str">
        <x:v>Arm</x:v>
      </x:c>
      <x:c r="C21" s="24" t="str">
        <x:v>Anterior arm</x:v>
      </x:c>
      <x:c r="D21" s="24" t="str">
        <x:v>Musculocutaneous nerve; small radial contribution to lateral part</x:v>
      </x:c>
      <x:c r="E21" s="24" t="str">
        <x:v>C5-C6 (occasional C7 radial)</x:v>
      </x:c>
      <x:c r="F21" s="24" t="str">
        <x:v>Distal anterior half of humerus; intermuscular septa</x:v>
      </x:c>
      <x:c r="G21" s="24" t="str">
        <x:v>Coronoid process and tuberosity of ulna</x:v>
      </x:c>
      <x:c r="H21" s="24" t="str">
        <x:v>Brachialis insertion tendon</x:v>
      </x:c>
      <x:c r="I21" s="24" t="str">
        <x:v>Anterior elbow capsule intimate with deep fibers</x:v>
      </x:c>
      <x:c r="J21" s="24" t="str">
        <x:v>Mixed Type I and Type II; ratio unverified</x:v>
      </x:c>
      <x:c r="K21" s="24" t="str">
        <x:v>EX0045; EX0046; EX0047; EX0048; EX0049; EX0050; EX0051; EX0057; EX0072</x:v>
      </x:c>
      <x:c r="L21" s="24" t="str">
        <x:v>EX0044; EX0262; EX0264</x:v>
      </x:c>
      <x:c r="M21" s="24" t="str">
        <x:v>EX0058</x:v>
      </x:c>
      <x:c r="N21" s="24" t="str">
        <x:v>—</x:v>
      </x:c>
      <x:c r="O21" s="24" t="str">
        <x:v>Active strength target (group or direct)</x:v>
      </x:c>
      <x:c r="P21" s="24" t="str">
        <x:v>Door-anchor band biceps curl; Concentration curl; Incline dumbbell biceps curl; Hammer curl with backpack; Underhand inverted table row; Seated band row</x:v>
      </x:c>
      <x:c r="Q21" s="24" t="str">
        <x:v>Active/involved status varies with technique, loading, individual anatomy and fatigue.</x:v>
      </x:c>
    </x:row>
    <x:row r="22" ht="54" customHeight="1">
      <x:c r="A22" s="24" t="str">
        <x:v>Coracobrachialis</x:v>
      </x:c>
      <x:c r="B22" s="24" t="str">
        <x:v>Arm</x:v>
      </x:c>
      <x:c r="C22" s="24" t="str">
        <x:v>Anterior arm</x:v>
      </x:c>
      <x:c r="D22" s="24" t="str">
        <x:v>Musculocutaneous nerve</x:v>
      </x:c>
      <x:c r="E22" s="24" t="str">
        <x:v>C5-C7</x:v>
      </x:c>
      <x:c r="F22" s="24" t="str">
        <x:v>Coracoid process of scapula</x:v>
      </x:c>
      <x:c r="G22" s="24" t="str">
        <x:v>Middle third medial humeral shaft</x:v>
      </x:c>
      <x:c r="H22" s="24" t="str">
        <x:v>Proximal conjoint tendon; distal tendinous insertion</x:v>
      </x:c>
      <x:c r="I22" s="24" t="str">
        <x:v>Coracoclavicular ligaments share coracoid vicinity</x:v>
      </x:c>
      <x:c r="J22" s="24" t="str">
        <x:v>Mixed Type I and Type II; ratio unverified</x:v>
      </x:c>
      <x:c r="K22" s="24" t="str">
        <x:v>EX0375</x:v>
      </x:c>
      <x:c r="L22" s="24" t="str">
        <x:v>—</x:v>
      </x:c>
      <x:c r="M22" s="24" t="str">
        <x:v>—</x:v>
      </x:c>
      <x:c r="N22" s="24" t="str">
        <x:v>—</x:v>
      </x:c>
      <x:c r="O22" s="24" t="str">
        <x:v>Active strength target (group or direct)</x:v>
      </x:c>
      <x:c r="P22" s="24" t="str">
        <x:v>Band straight-arm shoulder flexion and slight adduction</x:v>
      </x:c>
      <x:c r="Q22" s="24" t="str">
        <x:v>Active/involved status varies with technique, loading, individual anatomy and fatigue.</x:v>
      </x:c>
    </x:row>
    <x:row r="23" ht="54" customHeight="1">
      <x:c r="A23" s="24" t="str">
        <x:v>Articularis cubiti</x:v>
      </x:c>
      <x:c r="B23" s="24" t="str">
        <x:v>Arm</x:v>
      </x:c>
      <x:c r="C23" s="24" t="str">
        <x:v>Deep posterior elbow</x:v>
      </x:c>
      <x:c r="D23" s="24" t="str">
        <x:v>Radial nerve branch to triceps</x:v>
      </x:c>
      <x:c r="E23" s="24" t="str">
        <x:v>C7-C8 (variable)</x:v>
      </x:c>
      <x:c r="F23" s="24" t="str">
        <x:v>Distal posterior humerus near olecranon fossa</x:v>
      </x:c>
      <x:c r="G23" s="24" t="str">
        <x:v>Posterior capsule of elbow joint</x:v>
      </x:c>
      <x:c r="H23" s="24" t="str">
        <x:v>Fibers to posterior joint capsule</x:v>
      </x:c>
      <x:c r="I23" s="24" t="str">
        <x:v>Posterior capsular ligaments continuous with insertion</x:v>
      </x:c>
      <x:c r="J23" s="24" t="str">
        <x:v>Mixed Type I and Type II; ratio unverified</x:v>
      </x:c>
      <x:c r="K23" s="24" t="str">
        <x:v>—</x:v>
      </x:c>
      <x:c r="L23" s="24" t="str">
        <x:v>EX0052</x:v>
      </x:c>
      <x:c r="M23" s="24" t="str">
        <x:v>—</x:v>
      </x:c>
      <x:c r="N23" s="24" t="str">
        <x:v>—</x:v>
      </x:c>
      <x:c r="O23" s="24" t="str">
        <x:v>Assists active movement</x:v>
      </x:c>
      <x:c r="P23" s="24" t="str">
        <x:v>Band triceps press-down</x:v>
      </x:c>
      <x:c r="Q23" s="24" t="str">
        <x:v>Tiny capsular retractor; loading is indirect, not a stand-alone hypertrophy drill.</x:v>
      </x:c>
    </x:row>
    <x:row r="24" ht="54" customHeight="1">
      <x:c r="A24" s="24" t="str">
        <x:v>Triceps brachii lateral head</x:v>
      </x:c>
      <x:c r="B24" s="24" t="str">
        <x:v>Arm</x:v>
      </x:c>
      <x:c r="C24" s="24" t="str">
        <x:v>Posterior arm</x:v>
      </x:c>
      <x:c r="D24" s="24" t="str">
        <x:v>Radial nerve</x:v>
      </x:c>
      <x:c r="E24" s="24" t="str">
        <x:v>C6-C8</x:v>
      </x:c>
      <x:c r="F24" s="24" t="str">
        <x:v>Posterior humerus superior to radial groove</x:v>
      </x:c>
      <x:c r="G24" s="24" t="str">
        <x:v>Olecranon via common tendon</x:v>
      </x:c>
      <x:c r="H24" s="24" t="str">
        <x:v>Common triceps tendon</x:v>
      </x:c>
      <x:c r="I24" s="24" t="str">
        <x:v>Posterior elbow capsule nearby</x:v>
      </x:c>
      <x:c r="J24" s="24" t="str">
        <x:v>Type II-rich relative to soleus</x:v>
      </x:c>
      <x:c r="K24" s="24" t="str">
        <x:v>EX0001; EX0002; EX0003; EX0004; EX0005; EX0007; EX0009; EX0011; EX0013; EX0015; EX0016; EX0017; EX0052; EX0053; EX0054; EX0055; EX0056</x:v>
      </x:c>
      <x:c r="L24" s="24" t="str">
        <x:v>EX0008; EX0012; EX0031; EX0032; EX0234; EX0271</x:v>
      </x:c>
      <x:c r="M24" s="24" t="str">
        <x:v>EX0035</x:v>
      </x:c>
      <x:c r="N24" s="24" t="str">
        <x:v>EX0042</x:v>
      </x:c>
      <x:c r="O24" s="24" t="str">
        <x:v>Active strength target (group or direct)</x:v>
      </x:c>
      <x:c r="P24" s="24" t="str">
        <x:v>Standard push-up; Incline countertop / wall push-up; Knee push-up; Close-grip push-up; Wall handstand lean / shrug; Dumbbell incline bench press</x:v>
      </x:c>
      <x:c r="Q24" s="24" t="str">
        <x:v>Active/involved status varies with technique, loading, individual anatomy and fatigue.</x:v>
      </x:c>
    </x:row>
    <x:row r="25" ht="54" customHeight="1">
      <x:c r="A25" s="24" t="str">
        <x:v>Triceps brachii long head</x:v>
      </x:c>
      <x:c r="B25" s="24" t="str">
        <x:v>Arm</x:v>
      </x:c>
      <x:c r="C25" s="24" t="str">
        <x:v>Posterior arm</x:v>
      </x:c>
      <x:c r="D25" s="24" t="str">
        <x:v>Radial nerve</x:v>
      </x:c>
      <x:c r="E25" s="24" t="str">
        <x:v>C6-C8</x:v>
      </x:c>
      <x:c r="F25" s="24" t="str">
        <x:v>Infraglenoid tubercle of scapula</x:v>
      </x:c>
      <x:c r="G25" s="24" t="str">
        <x:v>Olecranon of ulna and deep fascia</x:v>
      </x:c>
      <x:c r="H25" s="24" t="str">
        <x:v>Common triceps tendon to olecranon</x:v>
      </x:c>
      <x:c r="I25" s="24" t="str">
        <x:v>Posterior elbow joint capsule adjacent</x:v>
      </x:c>
      <x:c r="J25" s="24" t="str">
        <x:v>Type II-rich relative to soleus</x:v>
      </x:c>
      <x:c r="K25" s="24" t="str">
        <x:v>EX0001; EX0002; EX0003; EX0004; EX0005; EX0007; EX0009; EX0011; EX0013; EX0015; EX0016; EX0017; EX0052; EX0053; EX0054; EX0055; EX0056</x:v>
      </x:c>
      <x:c r="L25" s="24" t="str">
        <x:v>EX0008; EX0012; EX0031; EX0032; EX0234; EX0271</x:v>
      </x:c>
      <x:c r="M25" s="24" t="str">
        <x:v>EX0035</x:v>
      </x:c>
      <x:c r="N25" s="24" t="str">
        <x:v>EX0042</x:v>
      </x:c>
      <x:c r="O25" s="24" t="str">
        <x:v>Active strength target (group or direct)</x:v>
      </x:c>
      <x:c r="P25" s="24" t="str">
        <x:v>Standard push-up; Incline countertop / wall push-up; Knee push-up; Close-grip push-up; Wall handstand lean / shrug; Dumbbell incline bench press</x:v>
      </x:c>
      <x:c r="Q25" s="24" t="str">
        <x:v>Active/involved status varies with technique, loading, individual anatomy and fatigue.</x:v>
      </x:c>
    </x:row>
    <x:row r="26" ht="54" customHeight="1">
      <x:c r="A26" s="24" t="str">
        <x:v>Triceps brachii medial head</x:v>
      </x:c>
      <x:c r="B26" s="24" t="str">
        <x:v>Arm</x:v>
      </x:c>
      <x:c r="C26" s="24" t="str">
        <x:v>Posterior arm</x:v>
      </x:c>
      <x:c r="D26" s="24" t="str">
        <x:v>Radial nerve</x:v>
      </x:c>
      <x:c r="E26" s="24" t="str">
        <x:v>C7-C8</x:v>
      </x:c>
      <x:c r="F26" s="24" t="str">
        <x:v>Posterior humerus inferior to radial groove</x:v>
      </x:c>
      <x:c r="G26" s="24" t="str">
        <x:v>Olecranon via common tendon</x:v>
      </x:c>
      <x:c r="H26" s="24" t="str">
        <x:v>Common triceps tendon</x:v>
      </x:c>
      <x:c r="I26" s="24" t="str">
        <x:v>Posterior elbow capsule nearby</x:v>
      </x:c>
      <x:c r="J26" s="24" t="str">
        <x:v>Type II-rich relative to soleus</x:v>
      </x:c>
      <x:c r="K26" s="24" t="str">
        <x:v>EX0001; EX0002; EX0003; EX0004; EX0005; EX0007; EX0009; EX0011; EX0013; EX0015; EX0016; EX0017; EX0052; EX0053; EX0054; EX0055; EX0056</x:v>
      </x:c>
      <x:c r="L26" s="24" t="str">
        <x:v>EX0008; EX0012; EX0031; EX0032; EX0234; EX0271</x:v>
      </x:c>
      <x:c r="M26" s="24" t="str">
        <x:v>EX0035</x:v>
      </x:c>
      <x:c r="N26" s="24" t="str">
        <x:v>EX0042</x:v>
      </x:c>
      <x:c r="O26" s="24" t="str">
        <x:v>Active strength target (group or direct)</x:v>
      </x:c>
      <x:c r="P26" s="24" t="str">
        <x:v>Standard push-up; Incline countertop / wall push-up; Knee push-up; Close-grip push-up; Wall handstand lean / shrug; Dumbbell incline bench press</x:v>
      </x:c>
      <x:c r="Q26" s="24" t="str">
        <x:v>Active/involved status varies with technique, loading, individual anatomy and fatigue.</x:v>
      </x:c>
    </x:row>
    <x:row r="27" ht="54" customHeight="1">
      <x:c r="A27" s="24" t="str">
        <x:v>Anconeus</x:v>
      </x:c>
      <x:c r="B27" s="24" t="str">
        <x:v>Arm</x:v>
      </x:c>
      <x:c r="C27" s="24" t="str">
        <x:v>Posterolateral elbow</x:v>
      </x:c>
      <x:c r="D27" s="24" t="str">
        <x:v>Radial nerve</x:v>
      </x:c>
      <x:c r="E27" s="24" t="str">
        <x:v>C7-T1</x:v>
      </x:c>
      <x:c r="F27" s="24" t="str">
        <x:v>Lateral epicondyle of humerus</x:v>
      </x:c>
      <x:c r="G27" s="24" t="str">
        <x:v>Lateral olecranon and proximal posterior ulna</x:v>
      </x:c>
      <x:c r="H27" s="24" t="str">
        <x:v>Small proximal tendon</x:v>
      </x:c>
      <x:c r="I27" s="24" t="str">
        <x:v>Annular ligament of radius and lateral collateral ligament complex nearby</x:v>
      </x:c>
      <x:c r="J27" s="24" t="str">
        <x:v>Mixed Type I and Type II; ratio unverified</x:v>
      </x:c>
      <x:c r="K27" s="24" t="str">
        <x:v>EX0052</x:v>
      </x:c>
      <x:c r="L27" s="24" t="str">
        <x:v>EX0053; EX0054; EX0055</x:v>
      </x:c>
      <x:c r="M27" s="24" t="str">
        <x:v>—</x:v>
      </x:c>
      <x:c r="N27" s="24" t="str">
        <x:v>—</x:v>
      </x:c>
      <x:c r="O27" s="24" t="str">
        <x:v>Active strength target (group or direct)</x:v>
      </x:c>
      <x:c r="P27" s="24" t="str">
        <x:v>Band triceps press-down; Overhead band triceps extension; Cable triceps press-down; Lying dumbbell skull crusher</x:v>
      </x:c>
      <x:c r="Q27" s="24" t="str">
        <x:v>Active/involved status varies with technique, loading, individual anatomy and fatigue.</x:v>
      </x:c>
    </x:row>
    <x:row r="28" ht="54" customHeight="1">
      <x:c r="A28" s="24" t="str">
        <x:v>Flexor digitorum profundus lateral portion (digits 2-3)</x:v>
      </x:c>
      <x:c r="B28" s="24" t="str">
        <x:v>Forearm</x:v>
      </x:c>
      <x:c r="C28" s="24" t="str">
        <x:v>Anterior deep</x:v>
      </x:c>
      <x:c r="D28" s="24" t="str">
        <x:v>Anterior interosseous nerve (median)</x:v>
      </x:c>
      <x:c r="E28" s="24" t="str">
        <x:v>C8-T1</x:v>
      </x:c>
      <x:c r="F28" s="24" t="str">
        <x:v>Proximal 3/4 anterior/medial ulna; interosseous membrane</x:v>
      </x:c>
      <x:c r="G28" s="24" t="str">
        <x:v>Distal phalanges of digits 2-3</x:v>
      </x:c>
      <x:c r="H28" s="24" t="str">
        <x:v>Deep flexor digital tendons 2-3</x:v>
      </x:c>
      <x:c r="I28" s="24" t="str">
        <x:v>Flexor retinaculum; digital annular pulleys support tendon paths</x:v>
      </x:c>
      <x:c r="J28" s="24" t="str">
        <x:v>Mixed Type I and Type II; ratio unverified</x:v>
      </x:c>
      <x:c r="K28" s="24" t="str">
        <x:v>EX0075; EX0076; EX0093; EX0097; EX0098; EX0100; EX0101; EX0250</x:v>
      </x:c>
      <x:c r="L28" s="24" t="str">
        <x:v>EX0062; EX0064; EX0251</x:v>
      </x:c>
      <x:c r="M28" s="24" t="str">
        <x:v>EX0173; EX0174; EX0248; EX0266; EX0267</x:v>
      </x:c>
      <x:c r="N28" s="24" t="str">
        <x:v>EX0068; EX0070; EX0093; EX0094</x:v>
      </x:c>
      <x:c r="O28" s="24" t="str">
        <x:v>Active strength target (group or direct)</x:v>
      </x:c>
      <x:c r="P28" s="24" t="str">
        <x:v>Towel squeeze; Soft therapy-putty grip; Finger flexor tendon glide series; Forearm farmer carry with dumbbells; Dumbbell wrist curl; Band wrist flexion</x:v>
      </x:c>
      <x:c r="Q28" s="24" t="str">
        <x:v>Active/involved status varies with technique, loading, individual anatomy and fatigue.</x:v>
      </x:c>
    </x:row>
    <x:row r="29" ht="54" customHeight="1">
      <x:c r="A29" s="24" t="str">
        <x:v>Flexor digitorum profundus medial portion (digits 4-5)</x:v>
      </x:c>
      <x:c r="B29" s="24" t="str">
        <x:v>Forearm</x:v>
      </x:c>
      <x:c r="C29" s="24" t="str">
        <x:v>Anterior deep</x:v>
      </x:c>
      <x:c r="D29" s="24" t="str">
        <x:v>Ulnar nerve</x:v>
      </x:c>
      <x:c r="E29" s="24" t="str">
        <x:v>C8-T1</x:v>
      </x:c>
      <x:c r="F29" s="24" t="str">
        <x:v>Proximal 3/4 anterior/medial ulna; interosseous membrane</x:v>
      </x:c>
      <x:c r="G29" s="24" t="str">
        <x:v>Distal phalanges digits 4-5</x:v>
      </x:c>
      <x:c r="H29" s="24" t="str">
        <x:v>Deep flexor digital tendons 4-5</x:v>
      </x:c>
      <x:c r="I29" s="24" t="str">
        <x:v>Digital annular pulleys; flexor retinaculum support tendon paths</x:v>
      </x:c>
      <x:c r="J29" s="24" t="str">
        <x:v>Mixed Type I and Type II; ratio unverified</x:v>
      </x:c>
      <x:c r="K29" s="24" t="str">
        <x:v>EX0075; EX0076; EX0093; EX0097; EX0098; EX0100; EX0101; EX0250</x:v>
      </x:c>
      <x:c r="L29" s="24" t="str">
        <x:v>EX0062; EX0064; EX0251</x:v>
      </x:c>
      <x:c r="M29" s="24" t="str">
        <x:v>EX0173; EX0174; EX0248; EX0266; EX0267</x:v>
      </x:c>
      <x:c r="N29" s="24" t="str">
        <x:v>EX0068; EX0070; EX0093; EX0094</x:v>
      </x:c>
      <x:c r="O29" s="24" t="str">
        <x:v>Active strength target (group or direct)</x:v>
      </x:c>
      <x:c r="P29" s="24" t="str">
        <x:v>Towel squeeze; Soft therapy-putty grip; Finger flexor tendon glide series; Forearm farmer carry with dumbbells; Dumbbell wrist curl; Band wrist flexion</x:v>
      </x:c>
      <x:c r="Q29" s="24" t="str">
        <x:v>Active/involved status varies with technique, loading, individual anatomy and fatigue.</x:v>
      </x:c>
    </x:row>
    <x:row r="30" ht="54" customHeight="1">
      <x:c r="A30" s="24" t="str">
        <x:v>Flexor pollicis longus</x:v>
      </x:c>
      <x:c r="B30" s="24" t="str">
        <x:v>Forearm</x:v>
      </x:c>
      <x:c r="C30" s="24" t="str">
        <x:v>Anterior deep</x:v>
      </x:c>
      <x:c r="D30" s="24" t="str">
        <x:v>Anterior interosseous nerve (median)</x:v>
      </x:c>
      <x:c r="E30" s="24" t="str">
        <x:v>C8-T1</x:v>
      </x:c>
      <x:c r="F30" s="24" t="str">
        <x:v>Anterior radius; adjoining interosseous membrane</x:v>
      </x:c>
      <x:c r="G30" s="24" t="str">
        <x:v>Base of distal phalanx of thumb</x:v>
      </x:c>
      <x:c r="H30" s="24" t="str">
        <x:v>FPL tendon</x:v>
      </x:c>
      <x:c r="I30" s="24" t="str">
        <x:v>Flexor retinaculum and thumb pulley system guide tendon</x:v>
      </x:c>
      <x:c r="J30" s="24" t="str">
        <x:v>Mixed Type I and Type II; ratio unverified</x:v>
      </x:c>
      <x:c r="K30" s="24" t="str">
        <x:v>EX0088</x:v>
      </x:c>
      <x:c r="L30" s="24" t="str">
        <x:v>—</x:v>
      </x:c>
      <x:c r="M30" s="24" t="str">
        <x:v>—</x:v>
      </x:c>
      <x:c r="N30" s="24" t="str">
        <x:v>—</x:v>
      </x:c>
      <x:c r="O30" s="24" t="str">
        <x:v>Active strength target (group or direct)</x:v>
      </x:c>
      <x:c r="P30" s="24" t="str">
        <x:v>Thumb IP flexion with light band</x:v>
      </x:c>
      <x:c r="Q30" s="24" t="str">
        <x:v>Active/involved status varies with technique, loading, individual anatomy and fatigue.</x:v>
      </x:c>
    </x:row>
    <x:row r="31" ht="54" customHeight="1">
      <x:c r="A31" s="24" t="str">
        <x:v>Pronator quadratus</x:v>
      </x:c>
      <x:c r="B31" s="24" t="str">
        <x:v>Forearm</x:v>
      </x:c>
      <x:c r="C31" s="24" t="str">
        <x:v>Anterior deep</x:v>
      </x:c>
      <x:c r="D31" s="24" t="str">
        <x:v>Anterior interosseous nerve (median)</x:v>
      </x:c>
      <x:c r="E31" s="24" t="str">
        <x:v>C8-T1</x:v>
      </x:c>
      <x:c r="F31" s="24" t="str">
        <x:v>Distal quarter anterior ulna</x:v>
      </x:c>
      <x:c r="G31" s="24" t="str">
        <x:v>Distal quarter anterior radius</x:v>
      </x:c>
      <x:c r="H31" s="24" t="str">
        <x:v>Broad muscular insertion (no distinct long tendon)</x:v>
      </x:c>
      <x:c r="I31" s="24" t="str">
        <x:v>Distal radioulnar ligaments near muscle, not direct tendon attachments</x:v>
      </x:c>
      <x:c r="J31" s="24" t="str">
        <x:v>Mixed Type I and Type II; ratio unverified</x:v>
      </x:c>
      <x:c r="K31" s="24" t="str">
        <x:v>EX0058; EX0060</x:v>
      </x:c>
      <x:c r="L31" s="24" t="str">
        <x:v>—</x:v>
      </x:c>
      <x:c r="M31" s="24" t="str">
        <x:v>—</x:v>
      </x:c>
      <x:c r="N31" s="24" t="str">
        <x:v>—</x:v>
      </x:c>
      <x:c r="O31" s="24" t="str">
        <x:v>Active strength target (group or direct)</x:v>
      </x:c>
      <x:c r="P31" s="24" t="str">
        <x:v>Forearm rotation: resisted pronation; Forearm pronation with light hammer</x:v>
      </x:c>
      <x:c r="Q31" s="24" t="str">
        <x:v>Active/involved status varies with technique, loading, individual anatomy and fatigue.</x:v>
      </x:c>
    </x:row>
    <x:row r="32" ht="54" customHeight="1">
      <x:c r="A32" s="24" t="str">
        <x:v>Flexor digitorum superficialis humeroulnar head</x:v>
      </x:c>
      <x:c r="B32" s="24" t="str">
        <x:v>Forearm</x:v>
      </x:c>
      <x:c r="C32" s="24" t="str">
        <x:v>Anterior intermediate</x:v>
      </x:c>
      <x:c r="D32" s="24" t="str">
        <x:v>Median nerve</x:v>
      </x:c>
      <x:c r="E32" s="24" t="str">
        <x:v>C7-T1</x:v>
      </x:c>
      <x:c r="F32" s="24" t="str">
        <x:v>Medial epicondyle; coronoid process ulna</x:v>
      </x:c>
      <x:c r="G32" s="24" t="str">
        <x:v>Middle phalanges of digits 2-5</x:v>
      </x:c>
      <x:c r="H32" s="24" t="str">
        <x:v>Four bifurcating digital flexor tendons</x:v>
      </x:c>
      <x:c r="I32" s="24" t="str">
        <x:v>Flexor retinaculum over tendons; annular pulley ligaments guide them</x:v>
      </x:c>
      <x:c r="J32" s="24" t="str">
        <x:v>Mixed Type I and Type II; ratio unverified</x:v>
      </x:c>
      <x:c r="K32" s="24" t="str">
        <x:v>EX0075; EX0076; EX0093; EX0097; EX0098; EX0100; EX0101; EX0250</x:v>
      </x:c>
      <x:c r="L32" s="24" t="str">
        <x:v>EX0062; EX0064; EX0251</x:v>
      </x:c>
      <x:c r="M32" s="24" t="str">
        <x:v>EX0173; EX0174; EX0248; EX0266; EX0267</x:v>
      </x:c>
      <x:c r="N32" s="24" t="str">
        <x:v>EX0068; EX0070; EX0093; EX0094</x:v>
      </x:c>
      <x:c r="O32" s="24" t="str">
        <x:v>Active strength target (group or direct)</x:v>
      </x:c>
      <x:c r="P32" s="24" t="str">
        <x:v>Towel squeeze; Soft therapy-putty grip; Finger flexor tendon glide series; Forearm farmer carry with dumbbells; Dumbbell wrist curl; Band wrist flexion</x:v>
      </x:c>
      <x:c r="Q32" s="24" t="str">
        <x:v>Active/involved status varies with technique, loading, individual anatomy and fatigue.</x:v>
      </x:c>
    </x:row>
    <x:row r="33" ht="54" customHeight="1">
      <x:c r="A33" s="24" t="str">
        <x:v>Flexor digitorum superficialis radial head</x:v>
      </x:c>
      <x:c r="B33" s="24" t="str">
        <x:v>Forearm</x:v>
      </x:c>
      <x:c r="C33" s="24" t="str">
        <x:v>Anterior intermediate</x:v>
      </x:c>
      <x:c r="D33" s="24" t="str">
        <x:v>Median nerve</x:v>
      </x:c>
      <x:c r="E33" s="24" t="str">
        <x:v>C7-T1</x:v>
      </x:c>
      <x:c r="F33" s="24" t="str">
        <x:v>Anterior oblique line of radius</x:v>
      </x:c>
      <x:c r="G33" s="24" t="str">
        <x:v>Middle phalanges digits 2-5</x:v>
      </x:c>
      <x:c r="H33" s="24" t="str">
        <x:v>Common four digital flexor tendons</x:v>
      </x:c>
      <x:c r="I33" s="24" t="str">
        <x:v>Digital annular pulleys and flexor retinaculum guide tendons</x:v>
      </x:c>
      <x:c r="J33" s="24" t="str">
        <x:v>Mixed Type I and Type II; ratio unverified</x:v>
      </x:c>
      <x:c r="K33" s="24" t="str">
        <x:v>EX0075; EX0076; EX0093; EX0097; EX0098; EX0100; EX0101; EX0250</x:v>
      </x:c>
      <x:c r="L33" s="24" t="str">
        <x:v>EX0062; EX0064; EX0251</x:v>
      </x:c>
      <x:c r="M33" s="24" t="str">
        <x:v>EX0173; EX0174; EX0248; EX0266; EX0267</x:v>
      </x:c>
      <x:c r="N33" s="24" t="str">
        <x:v>EX0068; EX0070; EX0093; EX0094</x:v>
      </x:c>
      <x:c r="O33" s="24" t="str">
        <x:v>Active strength target (group or direct)</x:v>
      </x:c>
      <x:c r="P33" s="24" t="str">
        <x:v>Towel squeeze; Soft therapy-putty grip; Finger flexor tendon glide series; Forearm farmer carry with dumbbells; Dumbbell wrist curl; Band wrist flexion</x:v>
      </x:c>
      <x:c r="Q33" s="24" t="str">
        <x:v>Active/involved status varies with technique, loading, individual anatomy and fatigue.</x:v>
      </x:c>
    </x:row>
    <x:row r="34" ht="54" customHeight="1">
      <x:c r="A34" s="24" t="str">
        <x:v>Flexor carpi radialis</x:v>
      </x:c>
      <x:c r="B34" s="24" t="str">
        <x:v>Forearm</x:v>
      </x:c>
      <x:c r="C34" s="24" t="str">
        <x:v>Anterior superficial</x:v>
      </x:c>
      <x:c r="D34" s="24" t="str">
        <x:v>Median nerve</x:v>
      </x:c>
      <x:c r="E34" s="24" t="str">
        <x:v>C6-C7</x:v>
      </x:c>
      <x:c r="F34" s="24" t="str">
        <x:v>Medial epicondyle via common flexor tendon</x:v>
      </x:c>
      <x:c r="G34" s="24" t="str">
        <x:v>Base of metacarpal 2 (slip to 3)</x:v>
      </x:c>
      <x:c r="H34" s="24" t="str">
        <x:v>FCR tendon through own fibro-osseous tunnel</x:v>
      </x:c>
      <x:c r="I34" s="24" t="str">
        <x:v>Flexor retinaculum forms roof of tendon tunnel (retinaculum, not origin)</x:v>
      </x:c>
      <x:c r="J34" s="24" t="str">
        <x:v>Mixed Type I and Type II; ratio unverified</x:v>
      </x:c>
      <x:c r="K34" s="24" t="str">
        <x:v>EX0062; EX0064; EX0066; EX0074; EX0097</x:v>
      </x:c>
      <x:c r="L34" s="24" t="str">
        <x:v>EX0058</x:v>
      </x:c>
      <x:c r="M34" s="24" t="str">
        <x:v>EX0045; EX0048; EX0049; EX0057; EX0072; EX0075; EX0087; EX0101</x:v>
      </x:c>
      <x:c r="N34" s="24" t="str">
        <x:v>EX0068; EX0070; EX0071</x:v>
      </x:c>
      <x:c r="O34" s="24" t="str">
        <x:v>Active strength target (group or direct)</x:v>
      </x:c>
      <x:c r="P34" s="24" t="str">
        <x:v>Dumbbell wrist curl; Band wrist flexion; Resisted radial wrist deviation; Wrist flexor eccentric lowering; Forearm rotation: resisted pronation; Door-anchor band biceps curl</x:v>
      </x:c>
      <x:c r="Q34" s="24" t="str">
        <x:v>Active/involved status varies with technique, loading, individual anatomy and fatigue.</x:v>
      </x:c>
    </x:row>
    <x:row r="35" ht="54" customHeight="1">
      <x:c r="A35" s="24" t="str">
        <x:v>Flexor carpi ulnaris humeral head</x:v>
      </x:c>
      <x:c r="B35" s="24" t="str">
        <x:v>Forearm</x:v>
      </x:c>
      <x:c r="C35" s="24" t="str">
        <x:v>Anterior superficial</x:v>
      </x:c>
      <x:c r="D35" s="24" t="str">
        <x:v>Ulnar nerve</x:v>
      </x:c>
      <x:c r="E35" s="24" t="str">
        <x:v>C8-T1</x:v>
      </x:c>
      <x:c r="F35" s="24" t="str">
        <x:v>Medial epicondyle</x:v>
      </x:c>
      <x:c r="G35" s="24" t="str">
        <x:v>Pisiform; hook of hamate; base of metacarpal 5</x:v>
      </x:c>
      <x:c r="H35" s="24" t="str">
        <x:v>FCU tendon; pisohamate and pisometacarpal fibrous extensions</x:v>
      </x:c>
      <x:c r="I35" s="24" t="str">
        <x:v>Pisohamate and pisometacarpal ligaments function as tendon continuations</x:v>
      </x:c>
      <x:c r="J35" s="24" t="str">
        <x:v>Mixed Type I and Type II; ratio unverified</x:v>
      </x:c>
      <x:c r="K35" s="24" t="str">
        <x:v>EX0062; EX0064; EX0067; EX0074; EX0097</x:v>
      </x:c>
      <x:c r="L35" s="24" t="str">
        <x:v>EX0058</x:v>
      </x:c>
      <x:c r="M35" s="24" t="str">
        <x:v>EX0045; EX0048; EX0049; EX0057; EX0072; EX0075; EX0087; EX0101</x:v>
      </x:c>
      <x:c r="N35" s="24" t="str">
        <x:v>EX0068; EX0070; EX0071</x:v>
      </x:c>
      <x:c r="O35" s="24" t="str">
        <x:v>Active strength target (group or direct)</x:v>
      </x:c>
      <x:c r="P35" s="24" t="str">
        <x:v>Dumbbell wrist curl; Band wrist flexion; Resisted ulnar wrist deviation; Wrist flexor eccentric lowering; Forearm rotation: resisted pronation; Door-anchor band biceps curl</x:v>
      </x:c>
      <x:c r="Q35" s="24" t="str">
        <x:v>Active/involved status varies with technique, loading, individual anatomy and fatigue.</x:v>
      </x:c>
    </x:row>
    <x:row r="36" ht="54" customHeight="1">
      <x:c r="A36" s="24" t="str">
        <x:v>Flexor carpi ulnaris ulnar head</x:v>
      </x:c>
      <x:c r="B36" s="24" t="str">
        <x:v>Forearm</x:v>
      </x:c>
      <x:c r="C36" s="24" t="str">
        <x:v>Anterior superficial</x:v>
      </x:c>
      <x:c r="D36" s="24" t="str">
        <x:v>Ulnar nerve</x:v>
      </x:c>
      <x:c r="E36" s="24" t="str">
        <x:v>C8-T1</x:v>
      </x:c>
      <x:c r="F36" s="24" t="str">
        <x:v>Olecranon and posterior border of ulna</x:v>
      </x:c>
      <x:c r="G36" s="24" t="str">
        <x:v>Pisiform; hook of hamate; base of metacarpal 5</x:v>
      </x:c>
      <x:c r="H36" s="24" t="str">
        <x:v>FCU tendon via pisiform</x:v>
      </x:c>
      <x:c r="I36" s="24" t="str">
        <x:v>Pisohamate/pisometacarpal ligaments as extensions</x:v>
      </x:c>
      <x:c r="J36" s="24" t="str">
        <x:v>Mixed Type I and Type II; ratio unverified</x:v>
      </x:c>
      <x:c r="K36" s="24" t="str">
        <x:v>EX0062; EX0064; EX0067; EX0074; EX0097</x:v>
      </x:c>
      <x:c r="L36" s="24" t="str">
        <x:v>EX0058</x:v>
      </x:c>
      <x:c r="M36" s="24" t="str">
        <x:v>EX0045; EX0048; EX0049; EX0057; EX0072; EX0075; EX0087; EX0101</x:v>
      </x:c>
      <x:c r="N36" s="24" t="str">
        <x:v>EX0068; EX0070; EX0071</x:v>
      </x:c>
      <x:c r="O36" s="24" t="str">
        <x:v>Active strength target (group or direct)</x:v>
      </x:c>
      <x:c r="P36" s="24" t="str">
        <x:v>Dumbbell wrist curl; Band wrist flexion; Resisted ulnar wrist deviation; Wrist flexor eccentric lowering; Forearm rotation: resisted pronation; Door-anchor band biceps curl</x:v>
      </x:c>
      <x:c r="Q36" s="24" t="str">
        <x:v>Active/involved status varies with technique, loading, individual anatomy and fatigue.</x:v>
      </x:c>
    </x:row>
    <x:row r="37" ht="54" customHeight="1">
      <x:c r="A37" s="24" t="str">
        <x:v>Palmaris longus</x:v>
      </x:c>
      <x:c r="B37" s="24" t="str">
        <x:v>Forearm</x:v>
      </x:c>
      <x:c r="C37" s="24" t="str">
        <x:v>Anterior superficial</x:v>
      </x:c>
      <x:c r="D37" s="24" t="str">
        <x:v>Median nerve</x:v>
      </x:c>
      <x:c r="E37" s="24" t="str">
        <x:v>C7-C8</x:v>
      </x:c>
      <x:c r="F37" s="24" t="str">
        <x:v>Medial epicondyle via common flexor tendon</x:v>
      </x:c>
      <x:c r="G37" s="24" t="str">
        <x:v>Palmar aponeurosis and flexor retinaculum</x:v>
      </x:c>
      <x:c r="H37" s="24" t="str">
        <x:v>Long palmaris longus tendon; palmar aponeurosis</x:v>
      </x:c>
      <x:c r="I37" s="24" t="str">
        <x:v>Flexor retinaculum direct distal attachment</x:v>
      </x:c>
      <x:c r="J37" s="24" t="str">
        <x:v>Mixed Type I and Type II; ratio unverified</x:v>
      </x:c>
      <x:c r="K37" s="24" t="str">
        <x:v>EX0062; EX0064; EX0074; EX0097</x:v>
      </x:c>
      <x:c r="L37" s="24" t="str">
        <x:v>EX0058</x:v>
      </x:c>
      <x:c r="M37" s="24" t="str">
        <x:v>EX0045; EX0048; EX0049; EX0057; EX0072; EX0075; EX0087; EX0101</x:v>
      </x:c>
      <x:c r="N37" s="24" t="str">
        <x:v>EX0068; EX0070; EX0071</x:v>
      </x:c>
      <x:c r="O37" s="24" t="str">
        <x:v>Active strength target (group or direct)</x:v>
      </x:c>
      <x:c r="P37" s="24" t="str">
        <x:v>Dumbbell wrist curl; Band wrist flexion; Wrist flexor eccentric lowering; Forearm farmer carry with dumbbells; Forearm rotation: resisted pronation; Door-anchor band biceps curl</x:v>
      </x:c>
      <x:c r="Q37" s="24" t="str">
        <x:v>Active/involved status varies with technique, loading, individual anatomy and fatigue.</x:v>
      </x:c>
    </x:row>
    <x:row r="38" ht="54" customHeight="1">
      <x:c r="A38" s="24" t="str">
        <x:v>Pronator teres humeral head</x:v>
      </x:c>
      <x:c r="B38" s="24" t="str">
        <x:v>Forearm</x:v>
      </x:c>
      <x:c r="C38" s="24" t="str">
        <x:v>Anterior superficial</x:v>
      </x:c>
      <x:c r="D38" s="24" t="str">
        <x:v>Median nerve</x:v>
      </x:c>
      <x:c r="E38" s="24" t="str">
        <x:v>C6-C7</x:v>
      </x:c>
      <x:c r="F38" s="24" t="str">
        <x:v>Medial epicondyle via common flexor origin</x:v>
      </x:c>
      <x:c r="G38" s="24" t="str">
        <x:v>Lateral midshaft of radius</x:v>
      </x:c>
      <x:c r="H38" s="24" t="str">
        <x:v>Common flexor tendon</x:v>
      </x:c>
      <x:c r="I38" s="24" t="str">
        <x:v>Ulnar collateral ligament elbow adjacent</x:v>
      </x:c>
      <x:c r="J38" s="24" t="str">
        <x:v>Mixed Type I and Type II; ratio unverified</x:v>
      </x:c>
      <x:c r="K38" s="24" t="str">
        <x:v>EX0058; EX0060</x:v>
      </x:c>
      <x:c r="L38" s="24" t="str">
        <x:v>—</x:v>
      </x:c>
      <x:c r="M38" s="24" t="str">
        <x:v>—</x:v>
      </x:c>
      <x:c r="N38" s="24" t="str">
        <x:v>—</x:v>
      </x:c>
      <x:c r="O38" s="24" t="str">
        <x:v>Active strength target (group or direct)</x:v>
      </x:c>
      <x:c r="P38" s="24" t="str">
        <x:v>Forearm rotation: resisted pronation; Forearm pronation with light hammer</x:v>
      </x:c>
      <x:c r="Q38" s="24" t="str">
        <x:v>Active/involved status varies with technique, loading, individual anatomy and fatigue.</x:v>
      </x:c>
    </x:row>
    <x:row r="39" ht="54" customHeight="1">
      <x:c r="A39" s="24" t="str">
        <x:v>Pronator teres ulnar head</x:v>
      </x:c>
      <x:c r="B39" s="24" t="str">
        <x:v>Forearm</x:v>
      </x:c>
      <x:c r="C39" s="24" t="str">
        <x:v>Anterior superficial</x:v>
      </x:c>
      <x:c r="D39" s="24" t="str">
        <x:v>Median nerve</x:v>
      </x:c>
      <x:c r="E39" s="24" t="str">
        <x:v>C6-C7</x:v>
      </x:c>
      <x:c r="F39" s="24" t="str">
        <x:v>Coronoid process of ulna</x:v>
      </x:c>
      <x:c r="G39" s="24" t="str">
        <x:v>Lateral midshaft of radius</x:v>
      </x:c>
      <x:c r="H39" s="24" t="str">
        <x:v>Short insertion tendon</x:v>
      </x:c>
      <x:c r="I39" s="24" t="str">
        <x:v>Ulnar collateral ligament of elbow nearby</x:v>
      </x:c>
      <x:c r="J39" s="24" t="str">
        <x:v>Mixed Type I and Type II; ratio unverified</x:v>
      </x:c>
      <x:c r="K39" s="24" t="str">
        <x:v>EX0058; EX0060</x:v>
      </x:c>
      <x:c r="L39" s="24" t="str">
        <x:v>—</x:v>
      </x:c>
      <x:c r="M39" s="24" t="str">
        <x:v>—</x:v>
      </x:c>
      <x:c r="N39" s="24" t="str">
        <x:v>—</x:v>
      </x:c>
      <x:c r="O39" s="24" t="str">
        <x:v>Active strength target (group or direct)</x:v>
      </x:c>
      <x:c r="P39" s="24" t="str">
        <x:v>Forearm rotation: resisted pronation; Forearm pronation with light hammer</x:v>
      </x:c>
      <x:c r="Q39" s="24" t="str">
        <x:v>Active/involved status varies with technique, loading, individual anatomy and fatigue.</x:v>
      </x:c>
    </x:row>
    <x:row r="40" ht="54" customHeight="1">
      <x:c r="A40" s="24" t="str">
        <x:v>Brachioradialis</x:v>
      </x:c>
      <x:c r="B40" s="24" t="str">
        <x:v>Forearm</x:v>
      </x:c>
      <x:c r="C40" s="24" t="str">
        <x:v>Lateral forearm</x:v>
      </x:c>
      <x:c r="D40" s="24" t="str">
        <x:v>Radial nerve</x:v>
      </x:c>
      <x:c r="E40" s="24" t="str">
        <x:v>C5-C7</x:v>
      </x:c>
      <x:c r="F40" s="24" t="str">
        <x:v>Proximal 2/3 lateral supracondylar ridge humerus</x:v>
      </x:c>
      <x:c r="G40" s="24" t="str">
        <x:v>Lateral distal radius proximal to styloid</x:v>
      </x:c>
      <x:c r="H40" s="24" t="str">
        <x:v>Distal brachioradialis tendon</x:v>
      </x:c>
      <x:c r="I40" s="24" t="str">
        <x:v>Radial collateral elbow ligament near origin</x:v>
      </x:c>
      <x:c r="J40" s="24" t="str">
        <x:v>Mixed Type I and Type II; ratio unverified</x:v>
      </x:c>
      <x:c r="K40" s="24" t="str">
        <x:v>EX0048; EX0049; EX0050; EX0057</x:v>
      </x:c>
      <x:c r="L40" s="24" t="str">
        <x:v>EX0044; EX0045; EX0046; EX0047; EX0051; EX0059; EX0072; EX0262; EX0264</x:v>
      </x:c>
      <x:c r="M40" s="24" t="str">
        <x:v>EX0058</x:v>
      </x:c>
      <x:c r="N40" s="24" t="str">
        <x:v>—</x:v>
      </x:c>
      <x:c r="O40" s="24" t="str">
        <x:v>Active strength target (group or direct)</x:v>
      </x:c>
      <x:c r="P40" s="24" t="str">
        <x:v>Hammer curl with backpack; Hammer curl dumbbells; Reverse curl band; Band elbow flexion isometric at 90 degrees; Underhand inverted table row; Door-anchor band biceps curl</x:v>
      </x:c>
      <x:c r="Q40" s="24" t="str">
        <x:v>Active/involved status varies with technique, loading, individual anatomy and fatigue.</x:v>
      </x:c>
    </x:row>
    <x:row r="41" ht="54" customHeight="1">
      <x:c r="A41" s="24" t="str">
        <x:v>Abductor pollicis longus</x:v>
      </x:c>
      <x:c r="B41" s="24" t="str">
        <x:v>Forearm</x:v>
      </x:c>
      <x:c r="C41" s="24" t="str">
        <x:v>Posterior deep</x:v>
      </x:c>
      <x:c r="D41" s="24" t="str">
        <x:v>Posterior interosseous nerve</x:v>
      </x:c>
      <x:c r="E41" s="24" t="str">
        <x:v>C7-C8</x:v>
      </x:c>
      <x:c r="F41" s="24" t="str">
        <x:v>Posterior radius and ulna; interosseous membrane</x:v>
      </x:c>
      <x:c r="G41" s="24" t="str">
        <x:v>Lateral base metacarpal 1</x:v>
      </x:c>
      <x:c r="H41" s="24" t="str">
        <x:v>APL tendon(s), first dorsal compartment</x:v>
      </x:c>
      <x:c r="I41" s="24" t="str">
        <x:v>Extensor retinaculum restrains tendon</x:v>
      </x:c>
      <x:c r="J41" s="24" t="str">
        <x:v>Mixed Type I and Type II; ratio unverified</x:v>
      </x:c>
      <x:c r="K41" s="24" t="str">
        <x:v>EX0085; EX0089</x:v>
      </x:c>
      <x:c r="L41" s="24" t="str">
        <x:v>—</x:v>
      </x:c>
      <x:c r="M41" s="24" t="str">
        <x:v>—</x:v>
      </x:c>
      <x:c r="N41" s="24" t="str">
        <x:v>—</x:v>
      </x:c>
      <x:c r="O41" s="24" t="str">
        <x:v>Active strength target (group or direct)</x:v>
      </x:c>
      <x:c r="P41" s="24" t="str">
        <x:v>Rubber-band thumb abduction; Thumb extension with light band</x:v>
      </x:c>
      <x:c r="Q41" s="24" t="str">
        <x:v>Active/involved status varies with technique, loading, individual anatomy and fatigue.</x:v>
      </x:c>
    </x:row>
    <x:row r="42" ht="54" customHeight="1">
      <x:c r="A42" s="24" t="str">
        <x:v>Extensor indicis</x:v>
      </x:c>
      <x:c r="B42" s="24" t="str">
        <x:v>Forearm</x:v>
      </x:c>
      <x:c r="C42" s="24" t="str">
        <x:v>Posterior deep</x:v>
      </x:c>
      <x:c r="D42" s="24" t="str">
        <x:v>Posterior interosseous nerve</x:v>
      </x:c>
      <x:c r="E42" s="24" t="str">
        <x:v>C7-C8</x:v>
      </x:c>
      <x:c r="F42" s="24" t="str">
        <x:v>Posterior distal ulna; interosseous membrane</x:v>
      </x:c>
      <x:c r="G42" s="24" t="str">
        <x:v>Extensor expansion index finger</x:v>
      </x:c>
      <x:c r="H42" s="24" t="str">
        <x:v>EI tendon, fourth dorsal compartment</x:v>
      </x:c>
      <x:c r="I42" s="24" t="str">
        <x:v>Extensor retinaculum and sagittal band</x:v>
      </x:c>
      <x:c r="J42" s="24" t="str">
        <x:v>Mixed Type I and Type II; ratio unverified</x:v>
      </x:c>
      <x:c r="K42" s="24" t="str">
        <x:v>EX0077; EX0079; EX0080; EX0096; EX0099</x:v>
      </x:c>
      <x:c r="L42" s="24" t="str">
        <x:v>EX0063; EX0065; EX0078; EX0093</x:v>
      </x:c>
      <x:c r="M42" s="24" t="str">
        <x:v>—</x:v>
      </x:c>
      <x:c r="N42" s="24" t="str">
        <x:v>EX0069</x:v>
      </x:c>
      <x:c r="O42" s="24" t="str">
        <x:v>Active strength target (group or direct)</x:v>
      </x:c>
      <x:c r="P42" s="24" t="str">
        <x:v>Rubber-band finger opening; Individual finger lift from table; Index finger extension with rubber band; Finger resistance putty extension; Dumbbell reverse wrist curl; Band wrist extension</x:v>
      </x:c>
      <x:c r="Q42" s="24" t="str">
        <x:v>Active/involved status varies with technique, loading, individual anatomy and fatigue.</x:v>
      </x:c>
    </x:row>
    <x:row r="43" ht="54" customHeight="1">
      <x:c r="A43" s="24" t="str">
        <x:v>Extensor pollicis brevis</x:v>
      </x:c>
      <x:c r="B43" s="24" t="str">
        <x:v>Forearm</x:v>
      </x:c>
      <x:c r="C43" s="24" t="str">
        <x:v>Posterior deep</x:v>
      </x:c>
      <x:c r="D43" s="24" t="str">
        <x:v>Posterior interosseous nerve</x:v>
      </x:c>
      <x:c r="E43" s="24" t="str">
        <x:v>C7-C8</x:v>
      </x:c>
      <x:c r="F43" s="24" t="str">
        <x:v>Posterior distal radius; interosseous membrane</x:v>
      </x:c>
      <x:c r="G43" s="24" t="str">
        <x:v>Dorsal base proximal phalanx thumb</x:v>
      </x:c>
      <x:c r="H43" s="24" t="str">
        <x:v>EPB tendon, first dorsal compartment</x:v>
      </x:c>
      <x:c r="I43" s="24" t="str">
        <x:v>Extensor retinaculum restrains tendon</x:v>
      </x:c>
      <x:c r="J43" s="24" t="str">
        <x:v>Mixed Type I and Type II; ratio unverified</x:v>
      </x:c>
      <x:c r="K43" s="24" t="str">
        <x:v>EX0089</x:v>
      </x:c>
      <x:c r="L43" s="24" t="str">
        <x:v>—</x:v>
      </x:c>
      <x:c r="M43" s="24" t="str">
        <x:v>—</x:v>
      </x:c>
      <x:c r="N43" s="24" t="str">
        <x:v>—</x:v>
      </x:c>
      <x:c r="O43" s="24" t="str">
        <x:v>Active strength target (group or direct)</x:v>
      </x:c>
      <x:c r="P43" s="24" t="str">
        <x:v>Thumb extension with light band</x:v>
      </x:c>
      <x:c r="Q43" s="24" t="str">
        <x:v>Active/involved status varies with technique, loading, individual anatomy and fatigue.</x:v>
      </x:c>
    </x:row>
    <x:row r="44" ht="54" customHeight="1">
      <x:c r="A44" s="24" t="str">
        <x:v>Extensor pollicis longus</x:v>
      </x:c>
      <x:c r="B44" s="24" t="str">
        <x:v>Forearm</x:v>
      </x:c>
      <x:c r="C44" s="24" t="str">
        <x:v>Posterior deep</x:v>
      </x:c>
      <x:c r="D44" s="24" t="str">
        <x:v>Posterior interosseous nerve</x:v>
      </x:c>
      <x:c r="E44" s="24" t="str">
        <x:v>C7-C8</x:v>
      </x:c>
      <x:c r="F44" s="24" t="str">
        <x:v>Posterior middle ulna; interosseous membrane</x:v>
      </x:c>
      <x:c r="G44" s="24" t="str">
        <x:v>Dorsal base distal phalanx thumb</x:v>
      </x:c>
      <x:c r="H44" s="24" t="str">
        <x:v>EPL tendon, third dorsal compartment</x:v>
      </x:c>
      <x:c r="I44" s="24" t="str">
        <x:v>Extensor retinaculum and Lister tubercle redirect tendon</x:v>
      </x:c>
      <x:c r="J44" s="24" t="str">
        <x:v>Mixed Type I and Type II; ratio unverified</x:v>
      </x:c>
      <x:c r="K44" s="24" t="str">
        <x:v>EX0089</x:v>
      </x:c>
      <x:c r="L44" s="24" t="str">
        <x:v>—</x:v>
      </x:c>
      <x:c r="M44" s="24" t="str">
        <x:v>—</x:v>
      </x:c>
      <x:c r="N44" s="24" t="str">
        <x:v>—</x:v>
      </x:c>
      <x:c r="O44" s="24" t="str">
        <x:v>Active strength target (group or direct)</x:v>
      </x:c>
      <x:c r="P44" s="24" t="str">
        <x:v>Thumb extension with light band</x:v>
      </x:c>
      <x:c r="Q44" s="24" t="str">
        <x:v>Active/involved status varies with technique, loading, individual anatomy and fatigue.</x:v>
      </x:c>
    </x:row>
    <x:row r="45" ht="54" customHeight="1">
      <x:c r="A45" s="24" t="str">
        <x:v>Supinator deep layer</x:v>
      </x:c>
      <x:c r="B45" s="24" t="str">
        <x:v>Forearm</x:v>
      </x:c>
      <x:c r="C45" s="24" t="str">
        <x:v>Posterior deep</x:v>
      </x:c>
      <x:c r="D45" s="24" t="str">
        <x:v>Deep branch of radial nerve</x:v>
      </x:c>
      <x:c r="E45" s="24" t="str">
        <x:v>C6-C7</x:v>
      </x:c>
      <x:c r="F45" s="24" t="str">
        <x:v>Supinator crest and fossa of ulna</x:v>
      </x:c>
      <x:c r="G45" s="24" t="str">
        <x:v>Proximal third radius</x:v>
      </x:c>
      <x:c r="H45" s="24" t="str">
        <x:v>Broad muscular insertion</x:v>
      </x:c>
      <x:c r="I45" s="24" t="str">
        <x:v>Annular ligament nearby/direct proximal fascial fibers</x:v>
      </x:c>
      <x:c r="J45" s="24" t="str">
        <x:v>Mixed Type I and Type II; ratio unverified</x:v>
      </x:c>
      <x:c r="K45" s="24" t="str">
        <x:v>EX0059; EX0061</x:v>
      </x:c>
      <x:c r="L45" s="24" t="str">
        <x:v>—</x:v>
      </x:c>
      <x:c r="M45" s="24" t="str">
        <x:v>—</x:v>
      </x:c>
      <x:c r="N45" s="24" t="str">
        <x:v>—</x:v>
      </x:c>
      <x:c r="O45" s="24" t="str">
        <x:v>Active strength target (group or direct)</x:v>
      </x:c>
      <x:c r="P45" s="24" t="str">
        <x:v>Forearm rotation: resisted supination; Forearm supination with light hammer</x:v>
      </x:c>
      <x:c r="Q45" s="24" t="str">
        <x:v>Active/involved status varies with technique, loading, individual anatomy and fatigue.</x:v>
      </x:c>
    </x:row>
    <x:row r="46" ht="54" customHeight="1">
      <x:c r="A46" s="24" t="str">
        <x:v>Supinator superficial layer</x:v>
      </x:c>
      <x:c r="B46" s="24" t="str">
        <x:v>Forearm</x:v>
      </x:c>
      <x:c r="C46" s="24" t="str">
        <x:v>Posterior deep</x:v>
      </x:c>
      <x:c r="D46" s="24" t="str">
        <x:v>Deep branch of radial nerve</x:v>
      </x:c>
      <x:c r="E46" s="24" t="str">
        <x:v>C6-C7</x:v>
      </x:c>
      <x:c r="F46" s="24" t="str">
        <x:v>Lateral epicondyle; radial collateral and annular ligaments; supinator crest ulna</x:v>
      </x:c>
      <x:c r="G46" s="24" t="str">
        <x:v>Proximal third radius</x:v>
      </x:c>
      <x:c r="H46" s="24" t="str">
        <x:v>Aponeurotic attachment</x:v>
      </x:c>
      <x:c r="I46" s="24" t="str">
        <x:v>Annular and radial collateral ligaments direct origins</x:v>
      </x:c>
      <x:c r="J46" s="24" t="str">
        <x:v>Mixed Type I and Type II; ratio unverified</x:v>
      </x:c>
      <x:c r="K46" s="24" t="str">
        <x:v>EX0059; EX0061</x:v>
      </x:c>
      <x:c r="L46" s="24" t="str">
        <x:v>—</x:v>
      </x:c>
      <x:c r="M46" s="24" t="str">
        <x:v>—</x:v>
      </x:c>
      <x:c r="N46" s="24" t="str">
        <x:v>—</x:v>
      </x:c>
      <x:c r="O46" s="24" t="str">
        <x:v>Active strength target (group or direct)</x:v>
      </x:c>
      <x:c r="P46" s="24" t="str">
        <x:v>Forearm rotation: resisted supination; Forearm supination with light hammer</x:v>
      </x:c>
      <x:c r="Q46" s="24" t="str">
        <x:v>Active/involved status varies with technique, loading, individual anatomy and fatigue.</x:v>
      </x:c>
    </x:row>
    <x:row r="47" ht="54" customHeight="1">
      <x:c r="A47" s="24" t="str">
        <x:v>Extensor carpi ulnaris</x:v>
      </x:c>
      <x:c r="B47" s="24" t="str">
        <x:v>Forearm</x:v>
      </x:c>
      <x:c r="C47" s="24" t="str">
        <x:v>Posterior superficial</x:v>
      </x:c>
      <x:c r="D47" s="24" t="str">
        <x:v>Posterior interosseous nerve</x:v>
      </x:c>
      <x:c r="E47" s="24" t="str">
        <x:v>C7-C8</x:v>
      </x:c>
      <x:c r="F47" s="24" t="str">
        <x:v>Lateral epicondyle; posterior ulna</x:v>
      </x:c>
      <x:c r="G47" s="24" t="str">
        <x:v>Dorsal base metacarpal 5</x:v>
      </x:c>
      <x:c r="H47" s="24" t="str">
        <x:v>ECU tendon, sixth dorsal compartment</x:v>
      </x:c>
      <x:c r="I47" s="24" t="str">
        <x:v>Extensor retinaculum and ECU subsheath restrain tendon</x:v>
      </x:c>
      <x:c r="J47" s="24" t="str">
        <x:v>Mixed Type I and Type II; ratio unverified</x:v>
      </x:c>
      <x:c r="K47" s="24" t="str">
        <x:v>EX0063; EX0065; EX0067; EX0071; EX0073</x:v>
      </x:c>
      <x:c r="L47" s="24" t="str">
        <x:v>EX0050; EX0098</x:v>
      </x:c>
      <x:c r="M47" s="24" t="str">
        <x:v>EX0059; EX0060; EX0061; EX0075; EX0076; EX0077; EX0080; EX0081; EX0089; EX0099; EX0100</x:v>
      </x:c>
      <x:c r="N47" s="24" t="str">
        <x:v>EX0069</x:v>
      </x:c>
      <x:c r="O47" s="24" t="str">
        <x:v>Active strength target (group or direct)</x:v>
      </x:c>
      <x:c r="P47" s="24" t="str">
        <x:v>Dumbbell reverse wrist curl; Band wrist extension; Resisted ulnar wrist deviation; Reverse prayer flexor stretch (comfortable); Reverse curl band; Pinch-grip plate carry</x:v>
      </x:c>
      <x:c r="Q47" s="24" t="str">
        <x:v>Active/involved status varies with technique, loading, individual anatomy and fatigue.</x:v>
      </x:c>
    </x:row>
    <x:row r="48" ht="54" customHeight="1">
      <x:c r="A48" s="24" t="str">
        <x:v>Extensor digiti minimi</x:v>
      </x:c>
      <x:c r="B48" s="24" t="str">
        <x:v>Forearm</x:v>
      </x:c>
      <x:c r="C48" s="24" t="str">
        <x:v>Posterior superficial</x:v>
      </x:c>
      <x:c r="D48" s="24" t="str">
        <x:v>Posterior interosseous nerve</x:v>
      </x:c>
      <x:c r="E48" s="24" t="str">
        <x:v>C7-C8</x:v>
      </x:c>
      <x:c r="F48" s="24" t="str">
        <x:v>Lateral epicondyle via common extensor tendon</x:v>
      </x:c>
      <x:c r="G48" s="24" t="str">
        <x:v>Extensor expansion digit 5</x:v>
      </x:c>
      <x:c r="H48" s="24" t="str">
        <x:v>EDM tendon, fifth dorsal compartment</x:v>
      </x:c>
      <x:c r="I48" s="24" t="str">
        <x:v>Extensor retinaculum; extensor hood bands</x:v>
      </x:c>
      <x:c r="J48" s="24" t="str">
        <x:v>Mixed Type I and Type II; ratio unverified</x:v>
      </x:c>
      <x:c r="K48" s="24" t="str">
        <x:v>EX0077; EX0079; EX0081; EX0096; EX0099</x:v>
      </x:c>
      <x:c r="L48" s="24" t="str">
        <x:v>EX0063; EX0065; EX0078; EX0093</x:v>
      </x:c>
      <x:c r="M48" s="24" t="str">
        <x:v>—</x:v>
      </x:c>
      <x:c r="N48" s="24" t="str">
        <x:v>EX0069</x:v>
      </x:c>
      <x:c r="O48" s="24" t="str">
        <x:v>Active strength target (group or direct)</x:v>
      </x:c>
      <x:c r="P48" s="24" t="str">
        <x:v>Rubber-band finger opening; Individual finger lift from table; Little-finger extension with rubber band; Finger resistance putty extension; Dumbbell reverse wrist curl; Band wrist extension</x:v>
      </x:c>
      <x:c r="Q48" s="24" t="str">
        <x:v>Active/involved status varies with technique, loading, individual anatomy and fatigue.</x:v>
      </x:c>
    </x:row>
    <x:row r="49" ht="54" customHeight="1">
      <x:c r="A49" s="24" t="str">
        <x:v>Extensor digitorum</x:v>
      </x:c>
      <x:c r="B49" s="24" t="str">
        <x:v>Forearm</x:v>
      </x:c>
      <x:c r="C49" s="24" t="str">
        <x:v>Posterior superficial</x:v>
      </x:c>
      <x:c r="D49" s="24" t="str">
        <x:v>Posterior interosseous nerve (radial)</x:v>
      </x:c>
      <x:c r="E49" s="24" t="str">
        <x:v>C7-C8</x:v>
      </x:c>
      <x:c r="F49" s="24" t="str">
        <x:v>Lateral epicondyle via common extensor tendon</x:v>
      </x:c>
      <x:c r="G49" s="24" t="str">
        <x:v>Extensor expansions of digits 2-5</x:v>
      </x:c>
      <x:c r="H49" s="24" t="str">
        <x:v>Four extensor digitorum tendons with juncturae tendinum</x:v>
      </x:c>
      <x:c r="I49" s="24" t="str">
        <x:v>Extensor retinaculum; sagittal bands of extensor hood</x:v>
      </x:c>
      <x:c r="J49" s="24" t="str">
        <x:v>Mixed Type I and Type II; ratio unverified</x:v>
      </x:c>
      <x:c r="K49" s="24" t="str">
        <x:v>EX0077; EX0079; EX0080; EX0081; EX0096; EX0099</x:v>
      </x:c>
      <x:c r="L49" s="24" t="str">
        <x:v>EX0063; EX0065; EX0078; EX0093</x:v>
      </x:c>
      <x:c r="M49" s="24" t="str">
        <x:v>—</x:v>
      </x:c>
      <x:c r="N49" s="24" t="str">
        <x:v>EX0069</x:v>
      </x:c>
      <x:c r="O49" s="24" t="str">
        <x:v>Active strength target (group or direct)</x:v>
      </x:c>
      <x:c r="P49" s="24" t="str">
        <x:v>Rubber-band finger opening; Individual finger lift from table; Index finger extension with rubber band; Little-finger extension with rubber band; Dumbbell reverse wrist curl; Band wrist extension</x:v>
      </x:c>
      <x:c r="Q49" s="24" t="str">
        <x:v>Active/involved status varies with technique, loading, individual anatomy and fatigue.</x:v>
      </x:c>
    </x:row>
    <x:row r="50" ht="54" customHeight="1">
      <x:c r="A50" s="24" t="str">
        <x:v>Extensor carpi radialis brevis</x:v>
      </x:c>
      <x:c r="B50" s="24" t="str">
        <x:v>Forearm</x:v>
      </x:c>
      <x:c r="C50" s="24" t="str">
        <x:v>Posterolateral superficial</x:v>
      </x:c>
      <x:c r="D50" s="24" t="str">
        <x:v>Deep branch of radial nerve</x:v>
      </x:c>
      <x:c r="E50" s="24" t="str">
        <x:v>C7-C8</x:v>
      </x:c>
      <x:c r="F50" s="24" t="str">
        <x:v>Lateral epicondyle via common extensor tendon</x:v>
      </x:c>
      <x:c r="G50" s="24" t="str">
        <x:v>Dorsal base metacarpal 3</x:v>
      </x:c>
      <x:c r="H50" s="24" t="str">
        <x:v>ECRB tendon, second dorsal compartment</x:v>
      </x:c>
      <x:c r="I50" s="24" t="str">
        <x:v>Radial collateral ligament often blends near proximal attachment; extensor retinaculum</x:v>
      </x:c>
      <x:c r="J50" s="24" t="str">
        <x:v>Mixed Type I and Type II; ratio unverified</x:v>
      </x:c>
      <x:c r="K50" s="24" t="str">
        <x:v>EX0063; EX0065; EX0066; EX0071; EX0073</x:v>
      </x:c>
      <x:c r="L50" s="24" t="str">
        <x:v>EX0050; EX0098</x:v>
      </x:c>
      <x:c r="M50" s="24" t="str">
        <x:v>EX0059; EX0060; EX0061; EX0075; EX0076; EX0077; EX0080; EX0081; EX0089; EX0099; EX0100</x:v>
      </x:c>
      <x:c r="N50" s="24" t="str">
        <x:v>EX0069</x:v>
      </x:c>
      <x:c r="O50" s="24" t="str">
        <x:v>Active strength target (group or direct)</x:v>
      </x:c>
      <x:c r="P50" s="24" t="str">
        <x:v>Dumbbell reverse wrist curl; Band wrist extension; Resisted radial wrist deviation; Reverse prayer flexor stretch (comfortable); Reverse curl band; Pinch-grip plate carry</x:v>
      </x:c>
      <x:c r="Q50" s="24" t="str">
        <x:v>Active/involved status varies with technique, loading, individual anatomy and fatigue.</x:v>
      </x:c>
    </x:row>
    <x:row r="51" ht="54" customHeight="1">
      <x:c r="A51" s="24" t="str">
        <x:v>Extensor carpi radialis longus</x:v>
      </x:c>
      <x:c r="B51" s="24" t="str">
        <x:v>Forearm</x:v>
      </x:c>
      <x:c r="C51" s="24" t="str">
        <x:v>Posterolateral superficial</x:v>
      </x:c>
      <x:c r="D51" s="24" t="str">
        <x:v>Radial nerve</x:v>
      </x:c>
      <x:c r="E51" s="24" t="str">
        <x:v>C6-C7</x:v>
      </x:c>
      <x:c r="F51" s="24" t="str">
        <x:v>Distal lateral supracondylar ridge humerus</x:v>
      </x:c>
      <x:c r="G51" s="24" t="str">
        <x:v>Dorsal base metacarpal 2</x:v>
      </x:c>
      <x:c r="H51" s="24" t="str">
        <x:v>ECRL tendon, second dorsal extensor compartment</x:v>
      </x:c>
      <x:c r="I51" s="24" t="str">
        <x:v>Extensor retinaculum holds tendon at wrist</x:v>
      </x:c>
      <x:c r="J51" s="24" t="str">
        <x:v>Mixed Type I and Type II; ratio unverified</x:v>
      </x:c>
      <x:c r="K51" s="24" t="str">
        <x:v>EX0063; EX0065; EX0066; EX0071; EX0073</x:v>
      </x:c>
      <x:c r="L51" s="24" t="str">
        <x:v>EX0050; EX0098</x:v>
      </x:c>
      <x:c r="M51" s="24" t="str">
        <x:v>EX0059; EX0060; EX0061; EX0075; EX0076; EX0077; EX0080; EX0081; EX0089; EX0099; EX0100</x:v>
      </x:c>
      <x:c r="N51" s="24" t="str">
        <x:v>EX0069</x:v>
      </x:c>
      <x:c r="O51" s="24" t="str">
        <x:v>Active strength target (group or direct)</x:v>
      </x:c>
      <x:c r="P51" s="24" t="str">
        <x:v>Dumbbell reverse wrist curl; Band wrist extension; Resisted radial wrist deviation; Reverse prayer flexor stretch (comfortable); Reverse curl band; Pinch-grip plate carry</x:v>
      </x:c>
      <x:c r="Q51" s="24" t="str">
        <x:v>Active/involved status varies with technique, loading, individual anatomy and fatigue.</x:v>
      </x:c>
    </x:row>
    <x:row r="52" ht="54" customHeight="1">
      <x:c r="A52" s="24" t="str">
        <x:v>Adductor pollicis oblique head</x:v>
      </x:c>
      <x:c r="B52" s="24" t="str">
        <x:v>Hand</x:v>
      </x:c>
      <x:c r="C52" s="24" t="str">
        <x:v>Adductor compartment</x:v>
      </x:c>
      <x:c r="D52" s="24" t="str">
        <x:v>Deep branch ulnar nerve</x:v>
      </x:c>
      <x:c r="E52" s="24" t="str">
        <x:v>C8-T1</x:v>
      </x:c>
      <x:c r="F52" s="24" t="str">
        <x:v>Capitate and bases of metacarpals 2-3</x:v>
      </x:c>
      <x:c r="G52" s="24" t="str">
        <x:v>Medial base proximal thumb phalanx and extensor expansion</x:v>
      </x:c>
      <x:c r="H52" s="24" t="str">
        <x:v>Adductor tendon through ulnar sesamoid</x:v>
      </x:c>
      <x:c r="I52" s="24" t="str">
        <x:v>Deep transverse metacarpal ligament adjacent</x:v>
      </x:c>
      <x:c r="J52" s="24" t="str">
        <x:v>Mixed Type I and Type II; ratio unverified</x:v>
      </x:c>
      <x:c r="K52" s="24" t="str">
        <x:v>EX0075; EX0076; EX0086; EX0087; EX0097; EX0098; EX0100; EX0125; EX0126; EX0127; EX0128; EX0141; EX0154; EX0174; EX0187; EX0250; EX0365</x:v>
      </x:c>
      <x:c r="L52" s="24" t="str">
        <x:v>EX0084; EX0099; EX0102; EX0105; EX0129; EX0139; EX0144; EX0146; EX0147; EX0149; EX0150; EX0151; EX0152; EX0153; EX0155; EX0170; EX0171; EX0172; EX0173; EX0251</x:v>
      </x:c>
      <x:c r="M52" s="24" t="str">
        <x:v>EX0248; EX0266; EX0267</x:v>
      </x:c>
      <x:c r="N52" s="24" t="str">
        <x:v>EX0095; EX0137; EX0138; EX0141; EX0154; EX0182; EX0365; EX0366; EX0367</x:v>
      </x:c>
      <x:c r="O52" s="24" t="str">
        <x:v>Active strength target (group or direct)</x:v>
      </x:c>
      <x:c r="P52" s="24" t="str">
        <x:v>Towel squeeze; Soft therapy-putty grip; Thumb adduction paper pinch; Key pinch with therapy putty; Thumb opposition to every fingertip; Rice-bucket finger extension / spread</x:v>
      </x:c>
      <x:c r="Q52" s="24" t="str">
        <x:v>Active/involved status varies with technique, loading, individual anatomy and fatigue.</x:v>
      </x:c>
    </x:row>
    <x:row r="53" ht="54" customHeight="1">
      <x:c r="A53" s="24" t="str">
        <x:v>Adductor pollicis transverse head</x:v>
      </x:c>
      <x:c r="B53" s="24" t="str">
        <x:v>Hand</x:v>
      </x:c>
      <x:c r="C53" s="24" t="str">
        <x:v>Adductor compartment</x:v>
      </x:c>
      <x:c r="D53" s="24" t="str">
        <x:v>Deep branch ulnar nerve</x:v>
      </x:c>
      <x:c r="E53" s="24" t="str">
        <x:v>C8-T1</x:v>
      </x:c>
      <x:c r="F53" s="24" t="str">
        <x:v>Anterior shaft third metacarpal</x:v>
      </x:c>
      <x:c r="G53" s="24" t="str">
        <x:v>Medial base proximal thumb phalanx</x:v>
      </x:c>
      <x:c r="H53" s="24" t="str">
        <x:v>Common adductor tendon</x:v>
      </x:c>
      <x:c r="I53" s="24" t="str">
        <x:v>Deep transverse metacarpal ligament nearby</x:v>
      </x:c>
      <x:c r="J53" s="24" t="str">
        <x:v>Mixed Type I and Type II; ratio unverified</x:v>
      </x:c>
      <x:c r="K53" s="24" t="str">
        <x:v>EX0075; EX0076; EX0086; EX0087; EX0097; EX0098; EX0100; EX0125; EX0126; EX0127; EX0128; EX0141; EX0154; EX0174; EX0187; EX0250; EX0365</x:v>
      </x:c>
      <x:c r="L53" s="24" t="str">
        <x:v>EX0084; EX0099; EX0102; EX0105; EX0129; EX0139; EX0144; EX0146; EX0147; EX0149; EX0150; EX0151; EX0152; EX0153; EX0155; EX0170; EX0171; EX0172; EX0173; EX0251</x:v>
      </x:c>
      <x:c r="M53" s="24" t="str">
        <x:v>EX0248; EX0266; EX0267</x:v>
      </x:c>
      <x:c r="N53" s="24" t="str">
        <x:v>EX0095; EX0137; EX0138; EX0141; EX0154; EX0182; EX0365; EX0366; EX0367</x:v>
      </x:c>
      <x:c r="O53" s="24" t="str">
        <x:v>Active strength target (group or direct)</x:v>
      </x:c>
      <x:c r="P53" s="24" t="str">
        <x:v>Towel squeeze; Soft therapy-putty grip; Thumb adduction paper pinch; Key pinch with therapy putty; Thumb opposition to every fingertip; Rice-bucket finger extension / spread</x:v>
      </x:c>
      <x:c r="Q53" s="24" t="str">
        <x:v>Active/involved status varies with technique, loading, individual anatomy and fatigue.</x:v>
      </x:c>
    </x:row>
    <x:row r="54" ht="54" customHeight="1">
      <x:c r="A54" s="24" t="str">
        <x:v>Lumbrical 1 (index)</x:v>
      </x:c>
      <x:c r="B54" s="24" t="str">
        <x:v>Hand</x:v>
      </x:c>
      <x:c r="C54" s="24" t="str">
        <x:v>Central palm</x:v>
      </x:c>
      <x:c r="D54" s="24" t="str">
        <x:v>Median nerve</x:v>
      </x:c>
      <x:c r="E54" s="24" t="str">
        <x:v>C8-T1</x:v>
      </x:c>
      <x:c r="F54" s="24" t="str">
        <x:v>Radial side FDP tendon to index</x:v>
      </x:c>
      <x:c r="G54" s="24" t="str">
        <x:v>Radial extensor expansion digit 2</x:v>
      </x:c>
      <x:c r="H54" s="24" t="str">
        <x:v>FDP tendon origin; extensor hood insertion</x:v>
      </x:c>
      <x:c r="I54" s="24" t="str">
        <x:v>Sagittal band/extensor mechanism at digit</x:v>
      </x:c>
      <x:c r="J54" s="24" t="str">
        <x:v>Mixed Type I and Type II; ratio unverified</x:v>
      </x:c>
      <x:c r="K54" s="24" t="str">
        <x:v>EX0075; EX0076; EX0078; EX0079; EX0093; EX0096; EX0097; EX0098; EX0100; EX0101; EX0250</x:v>
      </x:c>
      <x:c r="L54" s="24" t="str">
        <x:v>EX0083; EX0251</x:v>
      </x:c>
      <x:c r="M54" s="24" t="str">
        <x:v>EX0173; EX0174; EX0248; EX0266; EX0267</x:v>
      </x:c>
      <x:c r="N54" s="24" t="str">
        <x:v>EX0094</x:v>
      </x:c>
      <x:c r="O54" s="24" t="str">
        <x:v>Active strength target (group or direct)</x:v>
      </x:c>
      <x:c r="P54" s="24" t="str">
        <x:v>Towel squeeze; Soft therapy-putty grip; Tabletop intrinsic-plus hand position; Individual finger lift from table; Finger adduction with folded paper; Front-rack single-dumbbell carry</x:v>
      </x:c>
      <x:c r="Q54" s="24" t="str">
        <x:v>Active/involved status varies with technique, loading, individual anatomy and fatigue.</x:v>
      </x:c>
    </x:row>
    <x:row r="55" ht="54" customHeight="1">
      <x:c r="A55" s="24" t="str">
        <x:v>Lumbrical 2 (middle)</x:v>
      </x:c>
      <x:c r="B55" s="24" t="str">
        <x:v>Hand</x:v>
      </x:c>
      <x:c r="C55" s="24" t="str">
        <x:v>Central palm</x:v>
      </x:c>
      <x:c r="D55" s="24" t="str">
        <x:v>Median nerve</x:v>
      </x:c>
      <x:c r="E55" s="24" t="str">
        <x:v>C8-T1</x:v>
      </x:c>
      <x:c r="F55" s="24" t="str">
        <x:v>Radial side FDP tendon to middle</x:v>
      </x:c>
      <x:c r="G55" s="24" t="str">
        <x:v>Radial extensor expansion digit 3</x:v>
      </x:c>
      <x:c r="H55" s="24" t="str">
        <x:v>FDP tendon origin; extensor hood insertion</x:v>
      </x:c>
      <x:c r="I55" s="24" t="str">
        <x:v>Extensor hood sagittal band, adjacent</x:v>
      </x:c>
      <x:c r="J55" s="24" t="str">
        <x:v>Mixed Type I and Type II; ratio unverified</x:v>
      </x:c>
      <x:c r="K55" s="24" t="str">
        <x:v>EX0075; EX0076; EX0078; EX0079; EX0093; EX0096; EX0097; EX0098; EX0100; EX0101; EX0250</x:v>
      </x:c>
      <x:c r="L55" s="24" t="str">
        <x:v>EX0083; EX0251</x:v>
      </x:c>
      <x:c r="M55" s="24" t="str">
        <x:v>EX0173; EX0174; EX0248; EX0266; EX0267</x:v>
      </x:c>
      <x:c r="N55" s="24" t="str">
        <x:v>EX0094</x:v>
      </x:c>
      <x:c r="O55" s="24" t="str">
        <x:v>Active strength target (group or direct)</x:v>
      </x:c>
      <x:c r="P55" s="24" t="str">
        <x:v>Towel squeeze; Soft therapy-putty grip; Tabletop intrinsic-plus hand position; Individual finger lift from table; Finger adduction with folded paper; Front-rack single-dumbbell carry</x:v>
      </x:c>
      <x:c r="Q55" s="24" t="str">
        <x:v>Active/involved status varies with technique, loading, individual anatomy and fatigue.</x:v>
      </x:c>
    </x:row>
    <x:row r="56" ht="54" customHeight="1">
      <x:c r="A56" s="24" t="str">
        <x:v>Lumbrical 3 (ring)</x:v>
      </x:c>
      <x:c r="B56" s="24" t="str">
        <x:v>Hand</x:v>
      </x:c>
      <x:c r="C56" s="24" t="str">
        <x:v>Central palm</x:v>
      </x:c>
      <x:c r="D56" s="24" t="str">
        <x:v>Deep branch ulnar nerve</x:v>
      </x:c>
      <x:c r="E56" s="24" t="str">
        <x:v>C8-T1</x:v>
      </x:c>
      <x:c r="F56" s="24" t="str">
        <x:v>Adjacent FDP tendons to middle and ring</x:v>
      </x:c>
      <x:c r="G56" s="24" t="str">
        <x:v>Radial extensor expansion digit 4</x:v>
      </x:c>
      <x:c r="H56" s="24" t="str">
        <x:v>FDP tendon origin; extensor expansion insertion</x:v>
      </x:c>
      <x:c r="I56" s="24" t="str">
        <x:v>Extensor mechanism sagittal band</x:v>
      </x:c>
      <x:c r="J56" s="24" t="str">
        <x:v>Mixed Type I and Type II; ratio unverified</x:v>
      </x:c>
      <x:c r="K56" s="24" t="str">
        <x:v>EX0075; EX0076; EX0078; EX0079; EX0093; EX0096; EX0097; EX0098; EX0100; EX0101; EX0250</x:v>
      </x:c>
      <x:c r="L56" s="24" t="str">
        <x:v>EX0083; EX0251</x:v>
      </x:c>
      <x:c r="M56" s="24" t="str">
        <x:v>EX0173; EX0174; EX0248; EX0266; EX0267</x:v>
      </x:c>
      <x:c r="N56" s="24" t="str">
        <x:v>EX0094</x:v>
      </x:c>
      <x:c r="O56" s="24" t="str">
        <x:v>Active strength target (group or direct)</x:v>
      </x:c>
      <x:c r="P56" s="24" t="str">
        <x:v>Towel squeeze; Soft therapy-putty grip; Tabletop intrinsic-plus hand position; Individual finger lift from table; Finger adduction with folded paper; Front-rack single-dumbbell carry</x:v>
      </x:c>
      <x:c r="Q56" s="24" t="str">
        <x:v>Active/involved status varies with technique, loading, individual anatomy and fatigue.</x:v>
      </x:c>
    </x:row>
    <x:row r="57" ht="54" customHeight="1">
      <x:c r="A57" s="24" t="str">
        <x:v>Lumbrical 4 (little)</x:v>
      </x:c>
      <x:c r="B57" s="24" t="str">
        <x:v>Hand</x:v>
      </x:c>
      <x:c r="C57" s="24" t="str">
        <x:v>Central palm</x:v>
      </x:c>
      <x:c r="D57" s="24" t="str">
        <x:v>Deep branch ulnar nerve</x:v>
      </x:c>
      <x:c r="E57" s="24" t="str">
        <x:v>C8-T1</x:v>
      </x:c>
      <x:c r="F57" s="24" t="str">
        <x:v>Adjacent FDP tendons to ring and little fingers</x:v>
      </x:c>
      <x:c r="G57" s="24" t="str">
        <x:v>Radial extensor expansion digit 5</x:v>
      </x:c>
      <x:c r="H57" s="24" t="str">
        <x:v>FDP tendon origin; extensor expansion insertion</x:v>
      </x:c>
      <x:c r="I57" s="24" t="str">
        <x:v>Extensor mechanism sagittal band</x:v>
      </x:c>
      <x:c r="J57" s="24" t="str">
        <x:v>Mixed Type I and Type II; ratio unverified</x:v>
      </x:c>
      <x:c r="K57" s="24" t="str">
        <x:v>EX0075; EX0076; EX0078; EX0079; EX0093; EX0096; EX0097; EX0098; EX0100; EX0101; EX0250</x:v>
      </x:c>
      <x:c r="L57" s="24" t="str">
        <x:v>EX0083; EX0251</x:v>
      </x:c>
      <x:c r="M57" s="24" t="str">
        <x:v>EX0173; EX0174; EX0248; EX0266; EX0267</x:v>
      </x:c>
      <x:c r="N57" s="24" t="str">
        <x:v>EX0094</x:v>
      </x:c>
      <x:c r="O57" s="24" t="str">
        <x:v>Active strength target (group or direct)</x:v>
      </x:c>
      <x:c r="P57" s="24" t="str">
        <x:v>Towel squeeze; Soft therapy-putty grip; Tabletop intrinsic-plus hand position; Individual finger lift from table; Finger adduction with folded paper; Front-rack single-dumbbell carry</x:v>
      </x:c>
      <x:c r="Q57" s="24" t="str">
        <x:v>Active/involved status varies with technique, loading, individual anatomy and fatigue.</x:v>
      </x:c>
    </x:row>
    <x:row r="58" ht="54" customHeight="1">
      <x:c r="A58" s="24" t="str">
        <x:v>Dorsal interosseous 1 (index)</x:v>
      </x:c>
      <x:c r="B58" s="24" t="str">
        <x:v>Hand</x:v>
      </x:c>
      <x:c r="C58" s="24" t="str">
        <x:v>Dorsal intermetacarpal</x:v>
      </x:c>
      <x:c r="D58" s="24" t="str">
        <x:v>Deep branch ulnar nerve</x:v>
      </x:c>
      <x:c r="E58" s="24" t="str">
        <x:v>C8-T1</x:v>
      </x:c>
      <x:c r="F58" s="24" t="str">
        <x:v>Facing sides metacarpals 1-2</x:v>
      </x:c>
      <x:c r="G58" s="24" t="str">
        <x:v>Radial base proximal phalanx and extensor expansion digit 2</x:v>
      </x:c>
      <x:c r="H58" s="24" t="str">
        <x:v>Interosseous insertion tendon to extensor hood</x:v>
      </x:c>
      <x:c r="I58" s="24" t="str">
        <x:v>Deep transverse metacarpal ligament nearby</x:v>
      </x:c>
      <x:c r="J58" s="24" t="str">
        <x:v>Mixed Type I and Type II; ratio unverified</x:v>
      </x:c>
      <x:c r="K58" s="24" t="str">
        <x:v>EX0075; EX0076; EX0077; EX0078; EX0082; EX0097; EX0098; EX0099; EX0100; EX0101; EX0250</x:v>
      </x:c>
      <x:c r="L58" s="24" t="str">
        <x:v>EX0079; EX0087; EX0091; EX0096; EX0251</x:v>
      </x:c>
      <x:c r="M58" s="24" t="str">
        <x:v>EX0086; EX0173; EX0174; EX0248; EX0266; EX0267</x:v>
      </x:c>
      <x:c r="N58" s="24" t="str">
        <x:v>—</x:v>
      </x:c>
      <x:c r="O58" s="24" t="str">
        <x:v>Active strength target (group or direct)</x:v>
      </x:c>
      <x:c r="P58" s="24" t="str">
        <x:v>Towel squeeze; Soft therapy-putty grip; Rubber-band finger opening; Tabletop intrinsic-plus hand position; Individual finger lift from table; Key pinch with therapy putty</x:v>
      </x:c>
      <x:c r="Q58" s="24" t="str">
        <x:v>Active/involved status varies with technique, loading, individual anatomy and fatigue.</x:v>
      </x:c>
    </x:row>
    <x:row r="59" ht="54" customHeight="1">
      <x:c r="A59" s="24" t="str">
        <x:v>Dorsal interosseous 2 (middle radial)</x:v>
      </x:c>
      <x:c r="B59" s="24" t="str">
        <x:v>Hand</x:v>
      </x:c>
      <x:c r="C59" s="24" t="str">
        <x:v>Dorsal intermetacarpal</x:v>
      </x:c>
      <x:c r="D59" s="24" t="str">
        <x:v>Deep branch ulnar nerve</x:v>
      </x:c>
      <x:c r="E59" s="24" t="str">
        <x:v>C8-T1</x:v>
      </x:c>
      <x:c r="F59" s="24" t="str">
        <x:v>Facing sides metacarpals 2-3</x:v>
      </x:c>
      <x:c r="G59" s="24" t="str">
        <x:v>Radial base proximal phalanx and extensor hood digit 3</x:v>
      </x:c>
      <x:c r="H59" s="24" t="str">
        <x:v>Insertion tendon to extensor hood</x:v>
      </x:c>
      <x:c r="I59" s="24" t="str">
        <x:v>Deep transverse metacarpal ligament nearby</x:v>
      </x:c>
      <x:c r="J59" s="24" t="str">
        <x:v>Mixed Type I and Type II; ratio unverified</x:v>
      </x:c>
      <x:c r="K59" s="24" t="str">
        <x:v>EX0075; EX0076; EX0077; EX0078; EX0082; EX0097; EX0098; EX0099; EX0100; EX0101; EX0250</x:v>
      </x:c>
      <x:c r="L59" s="24" t="str">
        <x:v>EX0079; EX0087; EX0091; EX0096; EX0251</x:v>
      </x:c>
      <x:c r="M59" s="24" t="str">
        <x:v>EX0086; EX0173; EX0174; EX0248; EX0266; EX0267</x:v>
      </x:c>
      <x:c r="N59" s="24" t="str">
        <x:v>—</x:v>
      </x:c>
      <x:c r="O59" s="24" t="str">
        <x:v>Active strength target (group or direct)</x:v>
      </x:c>
      <x:c r="P59" s="24" t="str">
        <x:v>Towel squeeze; Soft therapy-putty grip; Rubber-band finger opening; Tabletop intrinsic-plus hand position; Individual finger lift from table; Key pinch with therapy putty</x:v>
      </x:c>
      <x:c r="Q59" s="24" t="str">
        <x:v>Active/involved status varies with technique, loading, individual anatomy and fatigue.</x:v>
      </x:c>
    </x:row>
    <x:row r="60" ht="54" customHeight="1">
      <x:c r="A60" s="24" t="str">
        <x:v>Dorsal interosseous 3 (middle ulnar)</x:v>
      </x:c>
      <x:c r="B60" s="24" t="str">
        <x:v>Hand</x:v>
      </x:c>
      <x:c r="C60" s="24" t="str">
        <x:v>Dorsal intermetacarpal</x:v>
      </x:c>
      <x:c r="D60" s="24" t="str">
        <x:v>Deep branch ulnar nerve</x:v>
      </x:c>
      <x:c r="E60" s="24" t="str">
        <x:v>C8-T1</x:v>
      </x:c>
      <x:c r="F60" s="24" t="str">
        <x:v>Facing sides metacarpals 3-4</x:v>
      </x:c>
      <x:c r="G60" s="24" t="str">
        <x:v>Ulnar base proximal phalanx and extensor hood digit 3</x:v>
      </x:c>
      <x:c r="H60" s="24" t="str">
        <x:v>Insertion tendon to extensor hood</x:v>
      </x:c>
      <x:c r="I60" s="24" t="str">
        <x:v>Deep transverse metacarpal ligament nearby</x:v>
      </x:c>
      <x:c r="J60" s="24" t="str">
        <x:v>Mixed Type I and Type II; ratio unverified</x:v>
      </x:c>
      <x:c r="K60" s="24" t="str">
        <x:v>EX0075; EX0076; EX0077; EX0078; EX0082; EX0097; EX0098; EX0099; EX0100; EX0101; EX0250</x:v>
      </x:c>
      <x:c r="L60" s="24" t="str">
        <x:v>EX0079; EX0087; EX0091; EX0096; EX0251</x:v>
      </x:c>
      <x:c r="M60" s="24" t="str">
        <x:v>EX0086; EX0173; EX0174; EX0248; EX0266; EX0267</x:v>
      </x:c>
      <x:c r="N60" s="24" t="str">
        <x:v>—</x:v>
      </x:c>
      <x:c r="O60" s="24" t="str">
        <x:v>Active strength target (group or direct)</x:v>
      </x:c>
      <x:c r="P60" s="24" t="str">
        <x:v>Towel squeeze; Soft therapy-putty grip; Rubber-band finger opening; Tabletop intrinsic-plus hand position; Individual finger lift from table; Key pinch with therapy putty</x:v>
      </x:c>
      <x:c r="Q60" s="24" t="str">
        <x:v>Active/involved status varies with technique, loading, individual anatomy and fatigue.</x:v>
      </x:c>
    </x:row>
    <x:row r="61" ht="54" customHeight="1">
      <x:c r="A61" s="24" t="str">
        <x:v>Dorsal interosseous 4 (ring)</x:v>
      </x:c>
      <x:c r="B61" s="24" t="str">
        <x:v>Hand</x:v>
      </x:c>
      <x:c r="C61" s="24" t="str">
        <x:v>Dorsal intermetacarpal</x:v>
      </x:c>
      <x:c r="D61" s="24" t="str">
        <x:v>Deep branch ulnar nerve</x:v>
      </x:c>
      <x:c r="E61" s="24" t="str">
        <x:v>C8-T1</x:v>
      </x:c>
      <x:c r="F61" s="24" t="str">
        <x:v>Facing sides metacarpals 4-5</x:v>
      </x:c>
      <x:c r="G61" s="24" t="str">
        <x:v>Ulnar base proximal phalanx and extensor hood digit 4</x:v>
      </x:c>
      <x:c r="H61" s="24" t="str">
        <x:v>Insertion tendon to extensor hood</x:v>
      </x:c>
      <x:c r="I61" s="24" t="str">
        <x:v>Deep transverse metacarpal ligament nearby</x:v>
      </x:c>
      <x:c r="J61" s="24" t="str">
        <x:v>Mixed Type I and Type II; ratio unverified</x:v>
      </x:c>
      <x:c r="K61" s="24" t="str">
        <x:v>EX0075; EX0076; EX0077; EX0078; EX0082; EX0097; EX0098; EX0099; EX0100; EX0101; EX0250</x:v>
      </x:c>
      <x:c r="L61" s="24" t="str">
        <x:v>EX0079; EX0087; EX0091; EX0096; EX0251</x:v>
      </x:c>
      <x:c r="M61" s="24" t="str">
        <x:v>EX0086; EX0173; EX0174; EX0248; EX0266; EX0267</x:v>
      </x:c>
      <x:c r="N61" s="24" t="str">
        <x:v>—</x:v>
      </x:c>
      <x:c r="O61" s="24" t="str">
        <x:v>Active strength target (group or direct)</x:v>
      </x:c>
      <x:c r="P61" s="24" t="str">
        <x:v>Towel squeeze; Soft therapy-putty grip; Rubber-band finger opening; Tabletop intrinsic-plus hand position; Individual finger lift from table; Key pinch with therapy putty</x:v>
      </x:c>
      <x:c r="Q61" s="24" t="str">
        <x:v>Active/involved status varies with technique, loading, individual anatomy and fatigue.</x:v>
      </x:c>
    </x:row>
    <x:row r="62" ht="54" customHeight="1">
      <x:c r="A62" s="24" t="str">
        <x:v>Abductor digiti minimi (hand)</x:v>
      </x:c>
      <x:c r="B62" s="24" t="str">
        <x:v>Hand</x:v>
      </x:c>
      <x:c r="C62" s="24" t="str">
        <x:v>Hypothenar</x:v>
      </x:c>
      <x:c r="D62" s="24" t="str">
        <x:v>Deep branch ulnar nerve</x:v>
      </x:c>
      <x:c r="E62" s="24" t="str">
        <x:v>C8-T1</x:v>
      </x:c>
      <x:c r="F62" s="24" t="str">
        <x:v>Pisiform; flexor carpi ulnaris tendon</x:v>
      </x:c>
      <x:c r="G62" s="24" t="str">
        <x:v>Ulnar base proximal phalanx little finger</x:v>
      </x:c>
      <x:c r="H62" s="24" t="str">
        <x:v>ADM tendon to proximal phalanx/extensor expansion</x:v>
      </x:c>
      <x:c r="I62" s="24" t="str">
        <x:v>Pisohamate ligament near origin</x:v>
      </x:c>
      <x:c r="J62" s="24" t="str">
        <x:v>Mixed Type I and Type II; ratio unverified</x:v>
      </x:c>
      <x:c r="K62" s="24" t="str">
        <x:v>EX0075; EX0076; EX0090; EX0091; EX0097; EX0098; EX0099; EX0100; EX0250</x:v>
      </x:c>
      <x:c r="L62" s="24" t="str">
        <x:v>EX0082; EX0092; EX0251</x:v>
      </x:c>
      <x:c r="M62" s="24" t="str">
        <x:v>EX0173; EX0174; EX0248; EX0266; EX0267</x:v>
      </x:c>
      <x:c r="N62" s="24" t="str">
        <x:v>—</x:v>
      </x:c>
      <x:c r="O62" s="24" t="str">
        <x:v>Active strength target (group or direct)</x:v>
      </x:c>
      <x:c r="P62" s="24" t="str">
        <x:v>Towel squeeze; Soft therapy-putty grip; Little finger opposition; Little finger abduction with elastic; Finger abduction against hair elastic; Palmaris brevis hypothenar skin tension</x:v>
      </x:c>
      <x:c r="Q62" s="24" t="str">
        <x:v>Active/involved status varies with technique, loading, individual anatomy and fatigue.</x:v>
      </x:c>
    </x:row>
    <x:row r="63" ht="54" customHeight="1">
      <x:c r="A63" s="24" t="str">
        <x:v>Flexor digiti minimi brevis (hand)</x:v>
      </x:c>
      <x:c r="B63" s="24" t="str">
        <x:v>Hand</x:v>
      </x:c>
      <x:c r="C63" s="24" t="str">
        <x:v>Hypothenar</x:v>
      </x:c>
      <x:c r="D63" s="24" t="str">
        <x:v>Deep branch ulnar nerve</x:v>
      </x:c>
      <x:c r="E63" s="24" t="str">
        <x:v>C8-T1</x:v>
      </x:c>
      <x:c r="F63" s="24" t="str">
        <x:v>Hook of hamate; flexor retinaculum</x:v>
      </x:c>
      <x:c r="G63" s="24" t="str">
        <x:v>Ulnar base proximal phalanx digit 5</x:v>
      </x:c>
      <x:c r="H63" s="24" t="str">
        <x:v>Small insertion tendon</x:v>
      </x:c>
      <x:c r="I63" s="24" t="str">
        <x:v>Flexor retinaculum direct origin</x:v>
      </x:c>
      <x:c r="J63" s="24" t="str">
        <x:v>Mixed Type I and Type II; ratio unverified</x:v>
      </x:c>
      <x:c r="K63" s="24" t="str">
        <x:v>EX0075; EX0076; EX0097; EX0098; EX0099; EX0100; EX0250</x:v>
      </x:c>
      <x:c r="L63" s="24" t="str">
        <x:v>EX0082; EX0090; EX0092; EX0251</x:v>
      </x:c>
      <x:c r="M63" s="24" t="str">
        <x:v>EX0173; EX0174; EX0248; EX0266; EX0267</x:v>
      </x:c>
      <x:c r="N63" s="24" t="str">
        <x:v>—</x:v>
      </x:c>
      <x:c r="O63" s="24" t="str">
        <x:v>Active strength target (group or direct)</x:v>
      </x:c>
      <x:c r="P63" s="24" t="str">
        <x:v>Towel squeeze; Soft therapy-putty grip; Forearm farmer carry with dumbbells; Pinch-grip plate carry; Finger abduction against hair elastic; Little finger opposition</x:v>
      </x:c>
      <x:c r="Q63" s="24" t="str">
        <x:v>Active/involved status varies with technique, loading, individual anatomy and fatigue.</x:v>
      </x:c>
    </x:row>
    <x:row r="64" ht="54" customHeight="1">
      <x:c r="A64" s="24" t="str">
        <x:v>Opponens digiti minimi</x:v>
      </x:c>
      <x:c r="B64" s="24" t="str">
        <x:v>Hand</x:v>
      </x:c>
      <x:c r="C64" s="24" t="str">
        <x:v>Hypothenar</x:v>
      </x:c>
      <x:c r="D64" s="24" t="str">
        <x:v>Deep branch ulnar nerve</x:v>
      </x:c>
      <x:c r="E64" s="24" t="str">
        <x:v>C8-T1</x:v>
      </x:c>
      <x:c r="F64" s="24" t="str">
        <x:v>Hook of hamate; flexor retinaculum</x:v>
      </x:c>
      <x:c r="G64" s="24" t="str">
        <x:v>Ulnar border fifth metacarpal</x:v>
      </x:c>
      <x:c r="H64" s="24" t="str">
        <x:v>Broad fleshy insertion</x:v>
      </x:c>
      <x:c r="I64" s="24" t="str">
        <x:v>Flexor retinaculum direct origin</x:v>
      </x:c>
      <x:c r="J64" s="24" t="str">
        <x:v>Mixed Type I and Type II; ratio unverified</x:v>
      </x:c>
      <x:c r="K64" s="24" t="str">
        <x:v>EX0075; EX0076; EX0090; EX0097; EX0098; EX0099; EX0100; EX0250</x:v>
      </x:c>
      <x:c r="L64" s="24" t="str">
        <x:v>EX0082; EX0092; EX0251</x:v>
      </x:c>
      <x:c r="M64" s="24" t="str">
        <x:v>EX0173; EX0174; EX0248; EX0266; EX0267</x:v>
      </x:c>
      <x:c r="N64" s="24" t="str">
        <x:v>—</x:v>
      </x:c>
      <x:c r="O64" s="24" t="str">
        <x:v>Active strength target (group or direct)</x:v>
      </x:c>
      <x:c r="P64" s="24" t="str">
        <x:v>Towel squeeze; Soft therapy-putty grip; Little finger opposition; Forearm farmer carry with dumbbells; Finger abduction against hair elastic; Palmaris brevis hypothenar skin tension</x:v>
      </x:c>
      <x:c r="Q64" s="24" t="str">
        <x:v>Active/involved status varies with technique, loading, individual anatomy and fatigue.</x:v>
      </x:c>
    </x:row>
    <x:row r="65" ht="54" customHeight="1">
      <x:c r="A65" s="24" t="str">
        <x:v>Palmaris brevis</x:v>
      </x:c>
      <x:c r="B65" s="24" t="str">
        <x:v>Hand</x:v>
      </x:c>
      <x:c r="C65" s="24" t="str">
        <x:v>Hypothenar superficial</x:v>
      </x:c>
      <x:c r="D65" s="24" t="str">
        <x:v>Superficial branch ulnar nerve</x:v>
      </x:c>
      <x:c r="E65" s="24" t="str">
        <x:v>C8-T1</x:v>
      </x:c>
      <x:c r="F65" s="24" t="str">
        <x:v>Palmar aponeurosis and flexor retinaculum</x:v>
      </x:c>
      <x:c r="G65" s="24" t="str">
        <x:v>Dermis of hypothenar skin</x:v>
      </x:c>
      <x:c r="H65" s="24" t="str">
        <x:v>Dermal fibrous insertion, no long tendon</x:v>
      </x:c>
      <x:c r="I65" s="24" t="str">
        <x:v>Flexor retinaculum direct origin</x:v>
      </x:c>
      <x:c r="J65" s="24" t="str">
        <x:v>Mixed Type I and Type II; ratio unverified</x:v>
      </x:c>
      <x:c r="K65" s="24" t="str">
        <x:v>EX0075; EX0076; EX0092; EX0097; EX0098; EX0099; EX0100; EX0250</x:v>
      </x:c>
      <x:c r="L65" s="24" t="str">
        <x:v>EX0082; EX0251</x:v>
      </x:c>
      <x:c r="M65" s="24" t="str">
        <x:v>EX0173; EX0174; EX0248; EX0266; EX0267</x:v>
      </x:c>
      <x:c r="N65" s="24" t="str">
        <x:v>—</x:v>
      </x:c>
      <x:c r="O65" s="24" t="str">
        <x:v>Active strength target (group or direct)</x:v>
      </x:c>
      <x:c r="P65" s="24" t="str">
        <x:v>Towel squeeze; Soft therapy-putty grip; Palmaris brevis hypothenar skin tension; Forearm farmer carry with dumbbells; Finger abduction against hair elastic; Front-rack single-dumbbell carry</x:v>
      </x:c>
      <x:c r="Q65" s="24" t="str">
        <x:v>Active/involved status varies with technique, loading, individual anatomy and fatigue.</x:v>
      </x:c>
    </x:row>
    <x:row r="66" ht="54" customHeight="1">
      <x:c r="A66" s="24" t="str">
        <x:v>Palmar interosseous 1 (index)</x:v>
      </x:c>
      <x:c r="B66" s="24" t="str">
        <x:v>Hand</x:v>
      </x:c>
      <x:c r="C66" s="24" t="str">
        <x:v>Palmar intermetacarpal</x:v>
      </x:c>
      <x:c r="D66" s="24" t="str">
        <x:v>Deep branch ulnar nerve</x:v>
      </x:c>
      <x:c r="E66" s="24" t="str">
        <x:v>C8-T1</x:v>
      </x:c>
      <x:c r="F66" s="24" t="str">
        <x:v>Ulnar palmar metacarpal 2</x:v>
      </x:c>
      <x:c r="G66" s="24" t="str">
        <x:v>Ulnar proximal phalanx/extensor hood index</x:v>
      </x:c>
      <x:c r="H66" s="24" t="str">
        <x:v>Tendon to extensor hood</x:v>
      </x:c>
      <x:c r="I66" s="24" t="str">
        <x:v>Deep transverse metacarpal ligament adjacent</x:v>
      </x:c>
      <x:c r="J66" s="24" t="str">
        <x:v>Mixed Type I and Type II; ratio unverified</x:v>
      </x:c>
      <x:c r="K66" s="24" t="str">
        <x:v>EX0075; EX0076; EX0077; EX0078; EX0083; EX0097; EX0098; EX0099; EX0100; EX0101; EX0250</x:v>
      </x:c>
      <x:c r="L66" s="24" t="str">
        <x:v>EX0079; EX0087; EX0096; EX0251</x:v>
      </x:c>
      <x:c r="M66" s="24" t="str">
        <x:v>EX0086; EX0173; EX0174; EX0248; EX0266; EX0267</x:v>
      </x:c>
      <x:c r="N66" s="24" t="str">
        <x:v>—</x:v>
      </x:c>
      <x:c r="O66" s="24" t="str">
        <x:v>Active strength target (group or direct)</x:v>
      </x:c>
      <x:c r="P66" s="24" t="str">
        <x:v>Towel squeeze; Soft therapy-putty grip; Rubber-band finger opening; Tabletop intrinsic-plus hand position; Individual finger lift from table; Key pinch with therapy putty</x:v>
      </x:c>
      <x:c r="Q66" s="24" t="str">
        <x:v>Active/involved status varies with technique, loading, individual anatomy and fatigue.</x:v>
      </x:c>
    </x:row>
    <x:row r="67" ht="54" customHeight="1">
      <x:c r="A67" s="24" t="str">
        <x:v>Palmar interosseous 2 (ring)</x:v>
      </x:c>
      <x:c r="B67" s="24" t="str">
        <x:v>Hand</x:v>
      </x:c>
      <x:c r="C67" s="24" t="str">
        <x:v>Palmar intermetacarpal</x:v>
      </x:c>
      <x:c r="D67" s="24" t="str">
        <x:v>Deep branch ulnar nerve</x:v>
      </x:c>
      <x:c r="E67" s="24" t="str">
        <x:v>C8-T1</x:v>
      </x:c>
      <x:c r="F67" s="24" t="str">
        <x:v>Radial palmar metacarpal 4</x:v>
      </x:c>
      <x:c r="G67" s="24" t="str">
        <x:v>Radial proximal phalanx/extensor hood ring</x:v>
      </x:c>
      <x:c r="H67" s="24" t="str">
        <x:v>Tendon to extensor hood</x:v>
      </x:c>
      <x:c r="I67" s="24" t="str">
        <x:v>Deep transverse metacarpal ligament adjacent</x:v>
      </x:c>
      <x:c r="J67" s="24" t="str">
        <x:v>Mixed Type I and Type II; ratio unverified</x:v>
      </x:c>
      <x:c r="K67" s="24" t="str">
        <x:v>EX0075; EX0076; EX0077; EX0078; EX0083; EX0097; EX0098; EX0099; EX0100; EX0101; EX0250</x:v>
      </x:c>
      <x:c r="L67" s="24" t="str">
        <x:v>EX0079; EX0087; EX0096; EX0251</x:v>
      </x:c>
      <x:c r="M67" s="24" t="str">
        <x:v>EX0086; EX0173; EX0174; EX0248; EX0266; EX0267</x:v>
      </x:c>
      <x:c r="N67" s="24" t="str">
        <x:v>—</x:v>
      </x:c>
      <x:c r="O67" s="24" t="str">
        <x:v>Active strength target (group or direct)</x:v>
      </x:c>
      <x:c r="P67" s="24" t="str">
        <x:v>Towel squeeze; Soft therapy-putty grip; Rubber-band finger opening; Tabletop intrinsic-plus hand position; Individual finger lift from table; Key pinch with therapy putty</x:v>
      </x:c>
      <x:c r="Q67" s="24" t="str">
        <x:v>Active/involved status varies with technique, loading, individual anatomy and fatigue.</x:v>
      </x:c>
    </x:row>
    <x:row r="68" ht="54" customHeight="1">
      <x:c r="A68" s="24" t="str">
        <x:v>Palmar interosseous 3 (little)</x:v>
      </x:c>
      <x:c r="B68" s="24" t="str">
        <x:v>Hand</x:v>
      </x:c>
      <x:c r="C68" s="24" t="str">
        <x:v>Palmar intermetacarpal</x:v>
      </x:c>
      <x:c r="D68" s="24" t="str">
        <x:v>Deep branch ulnar nerve</x:v>
      </x:c>
      <x:c r="E68" s="24" t="str">
        <x:v>C8-T1</x:v>
      </x:c>
      <x:c r="F68" s="24" t="str">
        <x:v>Radial palmar metacarpal 5</x:v>
      </x:c>
      <x:c r="G68" s="24" t="str">
        <x:v>Radial proximal phalanx/extensor hood digit 5</x:v>
      </x:c>
      <x:c r="H68" s="24" t="str">
        <x:v>Tendon to extensor hood</x:v>
      </x:c>
      <x:c r="I68" s="24" t="str">
        <x:v>Deep transverse metacarpal ligament adjacent</x:v>
      </x:c>
      <x:c r="J68" s="24" t="str">
        <x:v>Mixed Type I and Type II; ratio unverified</x:v>
      </x:c>
      <x:c r="K68" s="24" t="str">
        <x:v>EX0075; EX0076; EX0077; EX0078; EX0083; EX0097; EX0098; EX0099; EX0100; EX0101; EX0250</x:v>
      </x:c>
      <x:c r="L68" s="24" t="str">
        <x:v>EX0079; EX0087; EX0096; EX0251</x:v>
      </x:c>
      <x:c r="M68" s="24" t="str">
        <x:v>EX0086; EX0173; EX0174; EX0248; EX0266; EX0267</x:v>
      </x:c>
      <x:c r="N68" s="24" t="str">
        <x:v>—</x:v>
      </x:c>
      <x:c r="O68" s="24" t="str">
        <x:v>Active strength target (group or direct)</x:v>
      </x:c>
      <x:c r="P68" s="24" t="str">
        <x:v>Towel squeeze; Soft therapy-putty grip; Rubber-band finger opening; Tabletop intrinsic-plus hand position; Individual finger lift from table; Key pinch with therapy putty</x:v>
      </x:c>
      <x:c r="Q68" s="24" t="str">
        <x:v>Active/involved status varies with technique, loading, individual anatomy and fatigue.</x:v>
      </x:c>
    </x:row>
    <x:row r="69" ht="54" customHeight="1">
      <x:c r="A69" s="24" t="str">
        <x:v>Abductor pollicis brevis</x:v>
      </x:c>
      <x:c r="B69" s="24" t="str">
        <x:v>Hand</x:v>
      </x:c>
      <x:c r="C69" s="24" t="str">
        <x:v>Thenar</x:v>
      </x:c>
      <x:c r="D69" s="24" t="str">
        <x:v>Recurrent branch median nerve</x:v>
      </x:c>
      <x:c r="E69" s="24" t="str">
        <x:v>C8-T1</x:v>
      </x:c>
      <x:c r="F69" s="24" t="str">
        <x:v>Scaphoid tubercle; trapezium; flexor retinaculum</x:v>
      </x:c>
      <x:c r="G69" s="24" t="str">
        <x:v>Lateral base proximal phalanx thumb/extensor expansion</x:v>
      </x:c>
      <x:c r="H69" s="24" t="str">
        <x:v>Thenar aponeurotic insertion</x:v>
      </x:c>
      <x:c r="I69" s="24" t="str">
        <x:v>Flexor retinaculum direct origin</x:v>
      </x:c>
      <x:c r="J69" s="24" t="str">
        <x:v>Mixed Type I and Type II; ratio unverified</x:v>
      </x:c>
      <x:c r="K69" s="24" t="str">
        <x:v>EX0075; EX0076; EX0084; EX0085; EX0097; EX0098; EX0100; EX0250</x:v>
      </x:c>
      <x:c r="L69" s="24" t="str">
        <x:v>EX0099; EX0251</x:v>
      </x:c>
      <x:c r="M69" s="24" t="str">
        <x:v>EX0173; EX0174; EX0248; EX0266; EX0267</x:v>
      </x:c>
      <x:c r="N69" s="24" t="str">
        <x:v>—</x:v>
      </x:c>
      <x:c r="O69" s="24" t="str">
        <x:v>Active strength target (group or direct)</x:v>
      </x:c>
      <x:c r="P69" s="24" t="str">
        <x:v>Towel squeeze; Soft therapy-putty grip; Thumb opposition to every fingertip; Rubber-band thumb abduction; Rice-bucket finger extension / spread; Front-rack single-dumbbell carry</x:v>
      </x:c>
      <x:c r="Q69" s="24" t="str">
        <x:v>Active/involved status varies with technique, loading, individual anatomy and fatigue.</x:v>
      </x:c>
    </x:row>
    <x:row r="70" ht="54" customHeight="1">
      <x:c r="A70" s="24" t="str">
        <x:v>Flexor pollicis brevis deep head</x:v>
      </x:c>
      <x:c r="B70" s="24" t="str">
        <x:v>Hand</x:v>
      </x:c>
      <x:c r="C70" s="24" t="str">
        <x:v>Thenar</x:v>
      </x:c>
      <x:c r="D70" s="24" t="str">
        <x:v>Deep branch ulnar nerve (variable median contribution)</x:v>
      </x:c>
      <x:c r="E70" s="24" t="str">
        <x:v>C8-T1</x:v>
      </x:c>
      <x:c r="F70" s="24" t="str">
        <x:v>Trapezoid and capitate</x:v>
      </x:c>
      <x:c r="G70" s="24" t="str">
        <x:v>Lateral base proximal phalanx thumb via sesamoid</x:v>
      </x:c>
      <x:c r="H70" s="24" t="str">
        <x:v>Thenar tendon via sesamoid</x:v>
      </x:c>
      <x:c r="I70" s="24" t="str">
        <x:v>Deep transverse metacarpal ligament nearby, no direct attachment</x:v>
      </x:c>
      <x:c r="J70" s="24" t="str">
        <x:v>Mixed Type I and Type II; ratio unverified</x:v>
      </x:c>
      <x:c r="K70" s="24" t="str">
        <x:v>EX0075; EX0076; EX0084; EX0087; EX0097; EX0098; EX0100; EX0250</x:v>
      </x:c>
      <x:c r="L70" s="24" t="str">
        <x:v>EX0086; EX0088; EX0099; EX0251</x:v>
      </x:c>
      <x:c r="M70" s="24" t="str">
        <x:v>EX0173; EX0174; EX0248; EX0266; EX0267</x:v>
      </x:c>
      <x:c r="N70" s="24" t="str">
        <x:v>—</x:v>
      </x:c>
      <x:c r="O70" s="24" t="str">
        <x:v>Active strength target (group or direct)</x:v>
      </x:c>
      <x:c r="P70" s="24" t="str">
        <x:v>Towel squeeze; Soft therapy-putty grip; Thumb opposition to every fingertip; Key pinch with therapy putty; Thumb adduction paper pinch; Thumb IP flexion with light band</x:v>
      </x:c>
      <x:c r="Q70" s="24" t="str">
        <x:v>Active/involved status varies with technique, loading, individual anatomy and fatigue.</x:v>
      </x:c>
    </x:row>
    <x:row r="71" ht="54" customHeight="1">
      <x:c r="A71" s="24" t="str">
        <x:v>Flexor pollicis brevis superficial head</x:v>
      </x:c>
      <x:c r="B71" s="24" t="str">
        <x:v>Hand</x:v>
      </x:c>
      <x:c r="C71" s="24" t="str">
        <x:v>Thenar</x:v>
      </x:c>
      <x:c r="D71" s="24" t="str">
        <x:v>Recurrent branch median nerve</x:v>
      </x:c>
      <x:c r="E71" s="24" t="str">
        <x:v>C8-T1</x:v>
      </x:c>
      <x:c r="F71" s="24" t="str">
        <x:v>Flexor retinaculum and trapezium</x:v>
      </x:c>
      <x:c r="G71" s="24" t="str">
        <x:v>Lateral base proximal phalanx thumb via sesamoid</x:v>
      </x:c>
      <x:c r="H71" s="24" t="str">
        <x:v>Insertion via radial sesamoid tendon</x:v>
      </x:c>
      <x:c r="I71" s="24" t="str">
        <x:v>Flexor retinaculum direct origin</x:v>
      </x:c>
      <x:c r="J71" s="24" t="str">
        <x:v>Mixed Type I and Type II; ratio unverified</x:v>
      </x:c>
      <x:c r="K71" s="24" t="str">
        <x:v>EX0075; EX0076; EX0084; EX0087; EX0097; EX0098; EX0100; EX0250</x:v>
      </x:c>
      <x:c r="L71" s="24" t="str">
        <x:v>EX0086; EX0088; EX0099; EX0251</x:v>
      </x:c>
      <x:c r="M71" s="24" t="str">
        <x:v>EX0173; EX0174; EX0248; EX0266; EX0267</x:v>
      </x:c>
      <x:c r="N71" s="24" t="str">
        <x:v>—</x:v>
      </x:c>
      <x:c r="O71" s="24" t="str">
        <x:v>Active strength target (group or direct)</x:v>
      </x:c>
      <x:c r="P71" s="24" t="str">
        <x:v>Towel squeeze; Soft therapy-putty grip; Thumb opposition to every fingertip; Key pinch with therapy putty; Thumb adduction paper pinch; Thumb IP flexion with light band</x:v>
      </x:c>
      <x:c r="Q71" s="24" t="str">
        <x:v>Active/involved status varies with technique, loading, individual anatomy and fatigue.</x:v>
      </x:c>
    </x:row>
    <x:row r="72" ht="54" customHeight="1">
      <x:c r="A72" s="24" t="str">
        <x:v>Opponens pollicis</x:v>
      </x:c>
      <x:c r="B72" s="24" t="str">
        <x:v>Hand</x:v>
      </x:c>
      <x:c r="C72" s="24" t="str">
        <x:v>Thenar</x:v>
      </x:c>
      <x:c r="D72" s="24" t="str">
        <x:v>Recurrent branch median nerve</x:v>
      </x:c>
      <x:c r="E72" s="24" t="str">
        <x:v>C8-T1</x:v>
      </x:c>
      <x:c r="F72" s="24" t="str">
        <x:v>Trapezium tubercle; flexor retinaculum</x:v>
      </x:c>
      <x:c r="G72" s="24" t="str">
        <x:v>Lateral shaft first metacarpal</x:v>
      </x:c>
      <x:c r="H72" s="24" t="str">
        <x:v>Broad muscular insertion</x:v>
      </x:c>
      <x:c r="I72" s="24" t="str">
        <x:v>Flexor retinaculum direct origin</x:v>
      </x:c>
      <x:c r="J72" s="24" t="str">
        <x:v>Mixed Type I and Type II; ratio unverified</x:v>
      </x:c>
      <x:c r="K72" s="24" t="str">
        <x:v>EX0075; EX0076; EX0084; EX0097; EX0098; EX0100; EX0250</x:v>
      </x:c>
      <x:c r="L72" s="24" t="str">
        <x:v>EX0085; EX0099; EX0251</x:v>
      </x:c>
      <x:c r="M72" s="24" t="str">
        <x:v>EX0173; EX0174; EX0248; EX0266; EX0267</x:v>
      </x:c>
      <x:c r="N72" s="24" t="str">
        <x:v>EX0095</x:v>
      </x:c>
      <x:c r="O72" s="24" t="str">
        <x:v>Active strength target (group or direct)</x:v>
      </x:c>
      <x:c r="P72" s="24" t="str">
        <x:v>Towel squeeze; Soft therapy-putty grip; Thumb opposition to every fingertip; Forearm farmer carry with dumbbells; Rubber-band thumb abduction; Rice-bucket finger extension / spread</x:v>
      </x:c>
      <x:c r="Q72" s="24" t="str">
        <x:v>Active/involved status varies with technique, loading, individual anatomy and fatigue.</x:v>
      </x:c>
    </x:row>
    <x:row r="73" ht="54" customHeight="1">
      <x:c r="A73" s="24" t="str">
        <x:v>Gluteus minimus</x:v>
      </x:c>
      <x:c r="B73" s="24" t="str">
        <x:v>Hip &amp; Gluteal</x:v>
      </x:c>
      <x:c r="C73" s="24" t="str">
        <x:v>Deep gluteal</x:v>
      </x:c>
      <x:c r="D73" s="24" t="str">
        <x:v>Superior gluteal nerve</x:v>
      </x:c>
      <x:c r="E73" s="24" t="str">
        <x:v>L4-S1</x:v>
      </x:c>
      <x:c r="F73" s="24" t="str">
        <x:v>External ilium between anterior/inferior gluteal lines</x:v>
      </x:c>
      <x:c r="G73" s="24" t="str">
        <x:v>Anterior facet greater trochanter</x:v>
      </x:c>
      <x:c r="H73" s="24" t="str">
        <x:v>Gluteus minimus tendon and joint-capsule expansions</x:v>
      </x:c>
      <x:c r="I73" s="24" t="str">
        <x:v>Iliofemoral ligament adjacent</x:v>
      </x:c>
      <x:c r="J73" s="24" t="str">
        <x:v>Mixed Type I and Type II; ratio unverified</x:v>
      </x:c>
      <x:c r="K73" s="24" t="str">
        <x:v>EX0104; EX0108; EX0109; EX0110; EX0111; EX0112; EX0113; EX0114; EX0117; EX0118; EX0123; EX0124; EX0138; EX0139; EX0141; EX0142; EX0143; EX0155; EX0365</x:v>
      </x:c>
      <x:c r="L73" s="24" t="str">
        <x:v>EX0154; EX0235; EX0236</x:v>
      </x:c>
      <x:c r="M73" s="24" t="str">
        <x:v>EX0102; EX0103; EX0105; EX0106; EX0107; EX0115; EX0116; EX0119; EX0121; EX0127; EX0128; EX0130; EX0140; EX0144; EX0145; EX0146; EX0148; EX0150; EX0151; EX0152; EX0153; EX0156; EX0157; EX0158; EX0163; EX0172; EX0179; EX0185; EX0190; EX0206; EX0218; EX0219; EX0229; EX0230; EX0243; EX0244; EX0245; EX0246; EX0247; EX0250; EX0251; EX0258; EX0261; EX0264; EX0281; EX0374</x:v>
      </x:c>
      <x:c r="N73" s="24" t="str">
        <x:v>EX0141</x:v>
      </x:c>
      <x:c r="O73" s="24" t="str">
        <x:v>Active strength target (group or direct)</x:v>
      </x:c>
      <x:c r="P73" s="24" t="str">
        <x:v>Banded glute bridge with abduction; Side-lying hip abduction; Standing band lateral walk; Monster walk with resistance band; Lateral lunge; Side plank (knees bent)</x:v>
      </x:c>
      <x:c r="Q73" s="24" t="str">
        <x:v>Active/involved status varies with technique, loading, individual anatomy and fatigue.</x:v>
      </x:c>
    </x:row>
    <x:row r="74" ht="54" customHeight="1">
      <x:c r="A74" s="24" t="str">
        <x:v>Inferior gemellus</x:v>
      </x:c>
      <x:c r="B74" s="24" t="str">
        <x:v>Hip &amp; Gluteal</x:v>
      </x:c>
      <x:c r="C74" s="24" t="str">
        <x:v>Deep gluteal</x:v>
      </x:c>
      <x:c r="D74" s="24" t="str">
        <x:v>Nerve to quadratus femoris</x:v>
      </x:c>
      <x:c r="E74" s="24" t="str">
        <x:v>L4-S1</x:v>
      </x:c>
      <x:c r="F74" s="24" t="str">
        <x:v>Ischial tuberosity</x:v>
      </x:c>
      <x:c r="G74" s="24" t="str">
        <x:v>Medial greater trochanter with obturator internus</x:v>
      </x:c>
      <x:c r="H74" s="24" t="str">
        <x:v>Common tendon with obturator internus</x:v>
      </x:c>
      <x:c r="I74" s="24" t="str">
        <x:v>Sacrotuberous ligament shares ischial tuberosity vicinity</x:v>
      </x:c>
      <x:c r="J74" s="24" t="str">
        <x:v>Mixed Type I and Type II; ratio unverified</x:v>
      </x:c>
      <x:c r="K74" s="24" t="str">
        <x:v>EX0113; EX0115; EX0116; EX0139; EX0142</x:v>
      </x:c>
      <x:c r="L74" s="24" t="str">
        <x:v>—</x:v>
      </x:c>
      <x:c r="M74" s="24" t="str">
        <x:v>EX0117</x:v>
      </x:c>
      <x:c r="N74" s="24" t="str">
        <x:v>EX0132; EX0133; EX0139</x:v>
      </x:c>
      <x:c r="O74" s="24" t="str">
        <x:v>Active strength target (group or direct)</x:v>
      </x:c>
      <x:c r="P74" s="24" t="str">
        <x:v>Clamshell with resistance band; Supported standing hip external rotation; Seated hip external rotation with light band; 90/90 hip rotation transitions; Hip internal rotation with band (seated); Figure-4 glute stretch supine</x:v>
      </x:c>
      <x:c r="Q74" s="24" t="str">
        <x:v>Active/involved status varies with technique, loading, individual anatomy and fatigue.</x:v>
      </x:c>
    </x:row>
    <x:row r="75" ht="54" customHeight="1">
      <x:c r="A75" s="24" t="str">
        <x:v>Obturator internus</x:v>
      </x:c>
      <x:c r="B75" s="24" t="str">
        <x:v>Hip &amp; Gluteal</x:v>
      </x:c>
      <x:c r="C75" s="24" t="str">
        <x:v>Deep gluteal</x:v>
      </x:c>
      <x:c r="D75" s="24" t="str">
        <x:v>Nerve to obturator internus</x:v>
      </x:c>
      <x:c r="E75" s="24" t="str">
        <x:v>L5-S2</x:v>
      </x:c>
      <x:c r="F75" s="24" t="str">
        <x:v>Pelvic surface obturator membrane; adjacent pubis/ischium</x:v>
      </x:c>
      <x:c r="G75" s="24" t="str">
        <x:v>Medial surface greater trochanter</x:v>
      </x:c>
      <x:c r="H75" s="24" t="str">
        <x:v>Tendon bends around lesser sciatic notch</x:v>
      </x:c>
      <x:c r="I75" s="24" t="str">
        <x:v>Obturator membrane (fibrous membrane); sacrospinous ligament nearby</x:v>
      </x:c>
      <x:c r="J75" s="24" t="str">
        <x:v>Mixed Type I and Type II; ratio unverified</x:v>
      </x:c>
      <x:c r="K75" s="24" t="str">
        <x:v>EX0113; EX0115; EX0116; EX0139; EX0142</x:v>
      </x:c>
      <x:c r="L75" s="24" t="str">
        <x:v>—</x:v>
      </x:c>
      <x:c r="M75" s="24" t="str">
        <x:v>EX0117</x:v>
      </x:c>
      <x:c r="N75" s="24" t="str">
        <x:v>EX0132; EX0133; EX0139</x:v>
      </x:c>
      <x:c r="O75" s="24" t="str">
        <x:v>Active strength target (group or direct)</x:v>
      </x:c>
      <x:c r="P75" s="24" t="str">
        <x:v>Clamshell with resistance band; Supported standing hip external rotation; Seated hip external rotation with light band; 90/90 hip rotation transitions; Hip internal rotation with band (seated); Figure-4 glute stretch supine</x:v>
      </x:c>
      <x:c r="Q75" s="24" t="str">
        <x:v>Active/involved status varies with technique, loading, individual anatomy and fatigue.</x:v>
      </x:c>
    </x:row>
    <x:row r="76" ht="54" customHeight="1">
      <x:c r="A76" s="24" t="str">
        <x:v>Piriformis</x:v>
      </x:c>
      <x:c r="B76" s="24" t="str">
        <x:v>Hip &amp; Gluteal</x:v>
      </x:c>
      <x:c r="C76" s="24" t="str">
        <x:v>Deep gluteal</x:v>
      </x:c>
      <x:c r="D76" s="24" t="str">
        <x:v>Nerve to piriformis</x:v>
      </x:c>
      <x:c r="E76" s="24" t="str">
        <x:v>S1-S2</x:v>
      </x:c>
      <x:c r="F76" s="24" t="str">
        <x:v>Pelvic/anterior sacrum S2-S4; sacrotuberous ligament variable</x:v>
      </x:c>
      <x:c r="G76" s="24" t="str">
        <x:v>Superior border greater trochanter</x:v>
      </x:c>
      <x:c r="H76" s="24" t="str">
        <x:v>Piriformis insertion tendon</x:v>
      </x:c>
      <x:c r="I76" s="24" t="str">
        <x:v>Sacrotuberous ligament can contribute to origin</x:v>
      </x:c>
      <x:c r="J76" s="24" t="str">
        <x:v>Mixed Type I and Type II; ratio unverified</x:v>
      </x:c>
      <x:c r="K76" s="24" t="str">
        <x:v>EX0113; EX0115; EX0116; EX0139; EX0142</x:v>
      </x:c>
      <x:c r="L76" s="24" t="str">
        <x:v>—</x:v>
      </x:c>
      <x:c r="M76" s="24" t="str">
        <x:v>EX0117</x:v>
      </x:c>
      <x:c r="N76" s="24" t="str">
        <x:v>EX0132; EX0133; EX0139</x:v>
      </x:c>
      <x:c r="O76" s="24" t="str">
        <x:v>Active strength target (group or direct)</x:v>
      </x:c>
      <x:c r="P76" s="24" t="str">
        <x:v>Clamshell with resistance band; Supported standing hip external rotation; Seated hip external rotation with light band; 90/90 hip rotation transitions; Hip internal rotation with band (seated); Figure-4 glute stretch supine</x:v>
      </x:c>
      <x:c r="Q76" s="24" t="str">
        <x:v>Active/involved status varies with technique, loading, individual anatomy and fatigue.</x:v>
      </x:c>
    </x:row>
    <x:row r="77" ht="54" customHeight="1">
      <x:c r="A77" s="24" t="str">
        <x:v>Quadratus femoris</x:v>
      </x:c>
      <x:c r="B77" s="24" t="str">
        <x:v>Hip &amp; Gluteal</x:v>
      </x:c>
      <x:c r="C77" s="24" t="str">
        <x:v>Deep gluteal</x:v>
      </x:c>
      <x:c r="D77" s="24" t="str">
        <x:v>Nerve to quadratus femoris</x:v>
      </x:c>
      <x:c r="E77" s="24" t="str">
        <x:v>L4-S1</x:v>
      </x:c>
      <x:c r="F77" s="24" t="str">
        <x:v>Lateral border ischial tuberosity</x:v>
      </x:c>
      <x:c r="G77" s="24" t="str">
        <x:v>Quadrate tubercle of intertrochanteric crest</x:v>
      </x:c>
      <x:c r="H77" s="24" t="str">
        <x:v>Short femoral insertion tendon</x:v>
      </x:c>
      <x:c r="I77" s="24" t="str">
        <x:v>Ischiofemoral ligament posterior to hip joint nearby</x:v>
      </x:c>
      <x:c r="J77" s="24" t="str">
        <x:v>Mixed Type I and Type II; ratio unverified</x:v>
      </x:c>
      <x:c r="K77" s="24" t="str">
        <x:v>EX0113; EX0115; EX0116; EX0139; EX0142</x:v>
      </x:c>
      <x:c r="L77" s="24" t="str">
        <x:v>—</x:v>
      </x:c>
      <x:c r="M77" s="24" t="str">
        <x:v>EX0117</x:v>
      </x:c>
      <x:c r="N77" s="24" t="str">
        <x:v>EX0132; EX0133; EX0139</x:v>
      </x:c>
      <x:c r="O77" s="24" t="str">
        <x:v>Active strength target (group or direct)</x:v>
      </x:c>
      <x:c r="P77" s="24" t="str">
        <x:v>Clamshell with resistance band; Supported standing hip external rotation; Seated hip external rotation with light band; 90/90 hip rotation transitions; Hip internal rotation with band (seated); Figure-4 glute stretch supine</x:v>
      </x:c>
      <x:c r="Q77" s="24" t="str">
        <x:v>Active/involved status varies with technique, loading, individual anatomy and fatigue.</x:v>
      </x:c>
    </x:row>
    <x:row r="78" ht="54" customHeight="1">
      <x:c r="A78" s="24" t="str">
        <x:v>Superior gemellus</x:v>
      </x:c>
      <x:c r="B78" s="24" t="str">
        <x:v>Hip &amp; Gluteal</x:v>
      </x:c>
      <x:c r="C78" s="24" t="str">
        <x:v>Deep gluteal</x:v>
      </x:c>
      <x:c r="D78" s="24" t="str">
        <x:v>Nerve to obturator internus</x:v>
      </x:c>
      <x:c r="E78" s="24" t="str">
        <x:v>L5-S2</x:v>
      </x:c>
      <x:c r="F78" s="24" t="str">
        <x:v>Ischial spine</x:v>
      </x:c>
      <x:c r="G78" s="24" t="str">
        <x:v>Medial greater trochanter with obturator internus</x:v>
      </x:c>
      <x:c r="H78" s="24" t="str">
        <x:v>Common tendon with obturator internus</x:v>
      </x:c>
      <x:c r="I78" s="24" t="str">
        <x:v>Sacrospinous ligament attached to ischial spine nearby</x:v>
      </x:c>
      <x:c r="J78" s="24" t="str">
        <x:v>Mixed Type I and Type II; ratio unverified</x:v>
      </x:c>
      <x:c r="K78" s="24" t="str">
        <x:v>EX0113; EX0115; EX0116; EX0139; EX0142</x:v>
      </x:c>
      <x:c r="L78" s="24" t="str">
        <x:v>—</x:v>
      </x:c>
      <x:c r="M78" s="24" t="str">
        <x:v>EX0117</x:v>
      </x:c>
      <x:c r="N78" s="24" t="str">
        <x:v>EX0132; EX0133; EX0139</x:v>
      </x:c>
      <x:c r="O78" s="24" t="str">
        <x:v>Active strength target (group or direct)</x:v>
      </x:c>
      <x:c r="P78" s="24" t="str">
        <x:v>Clamshell with resistance band; Supported standing hip external rotation; Seated hip external rotation with light band; 90/90 hip rotation transitions; Hip internal rotation with band (seated); Figure-4 glute stretch supine</x:v>
      </x:c>
      <x:c r="Q78" s="24" t="str">
        <x:v>Active/involved status varies with technique, loading, individual anatomy and fatigue.</x:v>
      </x:c>
    </x:row>
    <x:row r="79" ht="54" customHeight="1">
      <x:c r="A79" s="24" t="str">
        <x:v>Obturator externus</x:v>
      </x:c>
      <x:c r="B79" s="24" t="str">
        <x:v>Hip &amp; Gluteal</x:v>
      </x:c>
      <x:c r="C79" s="24" t="str">
        <x:v>Deep hip</x:v>
      </x:c>
      <x:c r="D79" s="24" t="str">
        <x:v>Obturator nerve posterior division</x:v>
      </x:c>
      <x:c r="E79" s="24" t="str">
        <x:v>L3-L4</x:v>
      </x:c>
      <x:c r="F79" s="24" t="str">
        <x:v>External obturator membrane; adjacent pubis and ischium</x:v>
      </x:c>
      <x:c r="G79" s="24" t="str">
        <x:v>Trochanteric fossa femur</x:v>
      </x:c>
      <x:c r="H79" s="24" t="str">
        <x:v>Obturator externus tendon</x:v>
      </x:c>
      <x:c r="I79" s="24" t="str">
        <x:v>Obturator membrane direct origin</x:v>
      </x:c>
      <x:c r="J79" s="24" t="str">
        <x:v>Mixed Type I and Type II; ratio unverified</x:v>
      </x:c>
      <x:c r="K79" s="24" t="str">
        <x:v>EX0113; EX0115; EX0116; EX0139; EX0142</x:v>
      </x:c>
      <x:c r="L79" s="24" t="str">
        <x:v>—</x:v>
      </x:c>
      <x:c r="M79" s="24" t="str">
        <x:v>EX0117</x:v>
      </x:c>
      <x:c r="N79" s="24" t="str">
        <x:v>EX0132; EX0133; EX0139</x:v>
      </x:c>
      <x:c r="O79" s="24" t="str">
        <x:v>Active strength target (group or direct)</x:v>
      </x:c>
      <x:c r="P79" s="24" t="str">
        <x:v>Clamshell with resistance band; Supported standing hip external rotation; Seated hip external rotation with light band; 90/90 hip rotation transitions; Hip internal rotation with band (seated); Figure-4 glute stretch supine</x:v>
      </x:c>
      <x:c r="Q79" s="24" t="str">
        <x:v>Active/involved status varies with technique, loading, individual anatomy and fatigue.</x:v>
      </x:c>
    </x:row>
    <x:row r="80" ht="54" customHeight="1">
      <x:c r="A80" s="24" t="str">
        <x:v>Iliacus</x:v>
      </x:c>
      <x:c r="B80" s="24" t="str">
        <x:v>Hip &amp; Gluteal</x:v>
      </x:c>
      <x:c r="C80" s="24" t="str">
        <x:v>Iliopsoas</x:v>
      </x:c>
      <x:c r="D80" s="24" t="str">
        <x:v>Femoral nerve</x:v>
      </x:c>
      <x:c r="E80" s="24" t="str">
        <x:v>L2-L3</x:v>
      </x:c>
      <x:c r="F80" s="24" t="str">
        <x:v>Iliac fossa; iliac crest; ala sacrum</x:v>
      </x:c>
      <x:c r="G80" s="24" t="str">
        <x:v>Lesser trochanter with psoas major</x:v>
      </x:c>
      <x:c r="H80" s="24" t="str">
        <x:v>Iliopsoas shared tendon</x:v>
      </x:c>
      <x:c r="I80" s="24" t="str">
        <x:v>Inguinal ligament crosses tendon anteriorly (not attachment)</x:v>
      </x:c>
      <x:c r="J80" s="24" t="str">
        <x:v>Mixed Type I and Type II; ratio unverified</x:v>
      </x:c>
      <x:c r="K80" s="24" t="str">
        <x:v>EX0119; EX0120; EX0121; EX0122; EX0140; EX0164; EX0248</x:v>
      </x:c>
      <x:c r="L80" s="24" t="str">
        <x:v>EX0143; EX0185; EX0237; EX0238; EX0239; EX0241</x:v>
      </x:c>
      <x:c r="M80" s="24" t="str">
        <x:v>—</x:v>
      </x:c>
      <x:c r="N80" s="24" t="str">
        <x:v>EX0134; EX0140; EX0181</x:v>
      </x:c>
      <x:c r="O80" s="24" t="str">
        <x:v>Active strength target (group or direct)</x:v>
      </x:c>
      <x:c r="P80" s="24" t="str">
        <x:v>Standing band hip flexion march; Supine straight-leg raise; Standing cable knee drive; Seated resisted hip flexion with band; Single-leg balance with opposite knee lift; Supported standing sartorius pattern</x:v>
      </x:c>
      <x:c r="Q80" s="24" t="str">
        <x:v>Active/involved status varies with technique, loading, individual anatomy and fatigue.</x:v>
      </x:c>
    </x:row>
    <x:row r="81" ht="54" customHeight="1">
      <x:c r="A81" s="24" t="str">
        <x:v>Psoas major</x:v>
      </x:c>
      <x:c r="B81" s="24" t="str">
        <x:v>Hip &amp; Gluteal</x:v>
      </x:c>
      <x:c r="C81" s="24" t="str">
        <x:v>Iliopsoas</x:v>
      </x:c>
      <x:c r="D81" s="24" t="str">
        <x:v>Direct anterior rami lumbar spinal nerves</x:v>
      </x:c>
      <x:c r="E81" s="24" t="str">
        <x:v>L1-L3 (often L1-L4)</x:v>
      </x:c>
      <x:c r="F81" s="24" t="str">
        <x:v>Vertebral bodies/discs T12-L5 and transverse processes L1-L5</x:v>
      </x:c>
      <x:c r="G81" s="24" t="str">
        <x:v>Lesser trochanter via iliopsoas tendon</x:v>
      </x:c>
      <x:c r="H81" s="24" t="str">
        <x:v>Iliopsoas shared tendon</x:v>
      </x:c>
      <x:c r="I81" s="24" t="str">
        <x:v>Iliolumbar ligament nearby; not a standard tendon attachment</x:v>
      </x:c>
      <x:c r="J81" s="24" t="str">
        <x:v>Mixed Type I and Type II; ratio unverified</x:v>
      </x:c>
      <x:c r="K81" s="24" t="str">
        <x:v>EX0119; EX0120; EX0121; EX0122; EX0140; EX0164; EX0248</x:v>
      </x:c>
      <x:c r="L81" s="24" t="str">
        <x:v>EX0143; EX0185; EX0237; EX0238; EX0239; EX0241</x:v>
      </x:c>
      <x:c r="M81" s="24" t="str">
        <x:v>—</x:v>
      </x:c>
      <x:c r="N81" s="24" t="str">
        <x:v>EX0134; EX0140; EX0181</x:v>
      </x:c>
      <x:c r="O81" s="24" t="str">
        <x:v>Active strength target (group or direct)</x:v>
      </x:c>
      <x:c r="P81" s="24" t="str">
        <x:v>Standing band hip flexion march; Supine straight-leg raise; Standing cable knee drive; Seated resisted hip flexion with band; Single-leg balance with opposite knee lift; Supported standing sartorius pattern</x:v>
      </x:c>
      <x:c r="Q81" s="24" t="str">
        <x:v>Active/involved status varies with technique, loading, individual anatomy and fatigue.</x:v>
      </x:c>
    </x:row>
    <x:row r="82" ht="54" customHeight="1">
      <x:c r="A82" s="24" t="str">
        <x:v>Psoas minor (variable/absent)</x:v>
      </x:c>
      <x:c r="B82" s="24" t="str">
        <x:v>Hip &amp; Gluteal</x:v>
      </x:c>
      <x:c r="C82" s="24" t="str">
        <x:v>Iliopsoas accessory</x:v>
      </x:c>
      <x:c r="D82" s="24" t="str">
        <x:v>Anterior ramus L1</x:v>
      </x:c>
      <x:c r="E82" s="24" t="str">
        <x:v>L1</x:v>
      </x:c>
      <x:c r="F82" s="24" t="str">
        <x:v>Bodies/disc T12-L1</x:v>
      </x:c>
      <x:c r="G82" s="24" t="str">
        <x:v>Iliopectineal eminence and iliac fascia</x:v>
      </x:c>
      <x:c r="H82" s="24" t="str">
        <x:v>Long psoas minor tendon</x:v>
      </x:c>
      <x:c r="I82" s="24" t="str">
        <x:v>Iliopubic tract nearby, not direct insertion</x:v>
      </x:c>
      <x:c r="J82" s="24" t="str">
        <x:v>Mixed Type I and Type II; ratio unverified</x:v>
      </x:c>
      <x:c r="K82" s="24" t="str">
        <x:v>—</x:v>
      </x:c>
      <x:c r="L82" s="24" t="str">
        <x:v>—</x:v>
      </x:c>
      <x:c r="M82" s="24" t="str">
        <x:v>—</x:v>
      </x:c>
      <x:c r="N82" s="24" t="str">
        <x:v>—</x:v>
      </x:c>
      <x:c r="O82" s="24" t="str">
        <x:v>No suitable self-directed exercise</x:v>
      </x:c>
      <x:c r="P82" s="24" t="str">
        <x:v>—</x:v>
      </x:c>
      <x:c r="Q82" s="24" t="str">
        <x:v>Variable/absent; no selective proven exercise. May act weakly with lumbopelvic flexion when present.</x:v>
      </x:c>
    </x:row>
    <x:row r="83" ht="54" customHeight="1">
      <x:c r="A83" s="24" t="str">
        <x:v>Tensor fasciae latae</x:v>
      </x:c>
      <x:c r="B83" s="24" t="str">
        <x:v>Hip &amp; Gluteal</x:v>
      </x:c>
      <x:c r="C83" s="24" t="str">
        <x:v>Lateral hip</x:v>
      </x:c>
      <x:c r="D83" s="24" t="str">
        <x:v>Superior gluteal nerve</x:v>
      </x:c>
      <x:c r="E83" s="24" t="str">
        <x:v>L4-S1</x:v>
      </x:c>
      <x:c r="F83" s="24" t="str">
        <x:v>ASIS and anterior iliac crest</x:v>
      </x:c>
      <x:c r="G83" s="24" t="str">
        <x:v>Iliotibial tract (lateral tibial condyle)</x:v>
      </x:c>
      <x:c r="H83" s="24" t="str">
        <x:v>Iliotibial tract (fascial thickening)</x:v>
      </x:c>
      <x:c r="I83" s="24" t="str">
        <x:v>IT tract is fascia, not a ligament; capsule nearby</x:v>
      </x:c>
      <x:c r="J83" s="24" t="str">
        <x:v>Mixed Type I and Type II; ratio unverified</x:v>
      </x:c>
      <x:c r="K83" s="24" t="str">
        <x:v>EX0104; EX0108; EX0109; EX0110; EX0111; EX0112; EX0113; EX0114; EX0117; EX0118; EX0119; EX0120; EX0121; EX0124; EX0140; EX0141; EX0142; EX0143; EX0155; EX0164; EX0186; EX0248</x:v>
      </x:c>
      <x:c r="L83" s="24" t="str">
        <x:v>EX0154; EX0185; EX0235; EX0236; EX0237; EX0238; EX0239; EX0241</x:v>
      </x:c>
      <x:c r="M83" s="24" t="str">
        <x:v>EX0102; EX0103; EX0105; EX0106; EX0107; EX0115; EX0116; EX0127; EX0128; EX0130; EX0144; EX0145; EX0146; EX0148; EX0150; EX0151; EX0152; EX0153; EX0156; EX0157; EX0158; EX0163; EX0172; EX0179; EX0190; EX0206; EX0218; EX0219; EX0229; EX0230; EX0243; EX0244; EX0245; EX0246; EX0247; EX0250; EX0251; EX0258; EX0261; EX0281; EX0374</x:v>
      </x:c>
      <x:c r="N83" s="24" t="str">
        <x:v>EX0136; EX0140; EX0141</x:v>
      </x:c>
      <x:c r="O83" s="24" t="str">
        <x:v>Active strength target (group or direct)</x:v>
      </x:c>
      <x:c r="P83" s="24" t="str">
        <x:v>Banded glute bridge with abduction; Side-lying hip abduction; Standing band lateral walk; Monster walk with resistance band; Lateral lunge; Supported standing sartorius pattern</x:v>
      </x:c>
      <x:c r="Q83" s="24" t="str">
        <x:v>Active/involved status varies with technique, loading, individual anatomy and fatigue.</x:v>
      </x:c>
    </x:row>
    <x:row r="84" ht="54" customHeight="1">
      <x:c r="A84" s="24" t="str">
        <x:v>Gluteus maximus</x:v>
      </x:c>
      <x:c r="B84" s="24" t="str">
        <x:v>Hip &amp; Gluteal</x:v>
      </x:c>
      <x:c r="C84" s="24" t="str">
        <x:v>Superficial gluteal</x:v>
      </x:c>
      <x:c r="D84" s="24" t="str">
        <x:v>Inferior gluteal nerve</x:v>
      </x:c>
      <x:c r="E84" s="24" t="str">
        <x:v>L5-S2</x:v>
      </x:c>
      <x:c r="F84" s="24" t="str">
        <x:v>Posterior ilium; sacrum; coccyx; sacrotuberous ligament</x:v>
      </x:c>
      <x:c r="G84" s="24" t="str">
        <x:v>Iliotibial tract and gluteal tuberosity femur</x:v>
      </x:c>
      <x:c r="H84" s="24" t="str">
        <x:v>Iliotibial tract aponeurosis and gluteal tendon</x:v>
      </x:c>
      <x:c r="I84" s="24" t="str">
        <x:v>Sacrotuberous ligament direct origin; IT tract is fascia</x:v>
      </x:c>
      <x:c r="J84" s="24" t="str">
        <x:v>Mixed Type I and Type II; ratio unverified</x:v>
      </x:c>
      <x:c r="K84" s="24" t="str">
        <x:v>EX0102; EX0103; EX0104; EX0105; EX0106; EX0107; EX0110; EX0129; EX0130; EX0131; EX0138; EX0140; EX0144; EX0145; EX0146; EX0147; EX0148; EX0149; EX0150; EX0151; EX0152; EX0153; EX0154; EX0155; EX0156; EX0157; EX0158; EX0170; EX0171; EX0172; EX0173; EX0174; EX0175; EX0176; EX0258; EX0259; EX0273; EX0365; EX0369</x:v>
      </x:c>
      <x:c r="L84" s="24" t="str">
        <x:v>EX0109; EX0112; EX0115; EX0116; EX0142; EX0159; EX0160; EX0166; EX0233; EX0260; EX0281</x:v>
      </x:c>
      <x:c r="M84" s="24" t="str">
        <x:v>EX0165; EX0167; EX0188; EX0264</x:v>
      </x:c>
      <x:c r="N84" s="24" t="str">
        <x:v>EX0132; EX0280</x:v>
      </x:c>
      <x:c r="O84" s="24" t="str">
        <x:v>Active strength target (group or direct)</x:v>
      </x:c>
      <x:c r="P84" s="24" t="str">
        <x:v>Bodyweight glute bridge; Single-leg glute bridge; Banded glute bridge with abduction; Hip thrust with dumbbell; Standing band lateral walk; Hip abduction machine</x:v>
      </x:c>
      <x:c r="Q84" s="24" t="str">
        <x:v>Active/involved status varies with technique, loading, individual anatomy and fatigue.</x:v>
      </x:c>
    </x:row>
    <x:row r="85" ht="54" customHeight="1">
      <x:c r="A85" s="24" t="str">
        <x:v>Gluteus medius</x:v>
      </x:c>
      <x:c r="B85" s="24" t="str">
        <x:v>Hip &amp; Gluteal</x:v>
      </x:c>
      <x:c r="C85" s="24" t="str">
        <x:v>Superficial gluteal</x:v>
      </x:c>
      <x:c r="D85" s="24" t="str">
        <x:v>Superior gluteal nerve</x:v>
      </x:c>
      <x:c r="E85" s="24" t="str">
        <x:v>L4-S1</x:v>
      </x:c>
      <x:c r="F85" s="24" t="str">
        <x:v>External ilium between anterior and posterior gluteal lines</x:v>
      </x:c>
      <x:c r="G85" s="24" t="str">
        <x:v>Lateral surface greater trochanter</x:v>
      </x:c>
      <x:c r="H85" s="24" t="str">
        <x:v>Gluteus medius tendon</x:v>
      </x:c>
      <x:c r="I85" s="24" t="str">
        <x:v>Iliofemoral ligament adjacent to joint, not direct origin</x:v>
      </x:c>
      <x:c r="J85" s="24" t="str">
        <x:v>Mixed Type I and Type II; ratio unverified</x:v>
      </x:c>
      <x:c r="K85" s="24" t="str">
        <x:v>EX0104; EX0108; EX0109; EX0110; EX0111; EX0112; EX0113; EX0114; EX0117; EX0123; EX0124; EX0138; EX0139; EX0141; EX0142; EX0143; EX0155; EX0365</x:v>
      </x:c>
      <x:c r="L85" s="24" t="str">
        <x:v>EX0118; EX0154; EX0235; EX0236</x:v>
      </x:c>
      <x:c r="M85" s="24" t="str">
        <x:v>EX0102; EX0103; EX0105; EX0106; EX0107; EX0115; EX0116; EX0119; EX0121; EX0127; EX0128; EX0130; EX0140; EX0144; EX0145; EX0146; EX0148; EX0150; EX0151; EX0152; EX0153; EX0156; EX0157; EX0158; EX0163; EX0172; EX0179; EX0185; EX0190; EX0206; EX0218; EX0219; EX0229; EX0230; EX0243; EX0244; EX0245; EX0246; EX0247; EX0250; EX0251; EX0258; EX0261; EX0264; EX0281; EX0374</x:v>
      </x:c>
      <x:c r="N85" s="24" t="str">
        <x:v>EX0136; EX0141</x:v>
      </x:c>
      <x:c r="O85" s="24" t="str">
        <x:v>Active strength target (group or direct)</x:v>
      </x:c>
      <x:c r="P85" s="24" t="str">
        <x:v>Banded glute bridge with abduction; Side-lying hip abduction; Standing band lateral walk; Monster walk with resistance band; Cable hip internal rotation; Lateral lunge</x:v>
      </x:c>
      <x:c r="Q85" s="24" t="str">
        <x:v>Active/involved status varies with technique, loading, individual anatomy and fatigue.</x:v>
      </x:c>
    </x:row>
    <x:row r="86" ht="54" customHeight="1">
      <x:c r="A86" s="24" t="str">
        <x:v>Sartorius</x:v>
      </x:c>
      <x:c r="B86" s="24" t="str">
        <x:v>Thigh</x:v>
      </x:c>
      <x:c r="C86" s="24" t="str">
        <x:v>Anterior thigh</x:v>
      </x:c>
      <x:c r="D86" s="24" t="str">
        <x:v>Femoral nerve</x:v>
      </x:c>
      <x:c r="E86" s="24" t="str">
        <x:v>L2-L3</x:v>
      </x:c>
      <x:c r="F86" s="24" t="str">
        <x:v>Anterior superior iliac spine</x:v>
      </x:c>
      <x:c r="G86" s="24" t="str">
        <x:v>Superomedial tibia via pes anserinus</x:v>
      </x:c>
      <x:c r="H86" s="24" t="str">
        <x:v>Pes anserinus superficial tendon</x:v>
      </x:c>
      <x:c r="I86" s="24" t="str">
        <x:v>Medial collateral ligament of knee lies deep to pes anserinus</x:v>
      </x:c>
      <x:c r="J86" s="24" t="str">
        <x:v>Mixed Type I and Type II; ratio unverified</x:v>
      </x:c>
      <x:c r="K86" s="24" t="str">
        <x:v>EX0119; EX0120; EX0121; EX0122; EX0140; EX0164; EX0185; EX0186; EX0248</x:v>
      </x:c>
      <x:c r="L86" s="24" t="str">
        <x:v>EX0143; EX0237; EX0238; EX0239; EX0241</x:v>
      </x:c>
      <x:c r="M86" s="24" t="str">
        <x:v>—</x:v>
      </x:c>
      <x:c r="N86" s="24" t="str">
        <x:v>EX0140</x:v>
      </x:c>
      <x:c r="O86" s="24" t="str">
        <x:v>Active strength target (group or direct)</x:v>
      </x:c>
      <x:c r="P86" s="24" t="str">
        <x:v>Standing band hip flexion march; Supine straight-leg raise; Standing cable knee drive; Seated resisted hip flexion with band; Single-leg balance with opposite knee lift; Dead bug alternating arm-leg</x:v>
      </x:c>
      <x:c r="Q86" s="24" t="str">
        <x:v>Active/involved status varies with technique, loading, individual anatomy and fatigue.</x:v>
      </x:c>
    </x:row>
    <x:row r="87" ht="54" customHeight="1">
      <x:c r="A87" s="24" t="str">
        <x:v>Rectus femoris reflected head</x:v>
      </x:c>
      <x:c r="B87" s="24" t="str">
        <x:v>Thigh</x:v>
      </x:c>
      <x:c r="C87" s="24" t="str">
        <x:v>Anterior thigh quadriceps</x:v>
      </x:c>
      <x:c r="D87" s="24" t="str">
        <x:v>Femoral nerve</x:v>
      </x:c>
      <x:c r="E87" s="24" t="str">
        <x:v>L2-L4</x:v>
      </x:c>
      <x:c r="F87" s="24" t="str">
        <x:v>Supra-acetabular groove and hip capsule</x:v>
      </x:c>
      <x:c r="G87" s="24" t="str">
        <x:v>Patella then tibial tuberosity via patellar ligament</x:v>
      </x:c>
      <x:c r="H87" s="24" t="str">
        <x:v>Reflected proximal tendon; quadriceps tendon</x:v>
      </x:c>
      <x:c r="I87" s="24" t="str">
        <x:v>Hip capsule origin and patellar ligament distal continuation</x:v>
      </x:c>
      <x:c r="J87" s="24" t="str">
        <x:v>Mixed Type I and Type II; ratio unverified</x:v>
      </x:c>
      <x:c r="K87" s="24" t="str">
        <x:v>EX0119; EX0120; EX0121; EX0140; EX0144; EX0145; EX0146; EX0147; EX0148; EX0149; EX0150; EX0151; EX0152; EX0153; EX0154; EX0156; EX0157; EX0158; EX0159; EX0160; EX0161; EX0162; EX0163; EX0164; EX0173; EX0174; EX0184; EX0188; EX0248</x:v>
      </x:c>
      <x:c r="L87" s="24" t="str">
        <x:v>EX0110; EX0122; EX0143; EX0155; EX0179; EX0183; EX0185; EX0186; EX0237; EX0238; EX0239; EX0241</x:v>
      </x:c>
      <x:c r="M87" s="24" t="str">
        <x:v>EX0109</x:v>
      </x:c>
      <x:c r="N87" s="24" t="str">
        <x:v>EX0134; EX0135; EX0140; EX0179; EX0180; EX0181; EX0183; EX0188</x:v>
      </x:c>
      <x:c r="O87" s="24" t="str">
        <x:v>Active strength target (group or direct)</x:v>
      </x:c>
      <x:c r="P87" s="24" t="str">
        <x:v>Standing band hip flexion march; Supine straight-leg raise; Standing cable knee drive; Standing dynamic leg swing front-back; Monster walk with resistance band; Seated resisted hip flexion with band</x:v>
      </x:c>
      <x:c r="Q87" s="24" t="str">
        <x:v>Active/involved status varies with technique, loading, individual anatomy and fatigue.</x:v>
      </x:c>
    </x:row>
    <x:row r="88" ht="54" customHeight="1">
      <x:c r="A88" s="24" t="str">
        <x:v>Rectus femoris straight head</x:v>
      </x:c>
      <x:c r="B88" s="24" t="str">
        <x:v>Thigh</x:v>
      </x:c>
      <x:c r="C88" s="24" t="str">
        <x:v>Anterior thigh quadriceps</x:v>
      </x:c>
      <x:c r="D88" s="24" t="str">
        <x:v>Femoral nerve</x:v>
      </x:c>
      <x:c r="E88" s="24" t="str">
        <x:v>L2-L4</x:v>
      </x:c>
      <x:c r="F88" s="24" t="str">
        <x:v>Anterior inferior iliac spine</x:v>
      </x:c>
      <x:c r="G88" s="24" t="str">
        <x:v>Patella and tibial tuberosity via patellar ligament</x:v>
      </x:c>
      <x:c r="H88" s="24" t="str">
        <x:v>Quadriceps tendon; patellar ligament continuation</x:v>
      </x:c>
      <x:c r="I88" s="24" t="str">
        <x:v>Patellar ligament directly transmits quadriceps force</x:v>
      </x:c>
      <x:c r="J88" s="24" t="str">
        <x:v>Mixed Type I and Type II; ratio unverified</x:v>
      </x:c>
      <x:c r="K88" s="24" t="str">
        <x:v>EX0119; EX0120; EX0121; EX0140; EX0144; EX0145; EX0146; EX0147; EX0148; EX0149; EX0150; EX0151; EX0152; EX0153; EX0154; EX0156; EX0157; EX0158; EX0159; EX0160; EX0161; EX0162; EX0163; EX0164; EX0173; EX0174; EX0184; EX0188; EX0248</x:v>
      </x:c>
      <x:c r="L88" s="24" t="str">
        <x:v>EX0110; EX0122; EX0143; EX0155; EX0179; EX0183; EX0185; EX0186; EX0237; EX0238; EX0239; EX0241</x:v>
      </x:c>
      <x:c r="M88" s="24" t="str">
        <x:v>EX0109</x:v>
      </x:c>
      <x:c r="N88" s="24" t="str">
        <x:v>EX0134; EX0135; EX0140; EX0179; EX0180; EX0181; EX0183; EX0188</x:v>
      </x:c>
      <x:c r="O88" s="24" t="str">
        <x:v>Active strength target (group or direct)</x:v>
      </x:c>
      <x:c r="P88" s="24" t="str">
        <x:v>Standing band hip flexion march; Supine straight-leg raise; Standing cable knee drive; Standing dynamic leg swing front-back; Monster walk with resistance band; Seated resisted hip flexion with band</x:v>
      </x:c>
      <x:c r="Q88" s="24" t="str">
        <x:v>Active/involved status varies with technique, loading, individual anatomy and fatigue.</x:v>
      </x:c>
    </x:row>
    <x:row r="89" ht="54" customHeight="1">
      <x:c r="A89" s="24" t="str">
        <x:v>Vastus intermedius</x:v>
      </x:c>
      <x:c r="B89" s="24" t="str">
        <x:v>Thigh</x:v>
      </x:c>
      <x:c r="C89" s="24" t="str">
        <x:v>Anterior thigh quadriceps</x:v>
      </x:c>
      <x:c r="D89" s="24" t="str">
        <x:v>Femoral nerve</x:v>
      </x:c>
      <x:c r="E89" s="24" t="str">
        <x:v>L2-L4</x:v>
      </x:c>
      <x:c r="F89" s="24" t="str">
        <x:v>Anterior/lateral proximal two-thirds femoral shaft</x:v>
      </x:c>
      <x:c r="G89" s="24" t="str">
        <x:v>Patella via quadriceps tendon; tibial tuberosity via patellar ligament</x:v>
      </x:c>
      <x:c r="H89" s="24" t="str">
        <x:v>Deep quadriceps tendon</x:v>
      </x:c>
      <x:c r="I89" s="24" t="str">
        <x:v>Patellar ligament distal continuation</x:v>
      </x:c>
      <x:c r="J89" s="24" t="str">
        <x:v>Mixed Type I and Type II; ratio unverified</x:v>
      </x:c>
      <x:c r="K89" s="24" t="str">
        <x:v>EX0120; EX0144; EX0145; EX0146; EX0147; EX0148; EX0149; EX0150; EX0151; EX0152; EX0153; EX0154; EX0156; EX0157; EX0158; EX0159; EX0160; EX0161; EX0162; EX0163; EX0164; EX0173; EX0174; EX0184; EX0188</x:v>
      </x:c>
      <x:c r="L89" s="24" t="str">
        <x:v>EX0110; EX0121; EX0155; EX0179; EX0183; EX0186</x:v>
      </x:c>
      <x:c r="M89" s="24" t="str">
        <x:v>EX0109</x:v>
      </x:c>
      <x:c r="N89" s="24" t="str">
        <x:v>EX0135; EX0179; EX0180; EX0183</x:v>
      </x:c>
      <x:c r="O89" s="24" t="str">
        <x:v>Active strength target (group or direct)</x:v>
      </x:c>
      <x:c r="P89" s="24" t="str">
        <x:v>Supine straight-leg raise; Bodyweight squat; Sit-to-stand from chair; Box squat with dumbbell; Monster walk with resistance band; Standing cable knee drive</x:v>
      </x:c>
      <x:c r="Q89" s="24" t="str">
        <x:v>Active/involved status varies with technique, loading, individual anatomy and fatigue.</x:v>
      </x:c>
    </x:row>
    <x:row r="90" ht="54" customHeight="1">
      <x:c r="A90" s="24" t="str">
        <x:v>Vastus lateralis</x:v>
      </x:c>
      <x:c r="B90" s="24" t="str">
        <x:v>Thigh</x:v>
      </x:c>
      <x:c r="C90" s="24" t="str">
        <x:v>Anterior thigh quadriceps</x:v>
      </x:c>
      <x:c r="D90" s="24" t="str">
        <x:v>Femoral nerve</x:v>
      </x:c>
      <x:c r="E90" s="24" t="str">
        <x:v>L2-L4</x:v>
      </x:c>
      <x:c r="F90" s="24" t="str">
        <x:v>Greater trochanter; lateral lip linea aspera</x:v>
      </x:c>
      <x:c r="G90" s="24" t="str">
        <x:v>Patella via quadriceps tendon; tibial tuberosity via patellar ligament</x:v>
      </x:c>
      <x:c r="H90" s="24" t="str">
        <x:v>Quadriceps tendon and lateral retinaculum</x:v>
      </x:c>
      <x:c r="I90" s="24" t="str">
        <x:v>Patellar ligament is distal continuation</x:v>
      </x:c>
      <x:c r="J90" s="24" t="str">
        <x:v>Mixed Type I and Type II; ratio unverified</x:v>
      </x:c>
      <x:c r="K90" s="24" t="str">
        <x:v>EX0120; EX0144; EX0145; EX0146; EX0147; EX0148; EX0149; EX0150; EX0151; EX0152; EX0153; EX0154; EX0156; EX0157; EX0158; EX0159; EX0160; EX0161; EX0162; EX0163; EX0164; EX0173; EX0174; EX0184; EX0188</x:v>
      </x:c>
      <x:c r="L90" s="24" t="str">
        <x:v>EX0110; EX0121; EX0155; EX0179; EX0183; EX0186</x:v>
      </x:c>
      <x:c r="M90" s="24" t="str">
        <x:v>EX0109</x:v>
      </x:c>
      <x:c r="N90" s="24" t="str">
        <x:v>EX0135; EX0179; EX0180; EX0183</x:v>
      </x:c>
      <x:c r="O90" s="24" t="str">
        <x:v>Active strength target (group or direct)</x:v>
      </x:c>
      <x:c r="P90" s="24" t="str">
        <x:v>Supine straight-leg raise; Bodyweight squat; Sit-to-stand from chair; Box squat with dumbbell; Monster walk with resistance band; Standing cable knee drive</x:v>
      </x:c>
      <x:c r="Q90" s="24" t="str">
        <x:v>Active/involved status varies with technique, loading, individual anatomy and fatigue.</x:v>
      </x:c>
    </x:row>
    <x:row r="91" ht="54" customHeight="1">
      <x:c r="A91" s="24" t="str">
        <x:v>Vastus medialis</x:v>
      </x:c>
      <x:c r="B91" s="24" t="str">
        <x:v>Thigh</x:v>
      </x:c>
      <x:c r="C91" s="24" t="str">
        <x:v>Anterior thigh quadriceps</x:v>
      </x:c>
      <x:c r="D91" s="24" t="str">
        <x:v>Femoral nerve</x:v>
      </x:c>
      <x:c r="E91" s="24" t="str">
        <x:v>L2-L4</x:v>
      </x:c>
      <x:c r="F91" s="24" t="str">
        <x:v>Intertrochanteric line; medial lip linea aspera</x:v>
      </x:c>
      <x:c r="G91" s="24" t="str">
        <x:v>Patella via quadriceps tendon; tibial tuberosity via patellar ligament</x:v>
      </x:c>
      <x:c r="H91" s="24" t="str">
        <x:v>Quadriceps tendon; medial patellar retinaculum</x:v>
      </x:c>
      <x:c r="I91" s="24" t="str">
        <x:v>Medial patellofemoral ligament adjacent to VM oblique fibers</x:v>
      </x:c>
      <x:c r="J91" s="24" t="str">
        <x:v>Mixed Type I and Type II; ratio unverified</x:v>
      </x:c>
      <x:c r="K91" s="24" t="str">
        <x:v>EX0120; EX0144; EX0145; EX0146; EX0147; EX0148; EX0149; EX0150; EX0151; EX0152; EX0153; EX0154; EX0156; EX0157; EX0158; EX0159; EX0160; EX0161; EX0162; EX0163; EX0164; EX0173; EX0174; EX0184; EX0188</x:v>
      </x:c>
      <x:c r="L91" s="24" t="str">
        <x:v>EX0110; EX0121; EX0155; EX0179; EX0183; EX0186</x:v>
      </x:c>
      <x:c r="M91" s="24" t="str">
        <x:v>EX0109</x:v>
      </x:c>
      <x:c r="N91" s="24" t="str">
        <x:v>EX0135; EX0179; EX0180; EX0183</x:v>
      </x:c>
      <x:c r="O91" s="24" t="str">
        <x:v>Active strength target (group or direct)</x:v>
      </x:c>
      <x:c r="P91" s="24" t="str">
        <x:v>Supine straight-leg raise; Bodyweight squat; Sit-to-stand from chair; Box squat with dumbbell; Monster walk with resistance band; Standing cable knee drive</x:v>
      </x:c>
      <x:c r="Q91" s="24" t="str">
        <x:v>Active/involved status varies with technique, loading, individual anatomy and fatigue.</x:v>
      </x:c>
    </x:row>
    <x:row r="92" ht="54" customHeight="1">
      <x:c r="A92" s="24" t="str">
        <x:v>Articularis genus</x:v>
      </x:c>
      <x:c r="B92" s="24" t="str">
        <x:v>Thigh</x:v>
      </x:c>
      <x:c r="C92" s="24" t="str">
        <x:v>Deep anterior thigh</x:v>
      </x:c>
      <x:c r="D92" s="24" t="str">
        <x:v>Femoral nerve</x:v>
      </x:c>
      <x:c r="E92" s="24" t="str">
        <x:v>L2-L4</x:v>
      </x:c>
      <x:c r="F92" s="24" t="str">
        <x:v>Distal anterior femoral shaft</x:v>
      </x:c>
      <x:c r="G92" s="24" t="str">
        <x:v>Suprapatellar bursa and knee joint capsule</x:v>
      </x:c>
      <x:c r="H92" s="24" t="str">
        <x:v>Short capsular insertion slips</x:v>
      </x:c>
      <x:c r="I92" s="24" t="str">
        <x:v>Suprapatellar joint capsule associated</x:v>
      </x:c>
      <x:c r="J92" s="24" t="str">
        <x:v>Mixed Type I and Type II; ratio unverified</x:v>
      </x:c>
      <x:c r="K92" s="24" t="str">
        <x:v>—</x:v>
      </x:c>
      <x:c r="L92" s="24" t="str">
        <x:v>EX0163; EX0184</x:v>
      </x:c>
      <x:c r="M92" s="24" t="str">
        <x:v>EX0161; EX0162</x:v>
      </x:c>
      <x:c r="N92" s="24" t="str">
        <x:v>—</x:v>
      </x:c>
      <x:c r="O92" s="24" t="str">
        <x:v>Assists active movement</x:v>
      </x:c>
      <x:c r="P92" s="24" t="str">
        <x:v>Terminal knee extension with band; Knee extension active range; Leg extension machine; Short-arc quad over rolled towel</x:v>
      </x:c>
      <x:c r="Q92" s="24" t="str">
        <x:v>Tiny capsular retractor; loading is indirect, not a stand-alone hypertrophy drill.</x:v>
      </x:c>
    </x:row>
    <x:row r="93" ht="54" customHeight="1">
      <x:c r="A93" s="24" t="str">
        <x:v>Adductor minimus (proximal magnus subdivision)</x:v>
      </x:c>
      <x:c r="B93" s="24" t="str">
        <x:v>Thigh</x:v>
      </x:c>
      <x:c r="C93" s="24" t="str">
        <x:v>Deep medial thigh</x:v>
      </x:c>
      <x:c r="D93" s="24" t="str">
        <x:v>Obturator nerve posterior division</x:v>
      </x:c>
      <x:c r="E93" s="24" t="str">
        <x:v>L2-L4</x:v>
      </x:c>
      <x:c r="F93" s="24" t="str">
        <x:v>Ischiopubic ramus</x:v>
      </x:c>
      <x:c r="G93" s="24" t="str">
        <x:v>Gluteal tuberosity and upper linea aspera</x:v>
      </x:c>
      <x:c r="H93" s="24" t="str">
        <x:v>Broad short insertion</x:v>
      </x:c>
      <x:c r="I93" s="24" t="str">
        <x:v>No specific direct ligament attachment</x:v>
      </x:c>
      <x:c r="J93" s="24" t="str">
        <x:v>Mixed Type I and Type II; ratio unverified</x:v>
      </x:c>
      <x:c r="K93" s="24" t="str">
        <x:v>EX0125; EX0126; EX0127; EX0128; EX0141; EX0154; EX0174; EX0187; EX0365</x:v>
      </x:c>
      <x:c r="L93" s="24" t="str">
        <x:v>EX0102; EX0105; EX0129; EX0139; EX0144; EX0146; EX0147; EX0149; EX0150; EX0151; EX0152; EX0153; EX0155; EX0170; EX0171; EX0172; EX0173</x:v>
      </x:c>
      <x:c r="M93" s="24" t="str">
        <x:v>—</x:v>
      </x:c>
      <x:c r="N93" s="24" t="str">
        <x:v>EX0137; EX0138; EX0141; EX0154; EX0182; EX0365; EX0366; EX0367</x:v>
      </x:c>
      <x:c r="O93" s="24" t="str">
        <x:v>Active strength target (group or direct)</x:v>
      </x:c>
      <x:c r="P93" s="24" t="str">
        <x:v>Adductor ball squeeze; Side-lying adductor raise; Cable standing hip adduction; Copenhagen adduction (short lever); Bodyweight glute bridge; Hip thrust with dumbbell</x:v>
      </x:c>
      <x:c r="Q93" s="24" t="str">
        <x:v>Active/involved status varies with technique, loading, individual anatomy and fatigue.</x:v>
      </x:c>
    </x:row>
    <x:row r="94" ht="54" customHeight="1">
      <x:c r="A94" s="24" t="str">
        <x:v>Adductor brevis</x:v>
      </x:c>
      <x:c r="B94" s="24" t="str">
        <x:v>Thigh</x:v>
      </x:c>
      <x:c r="C94" s="24" t="str">
        <x:v>Medial thigh</x:v>
      </x:c>
      <x:c r="D94" s="24" t="str">
        <x:v>Obturator nerve</x:v>
      </x:c>
      <x:c r="E94" s="24" t="str">
        <x:v>L2-L4</x:v>
      </x:c>
      <x:c r="F94" s="24" t="str">
        <x:v>Body/inferior ramus pubis</x:v>
      </x:c>
      <x:c r="G94" s="24" t="str">
        <x:v>Pectineal line and proximal linea aspera</x:v>
      </x:c>
      <x:c r="H94" s="24" t="str">
        <x:v>Short proximal tendon</x:v>
      </x:c>
      <x:c r="I94" s="24" t="str">
        <x:v>Pubic symphysis ligament region near origin</x:v>
      </x:c>
      <x:c r="J94" s="24" t="str">
        <x:v>Mixed Type I and Type II; ratio unverified</x:v>
      </x:c>
      <x:c r="K94" s="24" t="str">
        <x:v>EX0125; EX0126; EX0127; EX0128; EX0141; EX0154; EX0174; EX0187; EX0365</x:v>
      </x:c>
      <x:c r="L94" s="24" t="str">
        <x:v>EX0102; EX0105; EX0129; EX0139; EX0144; EX0146; EX0147; EX0149; EX0150; EX0151; EX0152; EX0153; EX0155; EX0170; EX0171; EX0172; EX0173</x:v>
      </x:c>
      <x:c r="M94" s="24" t="str">
        <x:v>—</x:v>
      </x:c>
      <x:c r="N94" s="24" t="str">
        <x:v>EX0137; EX0138; EX0141; EX0154; EX0182; EX0365; EX0366; EX0367</x:v>
      </x:c>
      <x:c r="O94" s="24" t="str">
        <x:v>Active strength target (group or direct)</x:v>
      </x:c>
      <x:c r="P94" s="24" t="str">
        <x:v>Adductor ball squeeze; Side-lying adductor raise; Cable standing hip adduction; Copenhagen adduction (short lever); Bodyweight glute bridge; Hip thrust with dumbbell</x:v>
      </x:c>
      <x:c r="Q94" s="24" t="str">
        <x:v>Active/involved status varies with technique, loading, individual anatomy and fatigue.</x:v>
      </x:c>
    </x:row>
    <x:row r="95" ht="54" customHeight="1">
      <x:c r="A95" s="24" t="str">
        <x:v>Adductor longus</x:v>
      </x:c>
      <x:c r="B95" s="24" t="str">
        <x:v>Thigh</x:v>
      </x:c>
      <x:c r="C95" s="24" t="str">
        <x:v>Medial thigh</x:v>
      </x:c>
      <x:c r="D95" s="24" t="str">
        <x:v>Obturator nerve anterior division</x:v>
      </x:c>
      <x:c r="E95" s="24" t="str">
        <x:v>L2-L4</x:v>
      </x:c>
      <x:c r="F95" s="24" t="str">
        <x:v>Body of pubis inferior to pubic crest</x:v>
      </x:c>
      <x:c r="G95" s="24" t="str">
        <x:v>Middle third linea aspera femur</x:v>
      </x:c>
      <x:c r="H95" s="24" t="str">
        <x:v>Strong proximal tendon; broad distal aponeurosis</x:v>
      </x:c>
      <x:c r="I95" s="24" t="str">
        <x:v>Pubic symphysis ligaments near origin</x:v>
      </x:c>
      <x:c r="J95" s="24" t="str">
        <x:v>Mixed Type I and Type II; ratio unverified</x:v>
      </x:c>
      <x:c r="K95" s="24" t="str">
        <x:v>EX0125; EX0126; EX0127; EX0128; EX0141; EX0154; EX0174; EX0187; EX0365</x:v>
      </x:c>
      <x:c r="L95" s="24" t="str">
        <x:v>EX0102; EX0105; EX0129; EX0139; EX0144; EX0146; EX0147; EX0149; EX0150; EX0151; EX0152; EX0153; EX0155; EX0170; EX0171; EX0172; EX0173</x:v>
      </x:c>
      <x:c r="M95" s="24" t="str">
        <x:v>—</x:v>
      </x:c>
      <x:c r="N95" s="24" t="str">
        <x:v>EX0137; EX0138; EX0141; EX0154; EX0182; EX0365; EX0366; EX0367</x:v>
      </x:c>
      <x:c r="O95" s="24" t="str">
        <x:v>Active strength target (group or direct)</x:v>
      </x:c>
      <x:c r="P95" s="24" t="str">
        <x:v>Adductor ball squeeze; Side-lying adductor raise; Cable standing hip adduction; Copenhagen adduction (short lever); Bodyweight glute bridge; Hip thrust with dumbbell</x:v>
      </x:c>
      <x:c r="Q95" s="24" t="str">
        <x:v>Active/involved status varies with technique, loading, individual anatomy and fatigue.</x:v>
      </x:c>
    </x:row>
    <x:row r="96" ht="54" customHeight="1">
      <x:c r="A96" s="24" t="str">
        <x:v>Adductor magnus adductor part</x:v>
      </x:c>
      <x:c r="B96" s="24" t="str">
        <x:v>Thigh</x:v>
      </x:c>
      <x:c r="C96" s="24" t="str">
        <x:v>Medial thigh</x:v>
      </x:c>
      <x:c r="D96" s="24" t="str">
        <x:v>Obturator nerve posterior division</x:v>
      </x:c>
      <x:c r="E96" s="24" t="str">
        <x:v>L2-L4</x:v>
      </x:c>
      <x:c r="F96" s="24" t="str">
        <x:v>Inferior pubic ramus and ischial ramus</x:v>
      </x:c>
      <x:c r="G96" s="24" t="str">
        <x:v>Gluteal tuberosity, linea aspera, medial supracondylar line</x:v>
      </x:c>
      <x:c r="H96" s="24" t="str">
        <x:v>Broad aponeurotic femoral insertion</x:v>
      </x:c>
      <x:c r="I96" s="24" t="str">
        <x:v>No specific direct ligament attachment</x:v>
      </x:c>
      <x:c r="J96" s="24" t="str">
        <x:v>Mixed Type I and Type II; ratio unverified</x:v>
      </x:c>
      <x:c r="K96" s="24" t="str">
        <x:v>EX0125; EX0126; EX0127; EX0128; EX0141; EX0148; EX0154; EX0174; EX0187; EX0365</x:v>
      </x:c>
      <x:c r="L96" s="24" t="str">
        <x:v>EX0102; EX0105; EX0129; EX0139; EX0144; EX0146; EX0147; EX0149; EX0150; EX0151; EX0152; EX0153; EX0155; EX0170; EX0171; EX0172; EX0173</x:v>
      </x:c>
      <x:c r="M96" s="24" t="str">
        <x:v>—</x:v>
      </x:c>
      <x:c r="N96" s="24" t="str">
        <x:v>EX0137; EX0138; EX0141; EX0154; EX0182; EX0365; EX0366; EX0367</x:v>
      </x:c>
      <x:c r="O96" s="24" t="str">
        <x:v>Active strength target (group or direct)</x:v>
      </x:c>
      <x:c r="P96" s="24" t="str">
        <x:v>Adductor ball squeeze; Side-lying adductor raise; Cable standing hip adduction; Copenhagen adduction (short lever); Bodyweight glute bridge; Hip thrust with dumbbell</x:v>
      </x:c>
      <x:c r="Q96" s="24" t="str">
        <x:v>Active/involved status varies with technique, loading, individual anatomy and fatigue.</x:v>
      </x:c>
    </x:row>
    <x:row r="97" ht="54" customHeight="1">
      <x:c r="A97" s="24" t="str">
        <x:v>Gracilis</x:v>
      </x:c>
      <x:c r="B97" s="24" t="str">
        <x:v>Thigh</x:v>
      </x:c>
      <x:c r="C97" s="24" t="str">
        <x:v>Medial thigh superficial</x:v>
      </x:c>
      <x:c r="D97" s="24" t="str">
        <x:v>Obturator nerve</x:v>
      </x:c>
      <x:c r="E97" s="24" t="str">
        <x:v>L2-L3</x:v>
      </x:c>
      <x:c r="F97" s="24" t="str">
        <x:v>Body and inferior ramus pubis</x:v>
      </x:c>
      <x:c r="G97" s="24" t="str">
        <x:v>Superomedial tibia via pes anserinus</x:v>
      </x:c>
      <x:c r="H97" s="24" t="str">
        <x:v>Gracilis pes anserinus tendon</x:v>
      </x:c>
      <x:c r="I97" s="24" t="str">
        <x:v>Medial collateral ligament beneath pes anserinus</x:v>
      </x:c>
      <x:c r="J97" s="24" t="str">
        <x:v>Mixed Type I and Type II; ratio unverified</x:v>
      </x:c>
      <x:c r="K97" s="24" t="str">
        <x:v>EX0125; EX0126; EX0127; EX0128; EX0141; EX0154; EX0174; EX0187; EX0365</x:v>
      </x:c>
      <x:c r="L97" s="24" t="str">
        <x:v>EX0102; EX0105; EX0129; EX0139; EX0144; EX0146; EX0147; EX0149; EX0150; EX0151; EX0152; EX0153; EX0155; EX0170; EX0171; EX0172; EX0173</x:v>
      </x:c>
      <x:c r="M97" s="24" t="str">
        <x:v>—</x:v>
      </x:c>
      <x:c r="N97" s="24" t="str">
        <x:v>EX0137; EX0138; EX0141; EX0154; EX0182; EX0365; EX0366; EX0367</x:v>
      </x:c>
      <x:c r="O97" s="24" t="str">
        <x:v>Active strength target (group or direct)</x:v>
      </x:c>
      <x:c r="P97" s="24" t="str">
        <x:v>Adductor ball squeeze; Side-lying adductor raise; Cable standing hip adduction; Copenhagen adduction (short lever); Bodyweight glute bridge; Hip thrust with dumbbell</x:v>
      </x:c>
      <x:c r="Q97" s="24" t="str">
        <x:v>Active/involved status varies with technique, loading, individual anatomy and fatigue.</x:v>
      </x:c>
    </x:row>
    <x:row r="98" ht="54" customHeight="1">
      <x:c r="A98" s="24" t="str">
        <x:v>Pectineus</x:v>
      </x:c>
      <x:c r="B98" s="24" t="str">
        <x:v>Thigh</x:v>
      </x:c>
      <x:c r="C98" s="24" t="str">
        <x:v>Medial/anterior thigh</x:v>
      </x:c>
      <x:c r="D98" s="24" t="str">
        <x:v>Femoral nerve (sometimes obturator)</x:v>
      </x:c>
      <x:c r="E98" s="24" t="str">
        <x:v>L2-L3</x:v>
      </x:c>
      <x:c r="F98" s="24" t="str">
        <x:v>Pecten pubis (superior pubic ramus)</x:v>
      </x:c>
      <x:c r="G98" s="24" t="str">
        <x:v>Pectineal line femur</x:v>
      </x:c>
      <x:c r="H98" s="24" t="str">
        <x:v>Flat pectineus insertion</x:v>
      </x:c>
      <x:c r="I98" s="24" t="str">
        <x:v>Pubofemoral ligament near hip, not direct tendon attachment</x:v>
      </x:c>
      <x:c r="J98" s="24" t="str">
        <x:v>Mixed Type I and Type II; ratio unverified</x:v>
      </x:c>
      <x:c r="K98" s="24" t="str">
        <x:v>EX0119; EX0120; EX0121; EX0125; EX0126; EX0127; EX0128; EX0140; EX0141; EX0154; EX0164; EX0174; EX0187; EX0248; EX0365</x:v>
      </x:c>
      <x:c r="L98" s="24" t="str">
        <x:v>EX0102; EX0105; EX0129; EX0139; EX0143; EX0144; EX0146; EX0147; EX0149; EX0150; EX0151; EX0152; EX0153; EX0155; EX0170; EX0171; EX0172; EX0173; EX0185; EX0237; EX0238; EX0239; EX0241</x:v>
      </x:c>
      <x:c r="M98" s="24" t="str">
        <x:v>—</x:v>
      </x:c>
      <x:c r="N98" s="24" t="str">
        <x:v>EX0137; EX0138; EX0140; EX0141; EX0154; EX0182; EX0365; EX0366; EX0367</x:v>
      </x:c>
      <x:c r="O98" s="24" t="str">
        <x:v>Active strength target (group or direct)</x:v>
      </x:c>
      <x:c r="P98" s="24" t="str">
        <x:v>Standing band hip flexion march; Supine straight-leg raise; Standing cable knee drive; Adductor ball squeeze; Bodyweight glute bridge; Hip thrust with dumbbell</x:v>
      </x:c>
      <x:c r="Q98" s="24" t="str">
        <x:v>Active/involved status varies with technique, loading, individual anatomy and fatigue.</x:v>
      </x:c>
    </x:row>
    <x:row r="99" ht="54" customHeight="1">
      <x:c r="A99" s="24" t="str">
        <x:v>Biceps femoris long head</x:v>
      </x:c>
      <x:c r="B99" s="24" t="str">
        <x:v>Thigh</x:v>
      </x:c>
      <x:c r="C99" s="24" t="str">
        <x:v>Posterior thigh hamstrings</x:v>
      </x:c>
      <x:c r="D99" s="24" t="str">
        <x:v>Tibial division sciatic nerve</x:v>
      </x:c>
      <x:c r="E99" s="24" t="str">
        <x:v>L5-S2</x:v>
      </x:c>
      <x:c r="F99" s="24" t="str">
        <x:v>Ischial tuberosity with semitendinosus</x:v>
      </x:c>
      <x:c r="G99" s="24" t="str">
        <x:v>Head of fibula</x:v>
      </x:c>
      <x:c r="H99" s="24" t="str">
        <x:v>Common hamstring proximal tendon; distal biceps tendon</x:v>
      </x:c>
      <x:c r="I99" s="24" t="str">
        <x:v>Fibular collateral ligament adjacent to distal insertion</x:v>
      </x:c>
      <x:c r="J99" s="24" t="str">
        <x:v>Mixed Type I and Type II; ratio unverified</x:v>
      </x:c>
      <x:c r="K99" s="24" t="str">
        <x:v>EX0129; EX0130; EX0131; EX0165; EX0166; EX0167; EX0168; EX0169; EX0170; EX0171; EX0172; EX0173; EX0175; EX0176; EX0179; EX0183</x:v>
      </x:c>
      <x:c r="L99" s="24" t="str">
        <x:v>EX0102; EX0103; EX0104; EX0105; EX0106; EX0107; EX0140; EX0144; EX0145; EX0148; EX0150; EX0151; EX0152; EX0153; EX0156; EX0157; EX0158; EX0174; EX0273; EX0281; EX0369</x:v>
      </x:c>
      <x:c r="M99" s="24" t="str">
        <x:v>—</x:v>
      </x:c>
      <x:c r="N99" s="24" t="str">
        <x:v>EX0140; EX0177; EX0178; EX0184</x:v>
      </x:c>
      <x:c r="O99" s="24" t="str">
        <x:v>Active strength target (group or direct)</x:v>
      </x:c>
      <x:c r="P99" s="24" t="str">
        <x:v>Cable hip pull-through; Single-leg hip hinge wall tap; Resistance-band good morning; Nordic hamstring lowering assisted; Bodyweight glute bridge; Single-leg glute bridge</x:v>
      </x:c>
      <x:c r="Q99" s="24" t="str">
        <x:v>Active/involved status varies with technique, loading, individual anatomy and fatigue.</x:v>
      </x:c>
    </x:row>
    <x:row r="100" ht="54" customHeight="1">
      <x:c r="A100" s="24" t="str">
        <x:v>Biceps femoris short head</x:v>
      </x:c>
      <x:c r="B100" s="24" t="str">
        <x:v>Thigh</x:v>
      </x:c>
      <x:c r="C100" s="24" t="str">
        <x:v>Posterior thigh hamstrings</x:v>
      </x:c>
      <x:c r="D100" s="24" t="str">
        <x:v>Common fibular division sciatic nerve</x:v>
      </x:c>
      <x:c r="E100" s="24" t="str">
        <x:v>L5-S2</x:v>
      </x:c>
      <x:c r="F100" s="24" t="str">
        <x:v>Lateral lip linea aspera and lateral supracondylar line</x:v>
      </x:c>
      <x:c r="G100" s="24" t="str">
        <x:v>Head of fibula</x:v>
      </x:c>
      <x:c r="H100" s="24" t="str">
        <x:v>Common biceps femoris distal tendon</x:v>
      </x:c>
      <x:c r="I100" s="24" t="str">
        <x:v>Fibular collateral ligament close to fibular attachment</x:v>
      </x:c>
      <x:c r="J100" s="24" t="str">
        <x:v>Mixed Type I and Type II; ratio unverified</x:v>
      </x:c>
      <x:c r="K100" s="24" t="str">
        <x:v>EX0129; EX0130; EX0131; EX0165; EX0166; EX0167; EX0168; EX0169; EX0170; EX0171; EX0172; EX0173; EX0175; EX0176; EX0179; EX0183</x:v>
      </x:c>
      <x:c r="L100" s="24" t="str">
        <x:v>EX0102; EX0103; EX0104; EX0105; EX0106; EX0107; EX0140; EX0144; EX0145; EX0148; EX0150; EX0151; EX0152; EX0153; EX0156; EX0157; EX0158; EX0174; EX0273; EX0281; EX0369</x:v>
      </x:c>
      <x:c r="M100" s="24" t="str">
        <x:v>—</x:v>
      </x:c>
      <x:c r="N100" s="24" t="str">
        <x:v>EX0140; EX0177; EX0178; EX0184</x:v>
      </x:c>
      <x:c r="O100" s="24" t="str">
        <x:v>Active strength target (group or direct)</x:v>
      </x:c>
      <x:c r="P100" s="24" t="str">
        <x:v>Cable hip pull-through; Single-leg hip hinge wall tap; Resistance-band good morning; Nordic hamstring lowering assisted; Bodyweight glute bridge; Single-leg glute bridge</x:v>
      </x:c>
      <x:c r="Q100" s="24" t="str">
        <x:v>Active/involved status varies with technique, loading, individual anatomy and fatigue.</x:v>
      </x:c>
    </x:row>
    <x:row r="101" ht="54" customHeight="1">
      <x:c r="A101" s="24" t="str">
        <x:v>Semimembranosus</x:v>
      </x:c>
      <x:c r="B101" s="24" t="str">
        <x:v>Thigh</x:v>
      </x:c>
      <x:c r="C101" s="24" t="str">
        <x:v>Posterior thigh hamstrings</x:v>
      </x:c>
      <x:c r="D101" s="24" t="str">
        <x:v>Tibial division sciatic nerve</x:v>
      </x:c>
      <x:c r="E101" s="24" t="str">
        <x:v>L5-S2</x:v>
      </x:c>
      <x:c r="F101" s="24" t="str">
        <x:v>Ischial tuberosity</x:v>
      </x:c>
      <x:c r="G101" s="24" t="str">
        <x:v>Posteromedial tibial condyle</x:v>
      </x:c>
      <x:c r="H101" s="24" t="str">
        <x:v>Broad proximal membrane; distal semimembranosus tendon</x:v>
      </x:c>
      <x:c r="I101" s="24" t="str">
        <x:v>Oblique popliteal ligament is tendon expansion; capsule and arcuate system nearby</x:v>
      </x:c>
      <x:c r="J101" s="24" t="str">
        <x:v>Mixed Type I and Type II; ratio unverified</x:v>
      </x:c>
      <x:c r="K101" s="24" t="str">
        <x:v>EX0129; EX0130; EX0131; EX0165; EX0166; EX0167; EX0168; EX0169; EX0170; EX0171; EX0172; EX0173; EX0175; EX0176; EX0179; EX0183</x:v>
      </x:c>
      <x:c r="L101" s="24" t="str">
        <x:v>EX0102; EX0103; EX0104; EX0105; EX0106; EX0107; EX0140; EX0144; EX0145; EX0148; EX0150; EX0151; EX0152; EX0153; EX0156; EX0157; EX0158; EX0174; EX0273; EX0281; EX0369</x:v>
      </x:c>
      <x:c r="M101" s="24" t="str">
        <x:v>—</x:v>
      </x:c>
      <x:c r="N101" s="24" t="str">
        <x:v>EX0140; EX0177; EX0178; EX0184</x:v>
      </x:c>
      <x:c r="O101" s="24" t="str">
        <x:v>Active strength target (group or direct)</x:v>
      </x:c>
      <x:c r="P101" s="24" t="str">
        <x:v>Cable hip pull-through; Single-leg hip hinge wall tap; Resistance-band good morning; Nordic hamstring lowering assisted; Bodyweight glute bridge; Single-leg glute bridge</x:v>
      </x:c>
      <x:c r="Q101" s="24" t="str">
        <x:v>Active/involved status varies with technique, loading, individual anatomy and fatigue.</x:v>
      </x:c>
    </x:row>
    <x:row r="102" ht="54" customHeight="1">
      <x:c r="A102" s="24" t="str">
        <x:v>Semitendinosus</x:v>
      </x:c>
      <x:c r="B102" s="24" t="str">
        <x:v>Thigh</x:v>
      </x:c>
      <x:c r="C102" s="24" t="str">
        <x:v>Posterior thigh hamstrings</x:v>
      </x:c>
      <x:c r="D102" s="24" t="str">
        <x:v>Tibial division sciatic nerve</x:v>
      </x:c>
      <x:c r="E102" s="24" t="str">
        <x:v>L5-S2</x:v>
      </x:c>
      <x:c r="F102" s="24" t="str">
        <x:v>Ischial tuberosity with biceps long head</x:v>
      </x:c>
      <x:c r="G102" s="24" t="str">
        <x:v>Superomedial tibia via pes anserinus</x:v>
      </x:c>
      <x:c r="H102" s="24" t="str">
        <x:v>Long distal pes anserinus tendon</x:v>
      </x:c>
      <x:c r="I102" s="24" t="str">
        <x:v>Medial collateral ligament deep to pes anserinus</x:v>
      </x:c>
      <x:c r="J102" s="24" t="str">
        <x:v>Mixed Type I and Type II; ratio unverified</x:v>
      </x:c>
      <x:c r="K102" s="24" t="str">
        <x:v>EX0129; EX0130; EX0131; EX0165; EX0166; EX0167; EX0168; EX0169; EX0170; EX0171; EX0172; EX0173; EX0175; EX0176; EX0179; EX0183</x:v>
      </x:c>
      <x:c r="L102" s="24" t="str">
        <x:v>EX0102; EX0103; EX0104; EX0105; EX0106; EX0107; EX0140; EX0144; EX0145; EX0148; EX0150; EX0151; EX0152; EX0153; EX0156; EX0157; EX0158; EX0174; EX0273; EX0281; EX0369</x:v>
      </x:c>
      <x:c r="M102" s="24" t="str">
        <x:v>—</x:v>
      </x:c>
      <x:c r="N102" s="24" t="str">
        <x:v>EX0140; EX0177; EX0178; EX0184</x:v>
      </x:c>
      <x:c r="O102" s="24" t="str">
        <x:v>Active strength target (group or direct)</x:v>
      </x:c>
      <x:c r="P102" s="24" t="str">
        <x:v>Cable hip pull-through; Single-leg hip hinge wall tap; Resistance-band good morning; Nordic hamstring lowering assisted; Bodyweight glute bridge; Single-leg glute bridge</x:v>
      </x:c>
      <x:c r="Q102" s="24" t="str">
        <x:v>Active/involved status varies with technique, loading, individual anatomy and fatigue.</x:v>
      </x:c>
    </x:row>
    <x:row r="103" ht="54" customHeight="1">
      <x:c r="A103" s="24" t="str">
        <x:v>Adductor magnus hamstring part</x:v>
      </x:c>
      <x:c r="B103" s="24" t="str">
        <x:v>Thigh</x:v>
      </x:c>
      <x:c r="C103" s="24" t="str">
        <x:v>Posteromedial thigh</x:v>
      </x:c>
      <x:c r="D103" s="24" t="str">
        <x:v>Tibial division sciatic nerve</x:v>
      </x:c>
      <x:c r="E103" s="24" t="str">
        <x:v>L4 (often L4-L5)</x:v>
      </x:c>
      <x:c r="F103" s="24" t="str">
        <x:v>Ischial tuberosity</x:v>
      </x:c>
      <x:c r="G103" s="24" t="str">
        <x:v>Adductor tubercle medial femur</x:v>
      </x:c>
      <x:c r="H103" s="24" t="str">
        <x:v>Thick adductor magnus hamstring tendon</x:v>
      </x:c>
      <x:c r="I103" s="24" t="str">
        <x:v>Sacrotuberous ligament shares ischial attachment area</x:v>
      </x:c>
      <x:c r="J103" s="24" t="str">
        <x:v>Mixed Type I and Type II; ratio unverified</x:v>
      </x:c>
      <x:c r="K103" s="24" t="str">
        <x:v>EX0125; EX0126; EX0127; EX0128; EX0141; EX0154; EX0174; EX0187; EX0365</x:v>
      </x:c>
      <x:c r="L103" s="24" t="str">
        <x:v>EX0102; EX0105; EX0129; EX0139; EX0144; EX0146; EX0147; EX0149; EX0150; EX0151; EX0152; EX0153; EX0155; EX0170; EX0171; EX0172; EX0173</x:v>
      </x:c>
      <x:c r="M103" s="24" t="str">
        <x:v>—</x:v>
      </x:c>
      <x:c r="N103" s="24" t="str">
        <x:v>EX0137; EX0138; EX0141; EX0154; EX0182; EX0365; EX0366; EX0367</x:v>
      </x:c>
      <x:c r="O103" s="24" t="str">
        <x:v>Active strength target (group or direct)</x:v>
      </x:c>
      <x:c r="P103" s="24" t="str">
        <x:v>Adductor ball squeeze; Side-lying adductor raise; Cable standing hip adduction; Copenhagen adduction (short lever); Bodyweight glute bridge; Hip thrust with dumbbell</x:v>
      </x:c>
      <x:c r="Q103" s="24" t="str">
        <x:v>Active/involved status varies with technique, loading, individual anatomy and fatigue.</x:v>
      </x:c>
    </x:row>
    <x:row r="104" ht="54" customHeight="1">
      <x:c r="A104" s="24" t="str">
        <x:v>Extensor digitorum longus</x:v>
      </x:c>
      <x:c r="B104" s="24" t="str">
        <x:v>Leg</x:v>
      </x:c>
      <x:c r="C104" s="24" t="str">
        <x:v>Anterior leg</x:v>
      </x:c>
      <x:c r="D104" s="24" t="str">
        <x:v>Deep fibular nerve</x:v>
      </x:c>
      <x:c r="E104" s="24" t="str">
        <x:v>L5-S1</x:v>
      </x:c>
      <x:c r="F104" s="24" t="str">
        <x:v>Lateral tibial condyle; anterior fibula; interosseous membrane</x:v>
      </x:c>
      <x:c r="G104" s="24" t="str">
        <x:v>Dorsal digital expansions toes 2-5</x:v>
      </x:c>
      <x:c r="H104" s="24" t="str">
        <x:v>Four extensor digitorum longus tendons</x:v>
      </x:c>
      <x:c r="I104" s="24" t="str">
        <x:v>Extensor retinacula restrain tendons</x:v>
      </x:c>
      <x:c r="J104" s="24" t="str">
        <x:v>Mixed Type I and Type II; ratio unverified</x:v>
      </x:c>
      <x:c r="K104" s="24" t="str">
        <x:v>EX0197; EX0203; EX0228; EX0229</x:v>
      </x:c>
      <x:c r="L104" s="24" t="str">
        <x:v>EX0198; EX0199</x:v>
      </x:c>
      <x:c r="M104" s="24" t="str">
        <x:v>—</x:v>
      </x:c>
      <x:c r="N104" s="24" t="str">
        <x:v>EX0223; EX0228</x:v>
      </x:c>
      <x:c r="O104" s="24" t="str">
        <x:v>Active strength target (group or direct)</x:v>
      </x:c>
      <x:c r="P104" s="24" t="str">
        <x:v>Band ankle dorsiflexion; Resisted lesser-toe extension; Seated ankle circles; Heel walk short distance; Wall tibialis anterior raises; Tibialis raise machine / dumbbell foot lift</x:v>
      </x:c>
      <x:c r="Q104" s="24" t="str">
        <x:v>Active/involved status varies with technique, loading, individual anatomy and fatigue.</x:v>
      </x:c>
    </x:row>
    <x:row r="105" ht="54" customHeight="1">
      <x:c r="A105" s="24" t="str">
        <x:v>Extensor hallucis longus</x:v>
      </x:c>
      <x:c r="B105" s="24" t="str">
        <x:v>Leg</x:v>
      </x:c>
      <x:c r="C105" s="24" t="str">
        <x:v>Anterior leg</x:v>
      </x:c>
      <x:c r="D105" s="24" t="str">
        <x:v>Deep fibular nerve</x:v>
      </x:c>
      <x:c r="E105" s="24" t="str">
        <x:v>L5-S1</x:v>
      </x:c>
      <x:c r="F105" s="24" t="str">
        <x:v>Middle anterior fibula; interosseous membrane</x:v>
      </x:c>
      <x:c r="G105" s="24" t="str">
        <x:v>Dorsal base distal phalanx hallux</x:v>
      </x:c>
      <x:c r="H105" s="24" t="str">
        <x:v>EHL tendon</x:v>
      </x:c>
      <x:c r="I105" s="24" t="str">
        <x:v>Extensor retinacula restrain tendon</x:v>
      </x:c>
      <x:c r="J105" s="24" t="str">
        <x:v>Mixed Type I and Type II; ratio unverified</x:v>
      </x:c>
      <x:c r="K105" s="24" t="str">
        <x:v>EX0197; EX0202; EX0214; EX0228; EX0229</x:v>
      </x:c>
      <x:c r="L105" s="24" t="str">
        <x:v>EX0198; EX0199</x:v>
      </x:c>
      <x:c r="M105" s="24" t="str">
        <x:v>—</x:v>
      </x:c>
      <x:c r="N105" s="24" t="str">
        <x:v>EX0223; EX0228</x:v>
      </x:c>
      <x:c r="O105" s="24" t="str">
        <x:v>Active strength target (group or direct)</x:v>
      </x:c>
      <x:c r="P105" s="24" t="str">
        <x:v>Band ankle dorsiflexion; Resisted great-toe extension; Toe yoga: big toe up, lesser toes down; Seated ankle circles; Wall tibialis anterior raises; Tibialis raise machine / dumbbell foot lift</x:v>
      </x:c>
      <x:c r="Q105" s="24" t="str">
        <x:v>Active/involved status varies with technique, loading, individual anatomy and fatigue.</x:v>
      </x:c>
    </x:row>
    <x:row r="106" ht="54" customHeight="1">
      <x:c r="A106" s="24" t="str">
        <x:v>Fibularis tertius</x:v>
      </x:c>
      <x:c r="B106" s="24" t="str">
        <x:v>Leg</x:v>
      </x:c>
      <x:c r="C106" s="24" t="str">
        <x:v>Anterior leg</x:v>
      </x:c>
      <x:c r="D106" s="24" t="str">
        <x:v>Deep fibular nerve</x:v>
      </x:c>
      <x:c r="E106" s="24" t="str">
        <x:v>L5-S1</x:v>
      </x:c>
      <x:c r="F106" s="24" t="str">
        <x:v>Distal anterior fibula and interosseous membrane</x:v>
      </x:c>
      <x:c r="G106" s="24" t="str">
        <x:v>Dorsal base metatarsal 5</x:v>
      </x:c>
      <x:c r="H106" s="24" t="str">
        <x:v>Fibularis tertius tendon</x:v>
      </x:c>
      <x:c r="I106" s="24" t="str">
        <x:v>Inferior extensor retinaculum retains tendon</x:v>
      </x:c>
      <x:c r="J106" s="24" t="str">
        <x:v>Mixed Type I and Type II; ratio unverified</x:v>
      </x:c>
      <x:c r="K106" s="24" t="str">
        <x:v>EX0197; EX0201; EX0218; EX0219; EX0228; EX0229; EX0231</x:v>
      </x:c>
      <x:c r="L106" s="24" t="str">
        <x:v>EX0198; EX0199</x:v>
      </x:c>
      <x:c r="M106" s="24" t="str">
        <x:v>—</x:v>
      </x:c>
      <x:c r="N106" s="24" t="str">
        <x:v>EX0228</x:v>
      </x:c>
      <x:c r="O106" s="24" t="str">
        <x:v>Active strength target (group or direct)</x:v>
      </x:c>
      <x:c r="P106" s="24" t="str">
        <x:v>Band ankle dorsiflexion; Band eversion (fibularis focus); Standing balance on foam cushion; Single-leg balance eyes open; Wall tibialis anterior raises; Tibialis raise machine / dumbbell foot lift</x:v>
      </x:c>
      <x:c r="Q106" s="24" t="str">
        <x:v>Active/involved status varies with technique, loading, individual anatomy and fatigue.</x:v>
      </x:c>
    </x:row>
    <x:row r="107" ht="54" customHeight="1">
      <x:c r="A107" s="24" t="str">
        <x:v>Tibialis anterior</x:v>
      </x:c>
      <x:c r="B107" s="24" t="str">
        <x:v>Leg</x:v>
      </x:c>
      <x:c r="C107" s="24" t="str">
        <x:v>Anterior leg</x:v>
      </x:c>
      <x:c r="D107" s="24" t="str">
        <x:v>Deep fibular nerve</x:v>
      </x:c>
      <x:c r="E107" s="24" t="str">
        <x:v>L4-L5</x:v>
      </x:c>
      <x:c r="F107" s="24" t="str">
        <x:v>Lateral tibial condyle; proximal lateral tibia; interosseous membrane</x:v>
      </x:c>
      <x:c r="G107" s="24" t="str">
        <x:v>Medial cuneiform and base metatarsal 1</x:v>
      </x:c>
      <x:c r="H107" s="24" t="str">
        <x:v>Tibialis anterior tendon</x:v>
      </x:c>
      <x:c r="I107" s="24" t="str">
        <x:v>Superior/inferior extensor retinacula hold tendon (retinacula)</x:v>
      </x:c>
      <x:c r="J107" s="24" t="str">
        <x:v>Mixed Type I and Type II; ratio unverified</x:v>
      </x:c>
      <x:c r="K107" s="24" t="str">
        <x:v>EX0197; EX0198; EX0199; EX0200; EX0228; EX0229</x:v>
      </x:c>
      <x:c r="L107" s="24" t="str">
        <x:v>—</x:v>
      </x:c>
      <x:c r="M107" s="24" t="str">
        <x:v>—</x:v>
      </x:c>
      <x:c r="N107" s="24" t="str">
        <x:v>EX0223; EX0228</x:v>
      </x:c>
      <x:c r="O107" s="24" t="str">
        <x:v>Active strength target (group or direct)</x:v>
      </x:c>
      <x:c r="P107" s="24" t="str">
        <x:v>Band ankle dorsiflexion; Wall tibialis anterior raises; Tibialis raise machine / dumbbell foot lift; Band inversion (tibialis posterior focus); Kneeling tibialis anterior stretch gentle; Seated ankle circles</x:v>
      </x:c>
      <x:c r="Q107" s="24" t="str">
        <x:v>Active/involved status varies with technique, loading, individual anatomy and fatigue.</x:v>
      </x:c>
    </x:row>
    <x:row r="108" ht="54" customHeight="1">
      <x:c r="A108" s="24" t="str">
        <x:v>Fibularis brevis</x:v>
      </x:c>
      <x:c r="B108" s="24" t="str">
        <x:v>Leg</x:v>
      </x:c>
      <x:c r="C108" s="24" t="str">
        <x:v>Lateral leg</x:v>
      </x:c>
      <x:c r="D108" s="24" t="str">
        <x:v>Superficial fibular nerve</x:v>
      </x:c>
      <x:c r="E108" s="24" t="str">
        <x:v>L5-S2</x:v>
      </x:c>
      <x:c r="F108" s="24" t="str">
        <x:v>Distal two-thirds lateral fibula</x:v>
      </x:c>
      <x:c r="G108" s="24" t="str">
        <x:v>Tuberosity base metatarsal 5</x:v>
      </x:c>
      <x:c r="H108" s="24" t="str">
        <x:v>Fibularis brevis tendon</x:v>
      </x:c>
      <x:c r="I108" s="24" t="str">
        <x:v>Superior/inferior fibular retinacula retain tendon</x:v>
      </x:c>
      <x:c r="J108" s="24" t="str">
        <x:v>Mixed Type I and Type II; ratio unverified</x:v>
      </x:c>
      <x:c r="K108" s="24" t="str">
        <x:v>EX0201; EX0218; EX0219; EX0228; EX0231</x:v>
      </x:c>
      <x:c r="L108" s="24" t="str">
        <x:v>EX0196</x:v>
      </x:c>
      <x:c r="M108" s="24" t="str">
        <x:v>—</x:v>
      </x:c>
      <x:c r="N108" s="24" t="str">
        <x:v>EX0226</x:v>
      </x:c>
      <x:c r="O108" s="24" t="str">
        <x:v>Active strength target (group or direct)</x:v>
      </x:c>
      <x:c r="P108" s="24" t="str">
        <x:v>Band eversion (fibularis focus); Standing balance on foam cushion; Single-leg balance eyes open; Seated ankle circles; Band plantar flexion ankle; Towel-assisted peroneal stretch (gentle inversion)</x:v>
      </x:c>
      <x:c r="Q108" s="24" t="str">
        <x:v>Active/involved status varies with technique, loading, individual anatomy and fatigue.</x:v>
      </x:c>
    </x:row>
    <x:row r="109" ht="54" customHeight="1">
      <x:c r="A109" s="24" t="str">
        <x:v>Fibularis longus</x:v>
      </x:c>
      <x:c r="B109" s="24" t="str">
        <x:v>Leg</x:v>
      </x:c>
      <x:c r="C109" s="24" t="str">
        <x:v>Lateral leg</x:v>
      </x:c>
      <x:c r="D109" s="24" t="str">
        <x:v>Superficial fibular nerve</x:v>
      </x:c>
      <x:c r="E109" s="24" t="str">
        <x:v>L5-S2</x:v>
      </x:c>
      <x:c r="F109" s="24" t="str">
        <x:v>Fibular head and proximal lateral fibula</x:v>
      </x:c>
      <x:c r="G109" s="24" t="str">
        <x:v>Plantar medial cuneiform and base metatarsal 1</x:v>
      </x:c>
      <x:c r="H109" s="24" t="str">
        <x:v>Fibularis longus tendon runs beneath cuboid</x:v>
      </x:c>
      <x:c r="I109" s="24" t="str">
        <x:v>Superior/inferior fibular retinacula retain tendon; long plantar ligament forms tunnel region</x:v>
      </x:c>
      <x:c r="J109" s="24" t="str">
        <x:v>Mixed Type I and Type II; ratio unverified</x:v>
      </x:c>
      <x:c r="K109" s="24" t="str">
        <x:v>EX0201; EX0218; EX0219; EX0228; EX0231</x:v>
      </x:c>
      <x:c r="L109" s="24" t="str">
        <x:v>EX0189; EX0190; EX0196; EX0206</x:v>
      </x:c>
      <x:c r="M109" s="24" t="str">
        <x:v>—</x:v>
      </x:c>
      <x:c r="N109" s="24" t="str">
        <x:v>EX0226</x:v>
      </x:c>
      <x:c r="O109" s="24" t="str">
        <x:v>Active strength target (group or direct)</x:v>
      </x:c>
      <x:c r="P109" s="24" t="str">
        <x:v>Band eversion (fibularis focus); Standing balance on foam cushion; Single-leg balance eyes open; Seated ankle circles; Double-leg standing calf raise; Single-leg standing calf raise</x:v>
      </x:c>
      <x:c r="Q109" s="24" t="str">
        <x:v>Active/involved status varies with technique, loading, individual anatomy and fatigue.</x:v>
      </x:c>
    </x:row>
    <x:row r="110" ht="54" customHeight="1">
      <x:c r="A110" s="24" t="str">
        <x:v>Flexor digitorum longus</x:v>
      </x:c>
      <x:c r="B110" s="24" t="str">
        <x:v>Leg</x:v>
      </x:c>
      <x:c r="C110" s="24" t="str">
        <x:v>Posterior leg deep</x:v>
      </x:c>
      <x:c r="D110" s="24" t="str">
        <x:v>Tibial nerve</x:v>
      </x:c>
      <x:c r="E110" s="24" t="str">
        <x:v>L5-S2</x:v>
      </x:c>
      <x:c r="F110" s="24" t="str">
        <x:v>Posterior tibia inferior to soleal line</x:v>
      </x:c>
      <x:c r="G110" s="24" t="str">
        <x:v>Plantar bases distal phalanges toes 2-5</x:v>
      </x:c>
      <x:c r="H110" s="24" t="str">
        <x:v>Four FDL toe tendons; knot of Henry crossover with FHL</x:v>
      </x:c>
      <x:c r="I110" s="24" t="str">
        <x:v>Flexor retinaculum at ankle; plantar ligament complex supports arches</x:v>
      </x:c>
      <x:c r="J110" s="24" t="str">
        <x:v>Mixed Type I and Type II; ratio unverified</x:v>
      </x:c>
      <x:c r="K110" s="24" t="str">
        <x:v>EX0205; EX0207; EX0208; EX0214</x:v>
      </x:c>
      <x:c r="L110" s="24" t="str">
        <x:v>EX0217</x:v>
      </x:c>
      <x:c r="M110" s="24" t="str">
        <x:v>—</x:v>
      </x:c>
      <x:c r="N110" s="24" t="str">
        <x:v>EX0220</x:v>
      </x:c>
      <x:c r="O110" s="24" t="str">
        <x:v>Active strength target (group or direct)</x:v>
      </x:c>
      <x:c r="P110" s="24" t="str">
        <x:v>Resisted lesser toe flexion; Towel toe scrunches; Marble pick-up with toes; Toe yoga: big toe up, lesser toes down; Resisted toe quadratus plantae coordination; Seated calf stretch strap (knee straight)</x:v>
      </x:c>
      <x:c r="Q110" s="24" t="str">
        <x:v>Active/involved status varies with technique, loading, individual anatomy and fatigue.</x:v>
      </x:c>
    </x:row>
    <x:row r="111" ht="54" customHeight="1">
      <x:c r="A111" s="24" t="str">
        <x:v>Flexor hallucis longus</x:v>
      </x:c>
      <x:c r="B111" s="24" t="str">
        <x:v>Leg</x:v>
      </x:c>
      <x:c r="C111" s="24" t="str">
        <x:v>Posterior leg deep</x:v>
      </x:c>
      <x:c r="D111" s="24" t="str">
        <x:v>Tibial nerve</x:v>
      </x:c>
      <x:c r="E111" s="24" t="str">
        <x:v>S2-S3 (also S1)</x:v>
      </x:c>
      <x:c r="F111" s="24" t="str">
        <x:v>Distal posterior fibula and interosseous membrane</x:v>
      </x:c>
      <x:c r="G111" s="24" t="str">
        <x:v>Plantar base distal phalanx hallux</x:v>
      </x:c>
      <x:c r="H111" s="24" t="str">
        <x:v>FHL long tendon</x:v>
      </x:c>
      <x:c r="I111" s="24" t="str">
        <x:v>Flexor retinaculum retains tendon; spring ligament supported indirectly</x:v>
      </x:c>
      <x:c r="J111" s="24" t="str">
        <x:v>Mixed Type I and Type II; ratio unverified</x:v>
      </x:c>
      <x:c r="K111" s="24" t="str">
        <x:v>EX0204; EX0207; EX0208; EX0214</x:v>
      </x:c>
      <x:c r="L111" s="24" t="str">
        <x:v>—</x:v>
      </x:c>
      <x:c r="M111" s="24" t="str">
        <x:v>—</x:v>
      </x:c>
      <x:c r="N111" s="24" t="str">
        <x:v>EX0220</x:v>
      </x:c>
      <x:c r="O111" s="24" t="str">
        <x:v>Active strength target (group or direct)</x:v>
      </x:c>
      <x:c r="P111" s="24" t="str">
        <x:v>Resisted hallux flexion; Towel toe scrunches; Marble pick-up with toes; Toe yoga: big toe up, lesser toes down; Seated calf stretch strap (knee straight)</x:v>
      </x:c>
      <x:c r="Q111" s="24" t="str">
        <x:v>Active/involved status varies with technique, loading, individual anatomy and fatigue.</x:v>
      </x:c>
    </x:row>
    <x:row r="112" ht="54" customHeight="1">
      <x:c r="A112" s="24" t="str">
        <x:v>Popliteus</x:v>
      </x:c>
      <x:c r="B112" s="24" t="str">
        <x:v>Leg</x:v>
      </x:c>
      <x:c r="C112" s="24" t="str">
        <x:v>Posterior leg deep</x:v>
      </x:c>
      <x:c r="D112" s="24" t="str">
        <x:v>Tibial nerve</x:v>
      </x:c>
      <x:c r="E112" s="24" t="str">
        <x:v>L4-S1</x:v>
      </x:c>
      <x:c r="F112" s="24" t="str">
        <x:v>Lateral femoral condyle; posterior horn lateral meniscus</x:v>
      </x:c>
      <x:c r="G112" s="24" t="str">
        <x:v>Posterior tibia above soleal line</x:v>
      </x:c>
      <x:c r="H112" s="24" t="str">
        <x:v>Popliteus proximal tendon</x:v>
      </x:c>
      <x:c r="I112" s="24" t="str">
        <x:v>Arcuate popliteal ligament arches over tendon; popliteofibular ligament may connect</x:v>
      </x:c>
      <x:c r="J112" s="24" t="str">
        <x:v>Mixed Type I and Type II; ratio unverified</x:v>
      </x:c>
      <x:c r="K112" s="24" t="str">
        <x:v>—</x:v>
      </x:c>
      <x:c r="L112" s="24" t="str">
        <x:v>—</x:v>
      </x:c>
      <x:c r="M112" s="24" t="str">
        <x:v>—</x:v>
      </x:c>
      <x:c r="N112" s="24" t="str">
        <x:v>EX0220</x:v>
      </x:c>
      <x:c r="O112" s="24" t="str">
        <x:v>Lengthening / stretch only</x:v>
      </x:c>
      <x:c r="P112" s="24" t="str">
        <x:v>Seated calf stretch strap (knee straight)</x:v>
      </x:c>
      <x:c r="Q112" s="24" t="str">
        <x:v>Active/involved status varies with technique, loading, individual anatomy and fatigue.</x:v>
      </x:c>
    </x:row>
    <x:row r="113" ht="54" customHeight="1">
      <x:c r="A113" s="24" t="str">
        <x:v>Tibialis posterior</x:v>
      </x:c>
      <x:c r="B113" s="24" t="str">
        <x:v>Leg</x:v>
      </x:c>
      <x:c r="C113" s="24" t="str">
        <x:v>Posterior leg deep</x:v>
      </x:c>
      <x:c r="D113" s="24" t="str">
        <x:v>Tibial nerve</x:v>
      </x:c>
      <x:c r="E113" s="24" t="str">
        <x:v>L4-L5</x:v>
      </x:c>
      <x:c r="F113" s="24" t="str">
        <x:v>Posterior tibia/fibula and interosseous membrane</x:v>
      </x:c>
      <x:c r="G113" s="24" t="str">
        <x:v>Navicular tuberosity; cuneiforms; cuboid and metatarsal bases</x:v>
      </x:c>
      <x:c r="H113" s="24" t="str">
        <x:v>Tibialis posterior multi-slip tendon</x:v>
      </x:c>
      <x:c r="I113" s="24" t="str">
        <x:v>Flexor retinaculum covers tendon; spring ligament supported by tendon</x:v>
      </x:c>
      <x:c r="J113" s="24" t="str">
        <x:v>Mixed Type I and Type II; ratio unverified</x:v>
      </x:c>
      <x:c r="K113" s="24" t="str">
        <x:v>EX0196; EX0200; EX0206; EX0218; EX0219; EX0228; EX0231</x:v>
      </x:c>
      <x:c r="L113" s="24" t="str">
        <x:v>EX0189; EX0190; EX0192; EX0194; EX0230; EX0232</x:v>
      </x:c>
      <x:c r="M113" s="24" t="str">
        <x:v>—</x:v>
      </x:c>
      <x:c r="N113" s="24" t="str">
        <x:v>EX0220; EX0227</x:v>
      </x:c>
      <x:c r="O113" s="24" t="str">
        <x:v>Active strength target (group or direct)</x:v>
      </x:c>
      <x:c r="P113" s="24" t="str">
        <x:v>Band plantar flexion ankle; Band inversion (tibialis posterior focus); Short foot / arch doming; Standing balance on foam cushion; Double-leg standing calf raise; Single-leg standing calf raise</x:v>
      </x:c>
      <x:c r="Q113" s="24" t="str">
        <x:v>Active/involved status varies with technique, loading, individual anatomy and fatigue.</x:v>
      </x:c>
    </x:row>
    <x:row r="114" ht="54" customHeight="1">
      <x:c r="A114" s="24" t="str">
        <x:v>Gastrocnemius lateral head</x:v>
      </x:c>
      <x:c r="B114" s="24" t="str">
        <x:v>Leg</x:v>
      </x:c>
      <x:c r="C114" s="24" t="str">
        <x:v>Posterior leg superficial</x:v>
      </x:c>
      <x:c r="D114" s="24" t="str">
        <x:v>Tibial nerve</x:v>
      </x:c>
      <x:c r="E114" s="24" t="str">
        <x:v>S1-S2</x:v>
      </x:c>
      <x:c r="F114" s="24" t="str">
        <x:v>Lateral femoral condyle and adjacent capsule</x:v>
      </x:c>
      <x:c r="G114" s="24" t="str">
        <x:v>Posterior calcaneus via calcaneal (Achilles) tendon</x:v>
      </x:c>
      <x:c r="H114" s="24" t="str">
        <x:v>Calcaneal (Achilles) tendon</x:v>
      </x:c>
      <x:c r="I114" s="24" t="str">
        <x:v>Arcuate popliteal complex near origin</x:v>
      </x:c>
      <x:c r="J114" s="24" t="str">
        <x:v>Mixed Type I and Type II; ratio unverified</x:v>
      </x:c>
      <x:c r="K114" s="24" t="str">
        <x:v>EX0189; EX0190; EX0192; EX0194; EX0196; EX0228; EX0230; EX0232</x:v>
      </x:c>
      <x:c r="L114" s="24" t="str">
        <x:v>EX0191; EX0193; EX0195; EX0218; EX0219</x:v>
      </x:c>
      <x:c r="M114" s="24" t="str">
        <x:v>EX0166; EX0200; EX0201; EX0206</x:v>
      </x:c>
      <x:c r="N114" s="24" t="str">
        <x:v>EX0220; EX0221; EX0228</x:v>
      </x:c>
      <x:c r="O114" s="24" t="str">
        <x:v>Active strength target (group or direct)</x:v>
      </x:c>
      <x:c r="P114" s="24" t="str">
        <x:v>Double-leg standing calf raise; Single-leg standing calf raise; Standing calf raise machine; Calf eccentric heel drop straight knee; Seated bent-knee calf raise backpack; Seated calf raise machine</x:v>
      </x:c>
      <x:c r="Q114" s="24" t="str">
        <x:v>Active/involved status varies with technique, loading, individual anatomy and fatigue.</x:v>
      </x:c>
    </x:row>
    <x:row r="115" ht="54" customHeight="1">
      <x:c r="A115" s="24" t="str">
        <x:v>Gastrocnemius medial head</x:v>
      </x:c>
      <x:c r="B115" s="24" t="str">
        <x:v>Leg</x:v>
      </x:c>
      <x:c r="C115" s="24" t="str">
        <x:v>Posterior leg superficial</x:v>
      </x:c>
      <x:c r="D115" s="24" t="str">
        <x:v>Tibial nerve</x:v>
      </x:c>
      <x:c r="E115" s="24" t="str">
        <x:v>S1-S2</x:v>
      </x:c>
      <x:c r="F115" s="24" t="str">
        <x:v>Posterior medial femoral condyle and adjacent capsule</x:v>
      </x:c>
      <x:c r="G115" s="24" t="str">
        <x:v>Posterior calcaneus via calcaneal (Achilles) tendon</x:v>
      </x:c>
      <x:c r="H115" s="24" t="str">
        <x:v>Calcaneal (Achilles) tendon</x:v>
      </x:c>
      <x:c r="I115" s="24" t="str">
        <x:v>Posterior capsule/oblique popliteal ligament near origin</x:v>
      </x:c>
      <x:c r="J115" s="24" t="str">
        <x:v>Mixed; Type I-enriched in cited sample</x:v>
      </x:c>
      <x:c r="K115" s="24" t="str">
        <x:v>EX0189; EX0190; EX0192; EX0194; EX0196; EX0228; EX0230; EX0232</x:v>
      </x:c>
      <x:c r="L115" s="24" t="str">
        <x:v>EX0191; EX0193; EX0195; EX0218; EX0219</x:v>
      </x:c>
      <x:c r="M115" s="24" t="str">
        <x:v>EX0166; EX0200; EX0201; EX0206</x:v>
      </x:c>
      <x:c r="N115" s="24" t="str">
        <x:v>EX0220; EX0221; EX0228</x:v>
      </x:c>
      <x:c r="O115" s="24" t="str">
        <x:v>Active strength target (group or direct)</x:v>
      </x:c>
      <x:c r="P115" s="24" t="str">
        <x:v>Double-leg standing calf raise; Single-leg standing calf raise; Standing calf raise machine; Calf eccentric heel drop straight knee; Seated bent-knee calf raise backpack; Seated calf raise machine</x:v>
      </x:c>
      <x:c r="Q115" s="24" t="str">
        <x:v>Active/involved status varies with technique, loading, individual anatomy and fatigue.</x:v>
      </x:c>
    </x:row>
    <x:row r="116" ht="54" customHeight="1">
      <x:c r="A116" s="24" t="str">
        <x:v>Plantaris</x:v>
      </x:c>
      <x:c r="B116" s="24" t="str">
        <x:v>Leg</x:v>
      </x:c>
      <x:c r="C116" s="24" t="str">
        <x:v>Posterior leg superficial</x:v>
      </x:c>
      <x:c r="D116" s="24" t="str">
        <x:v>Tibial nerve</x:v>
      </x:c>
      <x:c r="E116" s="24" t="str">
        <x:v>S1-S2</x:v>
      </x:c>
      <x:c r="F116" s="24" t="str">
        <x:v>Lateral supracondylar femoral line; oblique popliteal ligament</x:v>
      </x:c>
      <x:c r="G116" s="24" t="str">
        <x:v>Posterior calcaneus or Achilles tendon</x:v>
      </x:c>
      <x:c r="H116" s="24" t="str">
        <x:v>Long thin plantaris tendon</x:v>
      </x:c>
      <x:c r="I116" s="24" t="str">
        <x:v>Oblique popliteal ligament contributes to origin</x:v>
      </x:c>
      <x:c r="J116" s="24" t="str">
        <x:v>Mixed Type I and Type II; ratio unverified</x:v>
      </x:c>
      <x:c r="K116" s="24" t="str">
        <x:v>EX0189; EX0190; EX0192; EX0196; EX0228; EX0230; EX0232</x:v>
      </x:c>
      <x:c r="L116" s="24" t="str">
        <x:v>EX0218; EX0219</x:v>
      </x:c>
      <x:c r="M116" s="24" t="str">
        <x:v>EX0166; EX0200; EX0201; EX0206</x:v>
      </x:c>
      <x:c r="N116" s="24" t="str">
        <x:v>EX0220; EX0228</x:v>
      </x:c>
      <x:c r="O116" s="24" t="str">
        <x:v>Active strength target (group or direct)</x:v>
      </x:c>
      <x:c r="P116" s="24" t="str">
        <x:v>Double-leg standing calf raise; Single-leg standing calf raise; Standing calf raise machine; Band plantar flexion ankle; Standing balance on foam cushion; Single-leg balance eyes open</x:v>
      </x:c>
      <x:c r="Q116" s="24" t="str">
        <x:v>Active/involved status varies with technique, loading, individual anatomy and fatigue.</x:v>
      </x:c>
    </x:row>
    <x:row r="117" ht="54" customHeight="1">
      <x:c r="A117" s="24" t="str">
        <x:v>Soleus</x:v>
      </x:c>
      <x:c r="B117" s="24" t="str">
        <x:v>Leg</x:v>
      </x:c>
      <x:c r="C117" s="24" t="str">
        <x:v>Posterior leg superficial</x:v>
      </x:c>
      <x:c r="D117" s="24" t="str">
        <x:v>Tibial nerve</x:v>
      </x:c>
      <x:c r="E117" s="24" t="str">
        <x:v>S1-S2</x:v>
      </x:c>
      <x:c r="F117" s="24" t="str">
        <x:v>Soleal line and medial tibial border; fibular head; tendinous soleal arch</x:v>
      </x:c>
      <x:c r="G117" s="24" t="str">
        <x:v>Posterior calcaneus via calcaneal tendon</x:v>
      </x:c>
      <x:c r="H117" s="24" t="str">
        <x:v>Broad soleus aponeurosis joining Achilles tendon</x:v>
      </x:c>
      <x:c r="I117" s="24" t="str">
        <x:v>Soleal tendinous arch is tendon/aponeurosis, not ligament</x:v>
      </x:c>
      <x:c r="J117" s="24" t="str">
        <x:v>Slow / Type I-rich</x:v>
      </x:c>
      <x:c r="K117" s="24" t="str">
        <x:v>EX0189; EX0190; EX0191; EX0192; EX0193; EX0194; EX0195; EX0196; EX0228; EX0230; EX0232</x:v>
      </x:c>
      <x:c r="L117" s="24" t="str">
        <x:v>EX0218; EX0219</x:v>
      </x:c>
      <x:c r="M117" s="24" t="str">
        <x:v>EX0166; EX0200; EX0201; EX0206</x:v>
      </x:c>
      <x:c r="N117" s="24" t="str">
        <x:v>EX0220; EX0221; EX0222; EX0228</x:v>
      </x:c>
      <x:c r="O117" s="24" t="str">
        <x:v>Active strength target (group or direct)</x:v>
      </x:c>
      <x:c r="P117" s="24" t="str">
        <x:v>Double-leg standing calf raise; Single-leg standing calf raise; Seated bent-knee calf raise backpack; Standing calf raise machine; Standing balance on foam cushion; Single-leg balance eyes open</x:v>
      </x:c>
      <x:c r="Q117" s="24" t="str">
        <x:v>Active/involved status varies with technique, loading, individual anatomy and fatigue.</x:v>
      </x:c>
    </x:row>
    <x:row r="118" ht="54" customHeight="1">
      <x:c r="A118" s="24" t="str">
        <x:v>Extensor digitorum brevis</x:v>
      </x:c>
      <x:c r="B118" s="24" t="str">
        <x:v>Foot</x:v>
      </x:c>
      <x:c r="C118" s="24" t="str">
        <x:v>Dorsal foot</x:v>
      </x:c>
      <x:c r="D118" s="24" t="str">
        <x:v>Deep fibular nerve</x:v>
      </x:c>
      <x:c r="E118" s="24" t="str">
        <x:v>L5-S1</x:v>
      </x:c>
      <x:c r="F118" s="24" t="str">
        <x:v>Superolateral/dorsal calcaneus; inferior extensor retinaculum</x:v>
      </x:c>
      <x:c r="G118" s="24" t="str">
        <x:v>Tendons to dorsal digital expansions toes 2-4</x:v>
      </x:c>
      <x:c r="H118" s="24" t="str">
        <x:v>Three EDB tendons blending with long extensor tendons</x:v>
      </x:c>
      <x:c r="I118" s="24" t="str">
        <x:v>Inferior extensor retinaculum direct proximal relationship</x:v>
      </x:c>
      <x:c r="J118" s="24" t="str">
        <x:v>Mixed Type I and Type II; ratio unverified</x:v>
      </x:c>
      <x:c r="K118" s="24" t="str">
        <x:v>EX0203</x:v>
      </x:c>
      <x:c r="L118" s="24" t="str">
        <x:v>—</x:v>
      </x:c>
      <x:c r="M118" s="24" t="str">
        <x:v>—</x:v>
      </x:c>
      <x:c r="N118" s="24" t="str">
        <x:v>—</x:v>
      </x:c>
      <x:c r="O118" s="24" t="str">
        <x:v>Active strength target (group or direct)</x:v>
      </x:c>
      <x:c r="P118" s="24" t="str">
        <x:v>Resisted lesser-toe extension</x:v>
      </x:c>
      <x:c r="Q118" s="24" t="str">
        <x:v>Active/involved status varies with technique, loading, individual anatomy and fatigue.</x:v>
      </x:c>
    </x:row>
    <x:row r="119" ht="54" customHeight="1">
      <x:c r="A119" s="24" t="str">
        <x:v>Extensor hallucis brevis</x:v>
      </x:c>
      <x:c r="B119" s="24" t="str">
        <x:v>Foot</x:v>
      </x:c>
      <x:c r="C119" s="24" t="str">
        <x:v>Dorsal foot</x:v>
      </x:c>
      <x:c r="D119" s="24" t="str">
        <x:v>Deep fibular nerve</x:v>
      </x:c>
      <x:c r="E119" s="24" t="str">
        <x:v>L5-S1</x:v>
      </x:c>
      <x:c r="F119" s="24" t="str">
        <x:v>Superolateral calcaneus</x:v>
      </x:c>
      <x:c r="G119" s="24" t="str">
        <x:v>Dorsal base proximal phalanx hallux</x:v>
      </x:c>
      <x:c r="H119" s="24" t="str">
        <x:v>EHB tendon</x:v>
      </x:c>
      <x:c r="I119" s="24" t="str">
        <x:v>Inferior extensor retinaculum adjacent at origin</x:v>
      </x:c>
      <x:c r="J119" s="24" t="str">
        <x:v>Mixed Type I and Type II; ratio unverified</x:v>
      </x:c>
      <x:c r="K119" s="24" t="str">
        <x:v>EX0202; EX0214</x:v>
      </x:c>
      <x:c r="L119" s="24" t="str">
        <x:v>—</x:v>
      </x:c>
      <x:c r="M119" s="24" t="str">
        <x:v>—</x:v>
      </x:c>
      <x:c r="N119" s="24" t="str">
        <x:v>—</x:v>
      </x:c>
      <x:c r="O119" s="24" t="str">
        <x:v>Active strength target (group or direct)</x:v>
      </x:c>
      <x:c r="P119" s="24" t="str">
        <x:v>Resisted great-toe extension; Toe yoga: big toe up, lesser toes down</x:v>
      </x:c>
      <x:c r="Q119" s="24" t="str">
        <x:v>Active/involved status varies with technique, loading, individual anatomy and fatigue.</x:v>
      </x:c>
    </x:row>
    <x:row r="120" ht="54" customHeight="1">
      <x:c r="A120" s="24" t="str">
        <x:v>Abductor digiti minimi (foot)</x:v>
      </x:c>
      <x:c r="B120" s="24" t="str">
        <x:v>Foot</x:v>
      </x:c>
      <x:c r="C120" s="24" t="str">
        <x:v>Plantar layer 1</x:v>
      </x:c>
      <x:c r="D120" s="24" t="str">
        <x:v>Lateral plantar nerve</x:v>
      </x:c>
      <x:c r="E120" s="24" t="str">
        <x:v>S1-S3</x:v>
      </x:c>
      <x:c r="F120" s="24" t="str">
        <x:v>Medial/lateral calcaneal tubercles; plantar aponeurosis</x:v>
      </x:c>
      <x:c r="G120" s="24" t="str">
        <x:v>Lateral base proximal phalanx fifth toe</x:v>
      </x:c>
      <x:c r="H120" s="24" t="str">
        <x:v>Distal insertion tendon</x:v>
      </x:c>
      <x:c r="I120" s="24" t="str">
        <x:v>Plantar aponeurosis direct origin</x:v>
      </x:c>
      <x:c r="J120" s="24" t="str">
        <x:v>Mixed Type I and Type II; ratio unverified</x:v>
      </x:c>
      <x:c r="K120" s="24" t="str">
        <x:v>EX0143; EX0206; EX0207; EX0208; EX0209; EX0212; EX0218; EX0219</x:v>
      </x:c>
      <x:c r="L120" s="24" t="str">
        <x:v>EX0210; EX0211; EX0214; EX0215; EX0216</x:v>
      </x:c>
      <x:c r="M120" s="24" t="str">
        <x:v>EX0189; EX0190; EX0191; EX0192; EX0194; EX0195; EX0197; EX0205; EX0213; EX0229; EX0230; EX0231; EX0232</x:v>
      </x:c>
      <x:c r="N120" s="24" t="str">
        <x:v>EX0225</x:v>
      </x:c>
      <x:c r="O120" s="24" t="str">
        <x:v>Active strength target (group or direct)</x:v>
      </x:c>
      <x:c r="P120" s="24" t="str">
        <x:v>Single-leg balance with opposite knee lift; Short foot / arch doming; Towel toe scrunches; Marble pick-up with toes; Toe squeeze together; Big-toe abduction with finger spacer</x:v>
      </x:c>
      <x:c r="Q120" s="24" t="str">
        <x:v>Active/involved status varies with technique, loading, individual anatomy and fatigue.</x:v>
      </x:c>
    </x:row>
    <x:row r="121" ht="54" customHeight="1">
      <x:c r="A121" s="24" t="str">
        <x:v>Abductor hallucis</x:v>
      </x:c>
      <x:c r="B121" s="24" t="str">
        <x:v>Foot</x:v>
      </x:c>
      <x:c r="C121" s="24" t="str">
        <x:v>Plantar layer 1</x:v>
      </x:c>
      <x:c r="D121" s="24" t="str">
        <x:v>Medial plantar nerve</x:v>
      </x:c>
      <x:c r="E121" s="24" t="str">
        <x:v>S1-S2</x:v>
      </x:c>
      <x:c r="F121" s="24" t="str">
        <x:v>Medial calcaneal tubercle; plantar aponeurosis; flexor retinaculum</x:v>
      </x:c>
      <x:c r="G121" s="24" t="str">
        <x:v>Medial base proximal phalanx hallux via sesamoid</x:v>
      </x:c>
      <x:c r="H121" s="24" t="str">
        <x:v>Medial hallucal sesamoid insertion tendon</x:v>
      </x:c>
      <x:c r="I121" s="24" t="str">
        <x:v>Flexor retinaculum direct origin; plantar aponeurosis attachment</x:v>
      </x:c>
      <x:c r="J121" s="24" t="str">
        <x:v>Mixed Type I and Type II; ratio unverified</x:v>
      </x:c>
      <x:c r="K121" s="24" t="str">
        <x:v>EX0143; EX0206; EX0207; EX0208; EX0209; EX0211; EX0218; EX0219</x:v>
      </x:c>
      <x:c r="L121" s="24" t="str">
        <x:v>EX0204; EX0210; EX0212; EX0214; EX0215; EX0216</x:v>
      </x:c>
      <x:c r="M121" s="24" t="str">
        <x:v>EX0189; EX0190; EX0191; EX0192; EX0194; EX0195; EX0197; EX0205; EX0213; EX0229; EX0230; EX0231; EX0232</x:v>
      </x:c>
      <x:c r="N121" s="24" t="str">
        <x:v>EX0225</x:v>
      </x:c>
      <x:c r="O121" s="24" t="str">
        <x:v>Active strength target (group or direct)</x:v>
      </x:c>
      <x:c r="P121" s="24" t="str">
        <x:v>Single-leg balance with opposite knee lift; Short foot / arch doming; Towel toe scrunches; Marble pick-up with toes; Resisted hallux flexion; Toe squeeze together</x:v>
      </x:c>
      <x:c r="Q121" s="24" t="str">
        <x:v>Active/involved status varies with technique, loading, individual anatomy and fatigue.</x:v>
      </x:c>
    </x:row>
    <x:row r="122" ht="54" customHeight="1">
      <x:c r="A122" s="24" t="str">
        <x:v>Flexor digitorum brevis</x:v>
      </x:c>
      <x:c r="B122" s="24" t="str">
        <x:v>Foot</x:v>
      </x:c>
      <x:c r="C122" s="24" t="str">
        <x:v>Plantar layer 1</x:v>
      </x:c>
      <x:c r="D122" s="24" t="str">
        <x:v>Medial plantar nerve</x:v>
      </x:c>
      <x:c r="E122" s="24" t="str">
        <x:v>S1-S2</x:v>
      </x:c>
      <x:c r="F122" s="24" t="str">
        <x:v>Medial calcaneal tubercle; plantar aponeurosis</x:v>
      </x:c>
      <x:c r="G122" s="24" t="str">
        <x:v>Sides middle phalanges toes 2-5</x:v>
      </x:c>
      <x:c r="H122" s="24" t="str">
        <x:v>Four bifurcating digital tendons</x:v>
      </x:c>
      <x:c r="I122" s="24" t="str">
        <x:v>Plantar aponeurosis direct origin; digital fibrous sheaths</x:v>
      </x:c>
      <x:c r="J122" s="24" t="str">
        <x:v>Mixed Type I and Type II; ratio unverified</x:v>
      </x:c>
      <x:c r="K122" s="24" t="str">
        <x:v>EX0143; EX0205; EX0206; EX0207; EX0208; EX0214; EX0218; EX0219</x:v>
      </x:c>
      <x:c r="L122" s="24" t="str">
        <x:v>EX0209; EX0210; EX0211; EX0212; EX0215; EX0216</x:v>
      </x:c>
      <x:c r="M122" s="24" t="str">
        <x:v>EX0189; EX0190; EX0191; EX0192; EX0194; EX0195; EX0197; EX0213; EX0229; EX0230; EX0231; EX0232</x:v>
      </x:c>
      <x:c r="N122" s="24" t="str">
        <x:v>EX0224; EX0225</x:v>
      </x:c>
      <x:c r="O122" s="24" t="str">
        <x:v>Active strength target (group or direct)</x:v>
      </x:c>
      <x:c r="P122" s="24" t="str">
        <x:v>Single-leg balance with opposite knee lift; Resisted lesser toe flexion; Short foot / arch doming; Towel toe scrunches; Toe spread and splay; Toe squeeze together</x:v>
      </x:c>
      <x:c r="Q122" s="24" t="str">
        <x:v>Active/involved status varies with technique, loading, individual anatomy and fatigue.</x:v>
      </x:c>
    </x:row>
    <x:row r="123" ht="54" customHeight="1">
      <x:c r="A123" s="24" t="str">
        <x:v>Lumbrical 1 (foot)</x:v>
      </x:c>
      <x:c r="B123" s="24" t="str">
        <x:v>Foot</x:v>
      </x:c>
      <x:c r="C123" s="24" t="str">
        <x:v>Plantar layer 2</x:v>
      </x:c>
      <x:c r="D123" s="24" t="str">
        <x:v>Medial plantar nerve</x:v>
      </x:c>
      <x:c r="E123" s="24" t="str">
        <x:v>S2-S3 (variable S1)</x:v>
      </x:c>
      <x:c r="F123" s="24" t="str">
        <x:v>Medial side first FDL tendon</x:v>
      </x:c>
      <x:c r="G123" s="24" t="str">
        <x:v>Medial extensor expansion and proximal phalanx toe 2</x:v>
      </x:c>
      <x:c r="H123" s="24" t="str">
        <x:v>FDL tendon origin; extensor hood insertion</x:v>
      </x:c>
      <x:c r="I123" s="24" t="str">
        <x:v>Plantar plates of MTP joints adjacent</x:v>
      </x:c>
      <x:c r="J123" s="24" t="str">
        <x:v>Mixed Type I and Type II; ratio unverified</x:v>
      </x:c>
      <x:c r="K123" s="24" t="str">
        <x:v>EX0143; EX0206; EX0207; EX0208; EX0216; EX0218; EX0219</x:v>
      </x:c>
      <x:c r="L123" s="24" t="str">
        <x:v>EX0209; EX0210; EX0211; EX0212; EX0214; EX0215</x:v>
      </x:c>
      <x:c r="M123" s="24" t="str">
        <x:v>EX0189; EX0190; EX0191; EX0192; EX0194; EX0195; EX0197; EX0205; EX0213; EX0229; EX0230; EX0231; EX0232</x:v>
      </x:c>
      <x:c r="N123" s="24" t="str">
        <x:v>EX0225</x:v>
      </x:c>
      <x:c r="O123" s="24" t="str">
        <x:v>Active strength target (group or direct)</x:v>
      </x:c>
      <x:c r="P123" s="24" t="str">
        <x:v>Single-leg balance with opposite knee lift; Short foot / arch doming; Towel toe scrunches; Marble pick-up with toes; Toe spread and splay; Toe squeeze together</x:v>
      </x:c>
      <x:c r="Q123" s="24" t="str">
        <x:v>Active/involved status varies with technique, loading, individual anatomy and fatigue.</x:v>
      </x:c>
    </x:row>
    <x:row r="124" ht="54" customHeight="1">
      <x:c r="A124" s="24" t="str">
        <x:v>Lumbrical 2 (foot)</x:v>
      </x:c>
      <x:c r="B124" s="24" t="str">
        <x:v>Foot</x:v>
      </x:c>
      <x:c r="C124" s="24" t="str">
        <x:v>Plantar layer 2</x:v>
      </x:c>
      <x:c r="D124" s="24" t="str">
        <x:v>Lateral plantar nerve</x:v>
      </x:c>
      <x:c r="E124" s="24" t="str">
        <x:v>S2-S3</x:v>
      </x:c>
      <x:c r="F124" s="24" t="str">
        <x:v>Adjacent FDL tendons to toes 2 and 3</x:v>
      </x:c>
      <x:c r="G124" s="24" t="str">
        <x:v>Medial extensor expansion toe 3</x:v>
      </x:c>
      <x:c r="H124" s="24" t="str">
        <x:v>FDL tendon origin; extensor expansion</x:v>
      </x:c>
      <x:c r="I124" s="24" t="str">
        <x:v>MTP plantar plate nearby</x:v>
      </x:c>
      <x:c r="J124" s="24" t="str">
        <x:v>Mixed Type I and Type II; ratio unverified</x:v>
      </x:c>
      <x:c r="K124" s="24" t="str">
        <x:v>EX0143; EX0206; EX0207; EX0208; EX0216; EX0218; EX0219</x:v>
      </x:c>
      <x:c r="L124" s="24" t="str">
        <x:v>EX0209; EX0210; EX0211; EX0212; EX0214; EX0215</x:v>
      </x:c>
      <x:c r="M124" s="24" t="str">
        <x:v>EX0189; EX0190; EX0191; EX0192; EX0194; EX0195; EX0197; EX0205; EX0213; EX0229; EX0230; EX0231; EX0232</x:v>
      </x:c>
      <x:c r="N124" s="24" t="str">
        <x:v>EX0225</x:v>
      </x:c>
      <x:c r="O124" s="24" t="str">
        <x:v>Active strength target (group or direct)</x:v>
      </x:c>
      <x:c r="P124" s="24" t="str">
        <x:v>Single-leg balance with opposite knee lift; Short foot / arch doming; Towel toe scrunches; Marble pick-up with toes; Toe spread and splay; Toe squeeze together</x:v>
      </x:c>
      <x:c r="Q124" s="24" t="str">
        <x:v>Active/involved status varies with technique, loading, individual anatomy and fatigue.</x:v>
      </x:c>
    </x:row>
    <x:row r="125" ht="54" customHeight="1">
      <x:c r="A125" s="24" t="str">
        <x:v>Lumbrical 3 (foot)</x:v>
      </x:c>
      <x:c r="B125" s="24" t="str">
        <x:v>Foot</x:v>
      </x:c>
      <x:c r="C125" s="24" t="str">
        <x:v>Plantar layer 2</x:v>
      </x:c>
      <x:c r="D125" s="24" t="str">
        <x:v>Lateral plantar nerve</x:v>
      </x:c>
      <x:c r="E125" s="24" t="str">
        <x:v>S2-S3</x:v>
      </x:c>
      <x:c r="F125" s="24" t="str">
        <x:v>Adjacent FDL tendons toes 3 and 4</x:v>
      </x:c>
      <x:c r="G125" s="24" t="str">
        <x:v>Medial extensor expansion toe 4</x:v>
      </x:c>
      <x:c r="H125" s="24" t="str">
        <x:v>FDL tendon origin; extensor expansion</x:v>
      </x:c>
      <x:c r="I125" s="24" t="str">
        <x:v>MTP plantar plate nearby</x:v>
      </x:c>
      <x:c r="J125" s="24" t="str">
        <x:v>Mixed Type I and Type II; ratio unverified</x:v>
      </x:c>
      <x:c r="K125" s="24" t="str">
        <x:v>EX0143; EX0206; EX0207; EX0208; EX0216; EX0218; EX0219</x:v>
      </x:c>
      <x:c r="L125" s="24" t="str">
        <x:v>EX0209; EX0210; EX0211; EX0212; EX0214; EX0215</x:v>
      </x:c>
      <x:c r="M125" s="24" t="str">
        <x:v>EX0189; EX0190; EX0191; EX0192; EX0194; EX0195; EX0197; EX0205; EX0213; EX0229; EX0230; EX0231; EX0232</x:v>
      </x:c>
      <x:c r="N125" s="24" t="str">
        <x:v>EX0225</x:v>
      </x:c>
      <x:c r="O125" s="24" t="str">
        <x:v>Active strength target (group or direct)</x:v>
      </x:c>
      <x:c r="P125" s="24" t="str">
        <x:v>Single-leg balance with opposite knee lift; Short foot / arch doming; Towel toe scrunches; Marble pick-up with toes; Toe spread and splay; Toe squeeze together</x:v>
      </x:c>
      <x:c r="Q125" s="24" t="str">
        <x:v>Active/involved status varies with technique, loading, individual anatomy and fatigue.</x:v>
      </x:c>
    </x:row>
    <x:row r="126" ht="54" customHeight="1">
      <x:c r="A126" s="24" t="str">
        <x:v>Lumbrical 4 (foot)</x:v>
      </x:c>
      <x:c r="B126" s="24" t="str">
        <x:v>Foot</x:v>
      </x:c>
      <x:c r="C126" s="24" t="str">
        <x:v>Plantar layer 2</x:v>
      </x:c>
      <x:c r="D126" s="24" t="str">
        <x:v>Lateral plantar nerve</x:v>
      </x:c>
      <x:c r="E126" s="24" t="str">
        <x:v>S2-S3</x:v>
      </x:c>
      <x:c r="F126" s="24" t="str">
        <x:v>Adjacent FDL tendons toes 4 and 5</x:v>
      </x:c>
      <x:c r="G126" s="24" t="str">
        <x:v>Medial extensor expansion toe 5</x:v>
      </x:c>
      <x:c r="H126" s="24" t="str">
        <x:v>FDL tendon origin; extensor expansion</x:v>
      </x:c>
      <x:c r="I126" s="24" t="str">
        <x:v>MTP plantar plate nearby</x:v>
      </x:c>
      <x:c r="J126" s="24" t="str">
        <x:v>Mixed Type I and Type II; ratio unverified</x:v>
      </x:c>
      <x:c r="K126" s="24" t="str">
        <x:v>EX0143; EX0206; EX0207; EX0208; EX0216; EX0218; EX0219</x:v>
      </x:c>
      <x:c r="L126" s="24" t="str">
        <x:v>EX0209; EX0210; EX0211; EX0212; EX0214; EX0215</x:v>
      </x:c>
      <x:c r="M126" s="24" t="str">
        <x:v>EX0189; EX0190; EX0191; EX0192; EX0194; EX0195; EX0197; EX0205; EX0213; EX0229; EX0230; EX0231; EX0232</x:v>
      </x:c>
      <x:c r="N126" s="24" t="str">
        <x:v>EX0225</x:v>
      </x:c>
      <x:c r="O126" s="24" t="str">
        <x:v>Active strength target (group or direct)</x:v>
      </x:c>
      <x:c r="P126" s="24" t="str">
        <x:v>Single-leg balance with opposite knee lift; Short foot / arch doming; Towel toe scrunches; Marble pick-up with toes; Toe spread and splay; Toe squeeze together</x:v>
      </x:c>
      <x:c r="Q126" s="24" t="str">
        <x:v>Active/involved status varies with technique, loading, individual anatomy and fatigue.</x:v>
      </x:c>
    </x:row>
    <x:row r="127" ht="54" customHeight="1">
      <x:c r="A127" s="24" t="str">
        <x:v>Quadratus plantae lateral head</x:v>
      </x:c>
      <x:c r="B127" s="24" t="str">
        <x:v>Foot</x:v>
      </x:c>
      <x:c r="C127" s="24" t="str">
        <x:v>Plantar layer 2</x:v>
      </x:c>
      <x:c r="D127" s="24" t="str">
        <x:v>Lateral plantar nerve</x:v>
      </x:c>
      <x:c r="E127" s="24" t="str">
        <x:v>S1-S3</x:v>
      </x:c>
      <x:c r="F127" s="24" t="str">
        <x:v>Lateral calcaneal tubercle and long plantar ligament</x:v>
      </x:c>
      <x:c r="G127" s="24" t="str">
        <x:v>Lateral edge FDL tendon</x:v>
      </x:c>
      <x:c r="H127" s="24" t="str">
        <x:v>Insertion to FDL tendon</x:v>
      </x:c>
      <x:c r="I127" s="24" t="str">
        <x:v>Long plantar ligament may contribute to origin</x:v>
      </x:c>
      <x:c r="J127" s="24" t="str">
        <x:v>Mixed Type I and Type II; ratio unverified</x:v>
      </x:c>
      <x:c r="K127" s="24" t="str">
        <x:v>EX0143; EX0205; EX0206; EX0207; EX0208; EX0217; EX0218; EX0219</x:v>
      </x:c>
      <x:c r="L127" s="24" t="str">
        <x:v>EX0209; EX0210; EX0211; EX0212; EX0214; EX0215; EX0216</x:v>
      </x:c>
      <x:c r="M127" s="24" t="str">
        <x:v>EX0189; EX0190; EX0191; EX0192; EX0194; EX0195; EX0197; EX0213; EX0229; EX0230; EX0231; EX0232</x:v>
      </x:c>
      <x:c r="N127" s="24" t="str">
        <x:v>EX0225</x:v>
      </x:c>
      <x:c r="O127" s="24" t="str">
        <x:v>Active strength target (group or direct)</x:v>
      </x:c>
      <x:c r="P127" s="24" t="str">
        <x:v>Single-leg balance with opposite knee lift; Resisted lesser toe flexion; Short foot / arch doming; Towel toe scrunches; Toe spread and splay; Toe squeeze together</x:v>
      </x:c>
      <x:c r="Q127" s="24" t="str">
        <x:v>Active/involved status varies with technique, loading, individual anatomy and fatigue.</x:v>
      </x:c>
    </x:row>
    <x:row r="128" ht="54" customHeight="1">
      <x:c r="A128" s="24" t="str">
        <x:v>Quadratus plantae medial head</x:v>
      </x:c>
      <x:c r="B128" s="24" t="str">
        <x:v>Foot</x:v>
      </x:c>
      <x:c r="C128" s="24" t="str">
        <x:v>Plantar layer 2</x:v>
      </x:c>
      <x:c r="D128" s="24" t="str">
        <x:v>Lateral plantar nerve</x:v>
      </x:c>
      <x:c r="E128" s="24" t="str">
        <x:v>S1-S3</x:v>
      </x:c>
      <x:c r="F128" s="24" t="str">
        <x:v>Medial surface calcaneus</x:v>
      </x:c>
      <x:c r="G128" s="24" t="str">
        <x:v>Posterolateral edge flexor digitorum longus tendon</x:v>
      </x:c>
      <x:c r="H128" s="24" t="str">
        <x:v>Attaches directly to FDL tendon</x:v>
      </x:c>
      <x:c r="I128" s="24" t="str">
        <x:v>Long plantar ligament nearby (no direct ligament insertion)</x:v>
      </x:c>
      <x:c r="J128" s="24" t="str">
        <x:v>Mixed Type I and Type II; ratio unverified</x:v>
      </x:c>
      <x:c r="K128" s="24" t="str">
        <x:v>EX0143; EX0205; EX0206; EX0207; EX0208; EX0217; EX0218; EX0219</x:v>
      </x:c>
      <x:c r="L128" s="24" t="str">
        <x:v>EX0209; EX0210; EX0211; EX0212; EX0214; EX0215; EX0216</x:v>
      </x:c>
      <x:c r="M128" s="24" t="str">
        <x:v>EX0189; EX0190; EX0191; EX0192; EX0194; EX0195; EX0197; EX0213; EX0229; EX0230; EX0231; EX0232</x:v>
      </x:c>
      <x:c r="N128" s="24" t="str">
        <x:v>EX0225</x:v>
      </x:c>
      <x:c r="O128" s="24" t="str">
        <x:v>Active strength target (group or direct)</x:v>
      </x:c>
      <x:c r="P128" s="24" t="str">
        <x:v>Single-leg balance with opposite knee lift; Resisted lesser toe flexion; Short foot / arch doming; Towel toe scrunches; Toe spread and splay; Toe squeeze together</x:v>
      </x:c>
      <x:c r="Q128" s="24" t="str">
        <x:v>Active/involved status varies with technique, loading, individual anatomy and fatigue.</x:v>
      </x:c>
    </x:row>
    <x:row r="129" ht="54" customHeight="1">
      <x:c r="A129" s="24" t="str">
        <x:v>Adductor hallucis oblique head</x:v>
      </x:c>
      <x:c r="B129" s="24" t="str">
        <x:v>Foot</x:v>
      </x:c>
      <x:c r="C129" s="24" t="str">
        <x:v>Plantar layer 3</x:v>
      </x:c>
      <x:c r="D129" s="24" t="str">
        <x:v>Deep branch lateral plantar nerve</x:v>
      </x:c>
      <x:c r="E129" s="24" t="str">
        <x:v>S2-S3</x:v>
      </x:c>
      <x:c r="F129" s="24" t="str">
        <x:v>Bases metatarsals 2-4; long plantar ligament; fibularis longus tendon sheath</x:v>
      </x:c>
      <x:c r="G129" s="24" t="str">
        <x:v>Lateral base proximal phalanx hallux with sesamoid</x:v>
      </x:c>
      <x:c r="H129" s="24" t="str">
        <x:v>Tendon via lateral sesamoid</x:v>
      </x:c>
      <x:c r="I129" s="24" t="str">
        <x:v>Long plantar ligament contributes origin</x:v>
      </x:c>
      <x:c r="J129" s="24" t="str">
        <x:v>Mixed Type I and Type II; ratio unverified</x:v>
      </x:c>
      <x:c r="K129" s="24" t="str">
        <x:v>EX0125; EX0126; EX0127; EX0128; EX0141; EX0143; EX0154; EX0174; EX0187; EX0206; EX0207; EX0208; EX0210; EX0213; EX0218; EX0219; EX0365</x:v>
      </x:c>
      <x:c r="L129" s="24" t="str">
        <x:v>EX0102; EX0105; EX0129; EX0139; EX0144; EX0146; EX0147; EX0149; EX0150; EX0151; EX0152; EX0153; EX0155; EX0170; EX0171; EX0172; EX0173; EX0209; EX0211; EX0212; EX0214; EX0215; EX0216</x:v>
      </x:c>
      <x:c r="M129" s="24" t="str">
        <x:v>EX0189; EX0190; EX0191; EX0192; EX0194; EX0195; EX0197; EX0205; EX0229; EX0230; EX0231; EX0232</x:v>
      </x:c>
      <x:c r="N129" s="24" t="str">
        <x:v>EX0137; EX0138; EX0141; EX0154; EX0182; EX0225; EX0365; EX0366; EX0367</x:v>
      </x:c>
      <x:c r="O129" s="24" t="str">
        <x:v>Active strength target (group or direct)</x:v>
      </x:c>
      <x:c r="P129" s="24" t="str">
        <x:v>Adductor ball squeeze; Side-lying adductor raise; Cable standing hip adduction; Copenhagen adduction (short lever); Bodyweight glute bridge; Hip thrust with dumbbell</x:v>
      </x:c>
      <x:c r="Q129" s="24" t="str">
        <x:v>Active/involved status varies with technique, loading, individual anatomy and fatigue.</x:v>
      </x:c>
    </x:row>
    <x:row r="130" ht="54" customHeight="1">
      <x:c r="A130" s="24" t="str">
        <x:v>Adductor hallucis transverse head</x:v>
      </x:c>
      <x:c r="B130" s="24" t="str">
        <x:v>Foot</x:v>
      </x:c>
      <x:c r="C130" s="24" t="str">
        <x:v>Plantar layer 3</x:v>
      </x:c>
      <x:c r="D130" s="24" t="str">
        <x:v>Deep branch lateral plantar nerve</x:v>
      </x:c>
      <x:c r="E130" s="24" t="str">
        <x:v>S2-S3</x:v>
      </x:c>
      <x:c r="F130" s="24" t="str">
        <x:v>Plantar plates of MTP joints toes 3-5; deep transverse metatarsal ligaments</x:v>
      </x:c>
      <x:c r="G130" s="24" t="str">
        <x:v>Lateral base proximal phalanx hallux</x:v>
      </x:c>
      <x:c r="H130" s="24" t="str">
        <x:v>Common adductor tendon</x:v>
      </x:c>
      <x:c r="I130" s="24" t="str">
        <x:v>Deep transverse metatarsal ligaments direct origins</x:v>
      </x:c>
      <x:c r="J130" s="24" t="str">
        <x:v>Mixed Type I and Type II; ratio unverified</x:v>
      </x:c>
      <x:c r="K130" s="24" t="str">
        <x:v>EX0125; EX0126; EX0127; EX0128; EX0141; EX0143; EX0154; EX0174; EX0187; EX0206; EX0207; EX0208; EX0210; EX0213; EX0218; EX0219; EX0365</x:v>
      </x:c>
      <x:c r="L130" s="24" t="str">
        <x:v>EX0102; EX0105; EX0129; EX0139; EX0144; EX0146; EX0147; EX0149; EX0150; EX0151; EX0152; EX0153; EX0155; EX0170; EX0171; EX0172; EX0173; EX0209; EX0211; EX0212; EX0214; EX0215; EX0216</x:v>
      </x:c>
      <x:c r="M130" s="24" t="str">
        <x:v>EX0189; EX0190; EX0191; EX0192; EX0194; EX0195; EX0197; EX0205; EX0229; EX0230; EX0231; EX0232</x:v>
      </x:c>
      <x:c r="N130" s="24" t="str">
        <x:v>EX0137; EX0138; EX0141; EX0154; EX0182; EX0225; EX0365; EX0366; EX0367</x:v>
      </x:c>
      <x:c r="O130" s="24" t="str">
        <x:v>Active strength target (group or direct)</x:v>
      </x:c>
      <x:c r="P130" s="24" t="str">
        <x:v>Adductor ball squeeze; Side-lying adductor raise; Cable standing hip adduction; Copenhagen adduction (short lever); Bodyweight glute bridge; Hip thrust with dumbbell</x:v>
      </x:c>
      <x:c r="Q130" s="24" t="str">
        <x:v>Active/involved status varies with technique, loading, individual anatomy and fatigue.</x:v>
      </x:c>
    </x:row>
    <x:row r="131" ht="54" customHeight="1">
      <x:c r="A131" s="24" t="str">
        <x:v>Flexor digiti minimi brevis (foot)</x:v>
      </x:c>
      <x:c r="B131" s="24" t="str">
        <x:v>Foot</x:v>
      </x:c>
      <x:c r="C131" s="24" t="str">
        <x:v>Plantar layer 3</x:v>
      </x:c>
      <x:c r="D131" s="24" t="str">
        <x:v>Superficial branch lateral plantar nerve</x:v>
      </x:c>
      <x:c r="E131" s="24" t="str">
        <x:v>S2-S3</x:v>
      </x:c>
      <x:c r="F131" s="24" t="str">
        <x:v>Base metatarsal 5; long plantar ligament</x:v>
      </x:c>
      <x:c r="G131" s="24" t="str">
        <x:v>Base proximal phalanx fifth toe</x:v>
      </x:c>
      <x:c r="H131" s="24" t="str">
        <x:v>Distal tendon to fifth toe</x:v>
      </x:c>
      <x:c r="I131" s="24" t="str">
        <x:v>Long plantar ligament contributes to origin</x:v>
      </x:c>
      <x:c r="J131" s="24" t="str">
        <x:v>Mixed Type I and Type II; ratio unverified</x:v>
      </x:c>
      <x:c r="K131" s="24" t="str">
        <x:v>EX0143; EX0206; EX0207; EX0208; EX0214; EX0218; EX0219</x:v>
      </x:c>
      <x:c r="L131" s="24" t="str">
        <x:v>EX0209; EX0210; EX0211; EX0212; EX0215; EX0216</x:v>
      </x:c>
      <x:c r="M131" s="24" t="str">
        <x:v>EX0189; EX0190; EX0191; EX0192; EX0194; EX0195; EX0197; EX0205; EX0213; EX0229; EX0230; EX0231; EX0232</x:v>
      </x:c>
      <x:c r="N131" s="24" t="str">
        <x:v>EX0225</x:v>
      </x:c>
      <x:c r="O131" s="24" t="str">
        <x:v>Active strength target (group or direct)</x:v>
      </x:c>
      <x:c r="P131" s="24" t="str">
        <x:v>Single-leg balance with opposite knee lift; Short foot / arch doming; Towel toe scrunches; Marble pick-up with toes; Toe spread and splay; Toe squeeze together</x:v>
      </x:c>
      <x:c r="Q131" s="24" t="str">
        <x:v>Active/involved status varies with technique, loading, individual anatomy and fatigue.</x:v>
      </x:c>
    </x:row>
    <x:row r="132" ht="54" customHeight="1">
      <x:c r="A132" s="24" t="str">
        <x:v>Flexor hallucis brevis lateral head</x:v>
      </x:c>
      <x:c r="B132" s="24" t="str">
        <x:v>Foot</x:v>
      </x:c>
      <x:c r="C132" s="24" t="str">
        <x:v>Plantar layer 3</x:v>
      </x:c>
      <x:c r="D132" s="24" t="str">
        <x:v>Medial plantar nerve (variable deep lateral plantar contribution)</x:v>
      </x:c>
      <x:c r="E132" s="24" t="str">
        <x:v>S1-S2</x:v>
      </x:c>
      <x:c r="F132" s="24" t="str">
        <x:v>Cuboid/lateral cuneiform; tibialis posterior tendon</x:v>
      </x:c>
      <x:c r="G132" s="24" t="str">
        <x:v>Lateral sesamoid and base proximal hallux phalanx</x:v>
      </x:c>
      <x:c r="H132" s="24" t="str">
        <x:v>Tendon via lateral hallucal sesamoid</x:v>
      </x:c>
      <x:c r="I132" s="24" t="str">
        <x:v>Plantar plate and collateral ligaments at MTP nearby</x:v>
      </x:c>
      <x:c r="J132" s="24" t="str">
        <x:v>Mixed Type I and Type II; ratio unverified</x:v>
      </x:c>
      <x:c r="K132" s="24" t="str">
        <x:v>EX0143; EX0204; EX0206; EX0207; EX0208; EX0214; EX0218; EX0219</x:v>
      </x:c>
      <x:c r="L132" s="24" t="str">
        <x:v>EX0209; EX0210; EX0211; EX0212; EX0215; EX0216</x:v>
      </x:c>
      <x:c r="M132" s="24" t="str">
        <x:v>EX0189; EX0190; EX0191; EX0192; EX0194; EX0195; EX0197; EX0205; EX0213; EX0229; EX0230; EX0231; EX0232</x:v>
      </x:c>
      <x:c r="N132" s="24" t="str">
        <x:v>EX0224; EX0225</x:v>
      </x:c>
      <x:c r="O132" s="24" t="str">
        <x:v>Active strength target (group or direct)</x:v>
      </x:c>
      <x:c r="P132" s="24" t="str">
        <x:v>Single-leg balance with opposite knee lift; Resisted hallux flexion; Short foot / arch doming; Towel toe scrunches; Toe spread and splay; Toe squeeze together</x:v>
      </x:c>
      <x:c r="Q132" s="24" t="str">
        <x:v>Active/involved status varies with technique, loading, individual anatomy and fatigue.</x:v>
      </x:c>
    </x:row>
    <x:row r="133" ht="54" customHeight="1">
      <x:c r="A133" s="24" t="str">
        <x:v>Flexor hallucis brevis medial head</x:v>
      </x:c>
      <x:c r="B133" s="24" t="str">
        <x:v>Foot</x:v>
      </x:c>
      <x:c r="C133" s="24" t="str">
        <x:v>Plantar layer 3</x:v>
      </x:c>
      <x:c r="D133" s="24" t="str">
        <x:v>Medial plantar nerve</x:v>
      </x:c>
      <x:c r="E133" s="24" t="str">
        <x:v>S1-S2</x:v>
      </x:c>
      <x:c r="F133" s="24" t="str">
        <x:v>Medial cuneiform; cuboid region; tibialis posterior tendon fibers</x:v>
      </x:c>
      <x:c r="G133" s="24" t="str">
        <x:v>Medial sesamoid and base proximal hallux phalanx</x:v>
      </x:c>
      <x:c r="H133" s="24" t="str">
        <x:v>Short tendon via medial hallucal sesamoid</x:v>
      </x:c>
      <x:c r="I133" s="24" t="str">
        <x:v>Plantar plate/medial collateral ligament at MTP nearby</x:v>
      </x:c>
      <x:c r="J133" s="24" t="str">
        <x:v>Mixed Type I and Type II; ratio unverified</x:v>
      </x:c>
      <x:c r="K133" s="24" t="str">
        <x:v>EX0143; EX0204; EX0206; EX0207; EX0208; EX0214; EX0218; EX0219</x:v>
      </x:c>
      <x:c r="L133" s="24" t="str">
        <x:v>EX0209; EX0210; EX0211; EX0212; EX0215; EX0216</x:v>
      </x:c>
      <x:c r="M133" s="24" t="str">
        <x:v>EX0189; EX0190; EX0191; EX0192; EX0194; EX0195; EX0197; EX0205; EX0213; EX0229; EX0230; EX0231; EX0232</x:v>
      </x:c>
      <x:c r="N133" s="24" t="str">
        <x:v>EX0224; EX0225</x:v>
      </x:c>
      <x:c r="O133" s="24" t="str">
        <x:v>Active strength target (group or direct)</x:v>
      </x:c>
      <x:c r="P133" s="24" t="str">
        <x:v>Single-leg balance with opposite knee lift; Resisted hallux flexion; Short foot / arch doming; Towel toe scrunches; Toe spread and splay; Toe squeeze together</x:v>
      </x:c>
      <x:c r="Q133" s="24" t="str">
        <x:v>Active/involved status varies with technique, loading, individual anatomy and fatigue.</x:v>
      </x:c>
    </x:row>
    <x:row r="134" ht="54" customHeight="1">
      <x:c r="A134" s="24" t="str">
        <x:v>Opponens digiti minimi (foot, variable)</x:v>
      </x:c>
      <x:c r="B134" s="24" t="str">
        <x:v>Foot</x:v>
      </x:c>
      <x:c r="C134" s="24" t="str">
        <x:v>Plantar layer 3</x:v>
      </x:c>
      <x:c r="D134" s="24" t="str">
        <x:v>Lateral plantar nerve</x:v>
      </x:c>
      <x:c r="E134" s="24" t="str">
        <x:v>S2-S3</x:v>
      </x:c>
      <x:c r="F134" s="24" t="str">
        <x:v>Long plantar ligament and cuboid/fifth metatarsal base</x:v>
      </x:c>
      <x:c r="G134" s="24" t="str">
        <x:v>Lateral shaft fifth metatarsal</x:v>
      </x:c>
      <x:c r="H134" s="24" t="str">
        <x:v>Small insertion tendinous fibers</x:v>
      </x:c>
      <x:c r="I134" s="24" t="str">
        <x:v>Long plantar ligament origin; muscle absent in some individuals</x:v>
      </x:c>
      <x:c r="J134" s="24" t="str">
        <x:v>Mixed Type I and Type II; ratio unverified</x:v>
      </x:c>
      <x:c r="K134" s="24" t="str">
        <x:v>EX0143; EX0206; EX0207; EX0208; EX0212; EX0218; EX0219</x:v>
      </x:c>
      <x:c r="L134" s="24" t="str">
        <x:v>EX0209; EX0210; EX0211; EX0214; EX0215; EX0216</x:v>
      </x:c>
      <x:c r="M134" s="24" t="str">
        <x:v>EX0189; EX0190; EX0191; EX0192; EX0194; EX0195; EX0197; EX0205; EX0213; EX0229; EX0230; EX0231; EX0232</x:v>
      </x:c>
      <x:c r="N134" s="24" t="str">
        <x:v>EX0225</x:v>
      </x:c>
      <x:c r="O134" s="24" t="str">
        <x:v>Active strength target (group or direct)</x:v>
      </x:c>
      <x:c r="P134" s="24" t="str">
        <x:v>Single-leg balance with opposite knee lift; Short foot / arch doming; Towel toe scrunches; Marble pick-up with toes; Toe spread and splay; Toe squeeze together</x:v>
      </x:c>
      <x:c r="Q134" s="24" t="str">
        <x:v>Active/involved status varies with technique, loading, individual anatomy and fatigue.</x:v>
      </x:c>
    </x:row>
    <x:row r="135" ht="54" customHeight="1">
      <x:c r="A135" s="24" t="str">
        <x:v>Dorsal interosseous 1 (foot)</x:v>
      </x:c>
      <x:c r="B135" s="24" t="str">
        <x:v>Foot</x:v>
      </x:c>
      <x:c r="C135" s="24" t="str">
        <x:v>Plantar layer 4</x:v>
      </x:c>
      <x:c r="D135" s="24" t="str">
        <x:v>Deep branch lateral plantar nerve</x:v>
      </x:c>
      <x:c r="E135" s="24" t="str">
        <x:v>S2-S3</x:v>
      </x:c>
      <x:c r="F135" s="24" t="str">
        <x:v>Facing shafts metatarsals 1-2</x:v>
      </x:c>
      <x:c r="G135" s="24" t="str">
        <x:v>Medial base proximal phalanx toe 2</x:v>
      </x:c>
      <x:c r="H135" s="24" t="str">
        <x:v>Distal interosseous tendon</x:v>
      </x:c>
      <x:c r="I135" s="24" t="str">
        <x:v>Deep transverse metatarsal ligament adjacent</x:v>
      </x:c>
      <x:c r="J135" s="24" t="str">
        <x:v>Mixed Type I and Type II; ratio unverified</x:v>
      </x:c>
      <x:c r="K135" s="24" t="str">
        <x:v>EX0075; EX0076; EX0077; EX0078; EX0082; EX0097; EX0098; EX0099; EX0100; EX0101; EX0143; EX0206; EX0207; EX0208; EX0209; EX0215; EX0218; EX0219; EX0250</x:v>
      </x:c>
      <x:c r="L135" s="24" t="str">
        <x:v>EX0079; EX0087; EX0091; EX0096; EX0210; EX0211; EX0212; EX0214; EX0216; EX0251</x:v>
      </x:c>
      <x:c r="M135" s="24" t="str">
        <x:v>EX0086; EX0173; EX0174; EX0189; EX0190; EX0191; EX0192; EX0194; EX0195; EX0197; EX0205; EX0213; EX0229; EX0230; EX0231; EX0232; EX0248; EX0266; EX0267</x:v>
      </x:c>
      <x:c r="N135" s="24" t="str">
        <x:v>EX0225</x:v>
      </x:c>
      <x:c r="O135" s="24" t="str">
        <x:v>Active strength target (group or direct)</x:v>
      </x:c>
      <x:c r="P135" s="24" t="str">
        <x:v>Towel squeeze; Soft therapy-putty grip; Rubber-band finger opening; Tabletop intrinsic-plus hand position; Individual finger lift from table; Key pinch with therapy putty</x:v>
      </x:c>
      <x:c r="Q135" s="24" t="str">
        <x:v>Active/involved status varies with technique, loading, individual anatomy and fatigue.</x:v>
      </x:c>
    </x:row>
    <x:row r="136" ht="54" customHeight="1">
      <x:c r="A136" s="24" t="str">
        <x:v>Dorsal interosseous 2 (foot)</x:v>
      </x:c>
      <x:c r="B136" s="24" t="str">
        <x:v>Foot</x:v>
      </x:c>
      <x:c r="C136" s="24" t="str">
        <x:v>Plantar layer 4</x:v>
      </x:c>
      <x:c r="D136" s="24" t="str">
        <x:v>Deep branch lateral plantar nerve</x:v>
      </x:c>
      <x:c r="E136" s="24" t="str">
        <x:v>S2-S3</x:v>
      </x:c>
      <x:c r="F136" s="24" t="str">
        <x:v>Facing shafts metatarsals 2-3</x:v>
      </x:c>
      <x:c r="G136" s="24" t="str">
        <x:v>Lateral base proximal phalanx toe 2</x:v>
      </x:c>
      <x:c r="H136" s="24" t="str">
        <x:v>Distal interosseous tendon</x:v>
      </x:c>
      <x:c r="I136" s="24" t="str">
        <x:v>Deep transverse metatarsal ligament adjacent</x:v>
      </x:c>
      <x:c r="J136" s="24" t="str">
        <x:v>Mixed Type I and Type II; ratio unverified</x:v>
      </x:c>
      <x:c r="K136" s="24" t="str">
        <x:v>EX0075; EX0076; EX0077; EX0078; EX0082; EX0097; EX0098; EX0099; EX0100; EX0101; EX0143; EX0206; EX0207; EX0208; EX0209; EX0215; EX0218; EX0219; EX0250</x:v>
      </x:c>
      <x:c r="L136" s="24" t="str">
        <x:v>EX0079; EX0087; EX0091; EX0096; EX0210; EX0211; EX0212; EX0214; EX0216; EX0251</x:v>
      </x:c>
      <x:c r="M136" s="24" t="str">
        <x:v>EX0086; EX0173; EX0174; EX0189; EX0190; EX0191; EX0192; EX0194; EX0195; EX0197; EX0205; EX0213; EX0229; EX0230; EX0231; EX0232; EX0248; EX0266; EX0267</x:v>
      </x:c>
      <x:c r="N136" s="24" t="str">
        <x:v>EX0225</x:v>
      </x:c>
      <x:c r="O136" s="24" t="str">
        <x:v>Active strength target (group or direct)</x:v>
      </x:c>
      <x:c r="P136" s="24" t="str">
        <x:v>Towel squeeze; Soft therapy-putty grip; Rubber-band finger opening; Tabletop intrinsic-plus hand position; Individual finger lift from table; Key pinch with therapy putty</x:v>
      </x:c>
      <x:c r="Q136" s="24" t="str">
        <x:v>Active/involved status varies with technique, loading, individual anatomy and fatigue.</x:v>
      </x:c>
    </x:row>
    <x:row r="137" ht="54" customHeight="1">
      <x:c r="A137" s="24" t="str">
        <x:v>Dorsal interosseous 3 (foot)</x:v>
      </x:c>
      <x:c r="B137" s="24" t="str">
        <x:v>Foot</x:v>
      </x:c>
      <x:c r="C137" s="24" t="str">
        <x:v>Plantar layer 4</x:v>
      </x:c>
      <x:c r="D137" s="24" t="str">
        <x:v>Deep branch lateral plantar nerve</x:v>
      </x:c>
      <x:c r="E137" s="24" t="str">
        <x:v>S2-S3</x:v>
      </x:c>
      <x:c r="F137" s="24" t="str">
        <x:v>Facing shafts metatarsals 3-4</x:v>
      </x:c>
      <x:c r="G137" s="24" t="str">
        <x:v>Lateral base proximal phalanx toe 3</x:v>
      </x:c>
      <x:c r="H137" s="24" t="str">
        <x:v>Distal interosseous tendon</x:v>
      </x:c>
      <x:c r="I137" s="24" t="str">
        <x:v>Deep transverse metatarsal ligament adjacent</x:v>
      </x:c>
      <x:c r="J137" s="24" t="str">
        <x:v>Mixed Type I and Type II; ratio unverified</x:v>
      </x:c>
      <x:c r="K137" s="24" t="str">
        <x:v>EX0075; EX0076; EX0077; EX0078; EX0082; EX0097; EX0098; EX0099; EX0100; EX0101; EX0143; EX0206; EX0207; EX0208; EX0209; EX0215; EX0218; EX0219; EX0250</x:v>
      </x:c>
      <x:c r="L137" s="24" t="str">
        <x:v>EX0079; EX0087; EX0091; EX0096; EX0210; EX0211; EX0212; EX0214; EX0216; EX0251</x:v>
      </x:c>
      <x:c r="M137" s="24" t="str">
        <x:v>EX0086; EX0173; EX0174; EX0189; EX0190; EX0191; EX0192; EX0194; EX0195; EX0197; EX0205; EX0213; EX0229; EX0230; EX0231; EX0232; EX0248; EX0266; EX0267</x:v>
      </x:c>
      <x:c r="N137" s="24" t="str">
        <x:v>EX0225</x:v>
      </x:c>
      <x:c r="O137" s="24" t="str">
        <x:v>Active strength target (group or direct)</x:v>
      </x:c>
      <x:c r="P137" s="24" t="str">
        <x:v>Towel squeeze; Soft therapy-putty grip; Rubber-band finger opening; Tabletop intrinsic-plus hand position; Individual finger lift from table; Key pinch with therapy putty</x:v>
      </x:c>
      <x:c r="Q137" s="24" t="str">
        <x:v>Active/involved status varies with technique, loading, individual anatomy and fatigue.</x:v>
      </x:c>
    </x:row>
    <x:row r="138" ht="54" customHeight="1">
      <x:c r="A138" s="24" t="str">
        <x:v>Dorsal interosseous 4 (foot)</x:v>
      </x:c>
      <x:c r="B138" s="24" t="str">
        <x:v>Foot</x:v>
      </x:c>
      <x:c r="C138" s="24" t="str">
        <x:v>Plantar layer 4</x:v>
      </x:c>
      <x:c r="D138" s="24" t="str">
        <x:v>Deep branch lateral plantar nerve</x:v>
      </x:c>
      <x:c r="E138" s="24" t="str">
        <x:v>S2-S3</x:v>
      </x:c>
      <x:c r="F138" s="24" t="str">
        <x:v>Facing shafts metatarsals 4-5</x:v>
      </x:c>
      <x:c r="G138" s="24" t="str">
        <x:v>Lateral base proximal phalanx toe 4</x:v>
      </x:c>
      <x:c r="H138" s="24" t="str">
        <x:v>Distal interosseous tendon</x:v>
      </x:c>
      <x:c r="I138" s="24" t="str">
        <x:v>Deep transverse metatarsal ligament adjacent</x:v>
      </x:c>
      <x:c r="J138" s="24" t="str">
        <x:v>Mixed Type I and Type II; ratio unverified</x:v>
      </x:c>
      <x:c r="K138" s="24" t="str">
        <x:v>EX0075; EX0076; EX0077; EX0078; EX0082; EX0097; EX0098; EX0099; EX0100; EX0101; EX0143; EX0206; EX0207; EX0208; EX0209; EX0215; EX0218; EX0219; EX0250</x:v>
      </x:c>
      <x:c r="L138" s="24" t="str">
        <x:v>EX0079; EX0087; EX0091; EX0096; EX0210; EX0211; EX0212; EX0214; EX0216; EX0251</x:v>
      </x:c>
      <x:c r="M138" s="24" t="str">
        <x:v>EX0086; EX0173; EX0174; EX0189; EX0190; EX0191; EX0192; EX0194; EX0195; EX0197; EX0205; EX0213; EX0229; EX0230; EX0231; EX0232; EX0248; EX0266; EX0267</x:v>
      </x:c>
      <x:c r="N138" s="24" t="str">
        <x:v>EX0225</x:v>
      </x:c>
      <x:c r="O138" s="24" t="str">
        <x:v>Active strength target (group or direct)</x:v>
      </x:c>
      <x:c r="P138" s="24" t="str">
        <x:v>Towel squeeze; Soft therapy-putty grip; Rubber-band finger opening; Tabletop intrinsic-plus hand position; Individual finger lift from table; Key pinch with therapy putty</x:v>
      </x:c>
      <x:c r="Q138" s="24" t="str">
        <x:v>Active/involved status varies with technique, loading, individual anatomy and fatigue.</x:v>
      </x:c>
    </x:row>
    <x:row r="139" ht="54" customHeight="1">
      <x:c r="A139" s="24" t="str">
        <x:v>Plantar interosseous 1 (third toe)</x:v>
      </x:c>
      <x:c r="B139" s="24" t="str">
        <x:v>Foot</x:v>
      </x:c>
      <x:c r="C139" s="24" t="str">
        <x:v>Plantar layer 4</x:v>
      </x:c>
      <x:c r="D139" s="24" t="str">
        <x:v>Deep branch lateral plantar nerve</x:v>
      </x:c>
      <x:c r="E139" s="24" t="str">
        <x:v>S2-S3</x:v>
      </x:c>
      <x:c r="F139" s="24" t="str">
        <x:v>Medial side metatarsal 3</x:v>
      </x:c>
      <x:c r="G139" s="24" t="str">
        <x:v>Medial proximal phalanx and extensor hood toe 3</x:v>
      </x:c>
      <x:c r="H139" s="24" t="str">
        <x:v>Interosseous tendon to extensor hood</x:v>
      </x:c>
      <x:c r="I139" s="24" t="str">
        <x:v>Deep transverse metatarsal ligament nearby</x:v>
      </x:c>
      <x:c r="J139" s="24" t="str">
        <x:v>Mixed Type I and Type II; ratio unverified</x:v>
      </x:c>
      <x:c r="K139" s="24" t="str">
        <x:v>EX0143; EX0206; EX0207; EX0208; EX0210; EX0215; EX0218; EX0219</x:v>
      </x:c>
      <x:c r="L139" s="24" t="str">
        <x:v>EX0209; EX0211; EX0212; EX0214; EX0216</x:v>
      </x:c>
      <x:c r="M139" s="24" t="str">
        <x:v>EX0189; EX0190; EX0191; EX0192; EX0194; EX0195; EX0197; EX0205; EX0213; EX0229; EX0230; EX0231; EX0232</x:v>
      </x:c>
      <x:c r="N139" s="24" t="str">
        <x:v>EX0225</x:v>
      </x:c>
      <x:c r="O139" s="24" t="str">
        <x:v>Active strength target (group or direct)</x:v>
      </x:c>
      <x:c r="P139" s="24" t="str">
        <x:v>Single-leg balance with opposite knee lift; Short foot / arch doming; Towel toe scrunches; Marble pick-up with toes; Toe spread and splay; Big-toe abduction with finger spacer</x:v>
      </x:c>
      <x:c r="Q139" s="24" t="str">
        <x:v>Active/involved status varies with technique, loading, individual anatomy and fatigue.</x:v>
      </x:c>
    </x:row>
    <x:row r="140" ht="54" customHeight="1">
      <x:c r="A140" s="24" t="str">
        <x:v>Plantar interosseous 2 (fourth toe)</x:v>
      </x:c>
      <x:c r="B140" s="24" t="str">
        <x:v>Foot</x:v>
      </x:c>
      <x:c r="C140" s="24" t="str">
        <x:v>Plantar layer 4</x:v>
      </x:c>
      <x:c r="D140" s="24" t="str">
        <x:v>Deep branch lateral plantar nerve</x:v>
      </x:c>
      <x:c r="E140" s="24" t="str">
        <x:v>S2-S3</x:v>
      </x:c>
      <x:c r="F140" s="24" t="str">
        <x:v>Medial side metatarsal 4</x:v>
      </x:c>
      <x:c r="G140" s="24" t="str">
        <x:v>Medial proximal phalanx/extensor hood toe 4</x:v>
      </x:c>
      <x:c r="H140" s="24" t="str">
        <x:v>Interosseous tendon to extensor hood</x:v>
      </x:c>
      <x:c r="I140" s="24" t="str">
        <x:v>Deep transverse metatarsal ligament nearby</x:v>
      </x:c>
      <x:c r="J140" s="24" t="str">
        <x:v>Mixed Type I and Type II; ratio unverified</x:v>
      </x:c>
      <x:c r="K140" s="24" t="str">
        <x:v>EX0143; EX0206; EX0207; EX0208; EX0210; EX0215; EX0218; EX0219</x:v>
      </x:c>
      <x:c r="L140" s="24" t="str">
        <x:v>EX0209; EX0211; EX0212; EX0214; EX0216</x:v>
      </x:c>
      <x:c r="M140" s="24" t="str">
        <x:v>EX0189; EX0190; EX0191; EX0192; EX0194; EX0195; EX0197; EX0205; EX0213; EX0229; EX0230; EX0231; EX0232</x:v>
      </x:c>
      <x:c r="N140" s="24" t="str">
        <x:v>EX0225</x:v>
      </x:c>
      <x:c r="O140" s="24" t="str">
        <x:v>Active strength target (group or direct)</x:v>
      </x:c>
      <x:c r="P140" s="24" t="str">
        <x:v>Single-leg balance with opposite knee lift; Short foot / arch doming; Towel toe scrunches; Marble pick-up with toes; Toe spread and splay; Big-toe abduction with finger spacer</x:v>
      </x:c>
      <x:c r="Q140" s="24" t="str">
        <x:v>Active/involved status varies with technique, loading, individual anatomy and fatigue.</x:v>
      </x:c>
    </x:row>
    <x:row r="141" ht="54" customHeight="1">
      <x:c r="A141" s="24" t="str">
        <x:v>Plantar interosseous 3 (fifth toe)</x:v>
      </x:c>
      <x:c r="B141" s="24" t="str">
        <x:v>Foot</x:v>
      </x:c>
      <x:c r="C141" s="24" t="str">
        <x:v>Plantar layer 4</x:v>
      </x:c>
      <x:c r="D141" s="24" t="str">
        <x:v>Deep branch lateral plantar nerve</x:v>
      </x:c>
      <x:c r="E141" s="24" t="str">
        <x:v>S2-S3</x:v>
      </x:c>
      <x:c r="F141" s="24" t="str">
        <x:v>Medial side metatarsal 5</x:v>
      </x:c>
      <x:c r="G141" s="24" t="str">
        <x:v>Medial proximal phalanx/extensor hood toe 5</x:v>
      </x:c>
      <x:c r="H141" s="24" t="str">
        <x:v>Interosseous tendon to extensor hood</x:v>
      </x:c>
      <x:c r="I141" s="24" t="str">
        <x:v>Deep transverse metatarsal ligament nearby</x:v>
      </x:c>
      <x:c r="J141" s="24" t="str">
        <x:v>Mixed Type I and Type II; ratio unverified</x:v>
      </x:c>
      <x:c r="K141" s="24" t="str">
        <x:v>EX0143; EX0206; EX0207; EX0208; EX0210; EX0215; EX0218; EX0219</x:v>
      </x:c>
      <x:c r="L141" s="24" t="str">
        <x:v>EX0209; EX0211; EX0212; EX0214; EX0216</x:v>
      </x:c>
      <x:c r="M141" s="24" t="str">
        <x:v>EX0189; EX0190; EX0191; EX0192; EX0194; EX0195; EX0197; EX0205; EX0213; EX0229; EX0230; EX0231; EX0232</x:v>
      </x:c>
      <x:c r="N141" s="24" t="str">
        <x:v>EX0225</x:v>
      </x:c>
      <x:c r="O141" s="24" t="str">
        <x:v>Active strength target (group or direct)</x:v>
      </x:c>
      <x:c r="P141" s="24" t="str">
        <x:v>Single-leg balance with opposite knee lift; Short foot / arch doming; Towel toe scrunches; Marble pick-up with toes; Toe spread and splay; Big-toe abduction with finger spacer</x:v>
      </x:c>
      <x:c r="Q141" s="24" t="str">
        <x:v>Active/involved status varies with technique, loading, individual anatomy and fatigue.</x:v>
      </x:c>
    </x:row>
    <x:row r="142" ht="54" customHeight="1">
      <x:c r="A142" s="24" t="str">
        <x:v>Rectus abdominis</x:v>
      </x:c>
      <x:c r="B142" s="24" t="str">
        <x:v>Abdomen</x:v>
      </x:c>
      <x:c r="C142" s="24" t="str">
        <x:v>Anterior abdominal wall</x:v>
      </x:c>
      <x:c r="D142" s="24" t="str">
        <x:v>Thoracoabdominal nerves</x:v>
      </x:c>
      <x:c r="E142" s="24" t="str">
        <x:v>T6-T12</x:v>
      </x:c>
      <x:c r="F142" s="24" t="str">
        <x:v>Pubic crest and pubic symphysis</x:v>
      </x:c>
      <x:c r="G142" s="24" t="str">
        <x:v>Xiphoid process and costal cartilages ribs 5-7</x:v>
      </x:c>
      <x:c r="H142" s="24" t="str">
        <x:v>Tendinous intersections and rectus sheath insertion</x:v>
      </x:c>
      <x:c r="I142" s="24" t="str">
        <x:v>Linea alba and rectus sheath are aponeurotic, not ligament</x:v>
      </x:c>
      <x:c r="J142" s="24" t="str">
        <x:v>Mixed Type I and Type II; ratio unverified</x:v>
      </x:c>
      <x:c r="K142" s="24" t="str">
        <x:v>EX0138; EX0233; EX0234; EX0237; EX0238; EX0239; EX0240; EX0241; EX0248; EX0249; EX0251; EX0275; EX0368</x:v>
      </x:c>
      <x:c r="L142" s="24" t="str">
        <x:v>EX0119; EX0242; EX0243; EX0244; EX0245; EX0246; EX0258; EX0282; EX0365; EX0370; EX0374</x:v>
      </x:c>
      <x:c r="M142" s="24" t="str">
        <x:v>EX0001; EX0002; EX0003; EX0004; EX0005; EX0006; EX0007; EX0008; EX0009; EX0015; EX0016; EX0017; EX0024; EX0025; EX0026; EX0027; EX0028; EX0030; EX0031; EX0032; EX0044; EX0052; EX0053; EX0097; EX0098; EX0102; EX0103; EX0104; EX0105; EX0106; EX0107; EX0108; EX0109; EX0110; EX0111; EX0113; EX0114; EX0120; EX0121; EX0122; EX0123; EX0124; EX0125; EX0126; EX0127; EX0128; EX0129; EX0130; EX0131; EX0139; EX0140; EX0141; EX0142; EX0143; EX0144; EX0145; EX0146; EX0147; EX0148; EX0149; EX0150; EX0151; EX0152; EX0153; EX0154; EX0155; EX0156; EX0157; EX0158; EX0159; EX0160; EX0164; EX0165; EX0166; EX0170; EX0171; EX0172; EX0173; EX0174; EX0175; EX0176; EX0185; EX0186; EX0187; EX0188; EX0218; EX0219; EX0259; EX0260; EX0262; EX0263; EX0264; EX0265; EX0266; EX0267; EX0269; EX0270; EX0271; EX0272; EX0273; EX0274; EX0281; EX0283; EX0289; EX0304; EX0305; EX0307; EX0308; EX0309; EX0312; EX0315; EX0369</x:v>
      </x:c>
      <x:c r="N142" s="24" t="str">
        <x:v>EX0254; EX0255; EX0275; EX0279</x:v>
      </x:c>
      <x:c r="O142" s="24" t="str">
        <x:v>Active strength target (group or direct)</x:v>
      </x:c>
      <x:c r="P142" s="24" t="str">
        <x:v>Wide-kneeling adductor rock-back; Forearm plank; High plank; Dead bug alternating arm-leg; Standing band hip flexion march; Seated band trunk rotation</x:v>
      </x:c>
      <x:c r="Q142" s="24" t="str">
        <x:v>Active/involved status varies with technique, loading, individual anatomy and fatigue.</x:v>
      </x:c>
    </x:row>
    <x:row r="143" ht="54" customHeight="1">
      <x:c r="A143" s="24" t="str">
        <x:v>Pyramidalis</x:v>
      </x:c>
      <x:c r="B143" s="24" t="str">
        <x:v>Abdomen</x:v>
      </x:c>
      <x:c r="C143" s="24" t="str">
        <x:v>Anterior abdominal wall (variable)</x:v>
      </x:c>
      <x:c r="D143" s="24" t="str">
        <x:v>Subcostal nerve</x:v>
      </x:c>
      <x:c r="E143" s="24" t="str">
        <x:v>T12</x:v>
      </x:c>
      <x:c r="F143" s="24" t="str">
        <x:v>Anterior pubis and pubic symphysis</x:v>
      </x:c>
      <x:c r="G143" s="24" t="str">
        <x:v>Inferior linea alba</x:v>
      </x:c>
      <x:c r="H143" s="24" t="str">
        <x:v>Small aponeurotic insertion to linea alba</x:v>
      </x:c>
      <x:c r="I143" s="24" t="str">
        <x:v>No specific direct ligament attachment</x:v>
      </x:c>
      <x:c r="J143" s="24" t="str">
        <x:v>Mixed Type I and Type II; ratio unverified</x:v>
      </x:c>
      <x:c r="K143" s="24" t="str">
        <x:v>—</x:v>
      </x:c>
      <x:c r="L143" s="24" t="str">
        <x:v>—</x:v>
      </x:c>
      <x:c r="M143" s="24" t="str">
        <x:v>EX0233; EX0252; EX0253</x:v>
      </x:c>
      <x:c r="N143" s="24" t="str">
        <x:v>EX0255</x:v>
      </x:c>
      <x:c r="O143" s="24" t="str">
        <x:v>Indirect stabilizer only</x:v>
      </x:c>
      <x:c r="P143" s="24" t="str">
        <x:v>Forearm plank; Abdominal brace with breathing; Supine abdominal drawing-in; Sphinx pose chest/abdominal stretch</x:v>
      </x:c>
      <x:c r="Q143" s="24" t="str">
        <x:v>Variable small muscle tensing linea alba; no selectively validated exercise.</x:v>
      </x:c>
    </x:row>
    <x:row r="144" ht="54" customHeight="1">
      <x:c r="A144" s="24" t="str">
        <x:v>Transversus abdominis</x:v>
      </x:c>
      <x:c r="B144" s="24" t="str">
        <x:v>Abdomen</x:v>
      </x:c>
      <x:c r="C144" s="24" t="str">
        <x:v>Deep abdominal wall</x:v>
      </x:c>
      <x:c r="D144" s="24" t="str">
        <x:v>Thoracoabdominal/subcostal and L1 branches</x:v>
      </x:c>
      <x:c r="E144" s="24" t="str">
        <x:v>T6-L1</x:v>
      </x:c>
      <x:c r="F144" s="24" t="str">
        <x:v>Internal lower six costal cartilages; thoracolumbar fascia; iliac crest; lateral inguinal ligament</x:v>
      </x:c>
      <x:c r="G144" s="24" t="str">
        <x:v>Linea alba; pubic crest/pecten via conjoint tendon</x:v>
      </x:c>
      <x:c r="H144" s="24" t="str">
        <x:v>Transversus aponeurosis; conjoint tendon</x:v>
      </x:c>
      <x:c r="I144" s="24" t="str">
        <x:v>Inguinal ligament direct origin of lower fibers</x:v>
      </x:c>
      <x:c r="J144" s="24" t="str">
        <x:v>Mixed Type I and Type II; ratio unverified</x:v>
      </x:c>
      <x:c r="K144" s="24" t="str">
        <x:v>EX0138; EX0233; EX0234; EX0235; EX0236; EX0237; EX0238; EX0239; EX0241; EX0242; EX0243; EX0244; EX0245; EX0246; EX0247; EX0249; EX0250; EX0251; EX0252; EX0253; EX0256; EX0275; EX0276; EX0277; EX0306; EX0310; EX0311; EX0313; EX0362; EX0368</x:v>
      </x:c>
      <x:c r="L144" s="24" t="str">
        <x:v>EX0114; EX0119; EX0128; EX0240; EX0248; EX0258; EX0282; EX0365; EX0370; EX0374</x:v>
      </x:c>
      <x:c r="M144" s="24" t="str">
        <x:v>EX0001; EX0002; EX0003; EX0004; EX0005; EX0006; EX0007; EX0008; EX0009; EX0015; EX0016; EX0017; EX0024; EX0025; EX0026; EX0027; EX0028; EX0030; EX0031; EX0032; EX0044; EX0052; EX0053; EX0097; EX0098; EX0102; EX0103; EX0104; EX0105; EX0106; EX0107; EX0108; EX0109; EX0110; EX0111; EX0113; EX0120; EX0121; EX0122; EX0123; EX0124; EX0125; EX0126; EX0127; EX0129; EX0130; EX0131; EX0139; EX0140; EX0141; EX0142; EX0143; EX0144; EX0145; EX0146; EX0147; EX0148; EX0149; EX0150; EX0151; EX0152; EX0153; EX0154; EX0155; EX0156; EX0157; EX0158; EX0159; EX0160; EX0164; EX0165; EX0166; EX0170; EX0171; EX0172; EX0173; EX0174; EX0175; EX0176; EX0185; EX0186; EX0187; EX0188; EX0218; EX0219; EX0259; EX0260; EX0262; EX0263; EX0264; EX0265; EX0266; EX0267; EX0269; EX0270; EX0271; EX0272; EX0273; EX0274; EX0281; EX0283; EX0289; EX0304; EX0305; EX0307; EX0308; EX0309; EX0312; EX0315; EX0360; EX0369</x:v>
      </x:c>
      <x:c r="N144" s="24" t="str">
        <x:v>EX0257; EX0275; EX0277</x:v>
      </x:c>
      <x:c r="O144" s="24" t="str">
        <x:v>Active strength target (group or direct)</x:v>
      </x:c>
      <x:c r="P144" s="24" t="str">
        <x:v>Wide-kneeling adductor rock-back; Forearm plank; High plank; Side plank (knees bent); Side plank hip abduction; Standing band hip flexion march</x:v>
      </x:c>
      <x:c r="Q144" s="24" t="str">
        <x:v>Active/involved status varies with technique, loading, individual anatomy and fatigue.</x:v>
      </x:c>
    </x:row>
    <x:row r="145" ht="54" customHeight="1">
      <x:c r="A145" s="24" t="str">
        <x:v>Cremaster</x:v>
      </x:c>
      <x:c r="B145" s="24" t="str">
        <x:v>Abdomen</x:v>
      </x:c>
      <x:c r="C145" s="24" t="str">
        <x:v>Inguinal canal / male anatomy</x:v>
      </x:c>
      <x:c r="D145" s="24" t="str">
        <x:v>Genital branch genitofemoral nerve</x:v>
      </x:c>
      <x:c r="E145" s="24" t="str">
        <x:v>L1-L2</x:v>
      </x:c>
      <x:c r="F145" s="24" t="str">
        <x:v>Internal oblique fibers and inguinal ligament region</x:v>
      </x:c>
      <x:c r="G145" s="24" t="str">
        <x:v>Spermatic cord and testis coverings</x:v>
      </x:c>
      <x:c r="H145" s="24" t="str">
        <x:v>Cremasteric fascial fibers</x:v>
      </x:c>
      <x:c r="I145" s="24" t="str">
        <x:v>Inguinal ligament region near origin</x:v>
      </x:c>
      <x:c r="J145" s="24" t="str">
        <x:v>Mixed Type I and Type II; ratio unverified</x:v>
      </x:c>
      <x:c r="K145" s="24" t="str">
        <x:v>—</x:v>
      </x:c>
      <x:c r="L145" s="24" t="str">
        <x:v>—</x:v>
      </x:c>
      <x:c r="M145" s="24" t="str">
        <x:v>—</x:v>
      </x:c>
      <x:c r="N145" s="24" t="str">
        <x:v>—</x:v>
      </x:c>
      <x:c r="O145" s="24" t="str">
        <x:v>No suitable self-directed exercise</x:v>
      </x:c>
      <x:c r="P145" s="24" t="str">
        <x:v>—</x:v>
      </x:c>
      <x:c r="Q145" s="24" t="str">
        <x:v>Reflexively controlled; do not attempt to stretch or train it in a conventional workout.</x:v>
      </x:c>
    </x:row>
    <x:row r="146" ht="54" customHeight="1">
      <x:c r="A146" s="24" t="str">
        <x:v>External oblique</x:v>
      </x:c>
      <x:c r="B146" s="24" t="str">
        <x:v>Abdomen</x:v>
      </x:c>
      <x:c r="C146" s="24" t="str">
        <x:v>Lateral abdominal wall</x:v>
      </x:c>
      <x:c r="D146" s="24" t="str">
        <x:v>Thoracoabdominal and subcostal nerves</x:v>
      </x:c>
      <x:c r="E146" s="24" t="str">
        <x:v>T7-T12</x:v>
      </x:c>
      <x:c r="F146" s="24" t="str">
        <x:v>External surfaces ribs 5-12</x:v>
      </x:c>
      <x:c r="G146" s="24" t="str">
        <x:v>Linea alba; pubic tubercle; anterior iliac crest</x:v>
      </x:c>
      <x:c r="H146" s="24" t="str">
        <x:v>Broad external oblique aponeurosis</x:v>
      </x:c>
      <x:c r="I146" s="24" t="str">
        <x:v>Inferior rolled aponeurosis forms inguinal ligament</x:v>
      </x:c>
      <x:c r="J146" s="24" t="str">
        <x:v>Mixed Type I and Type II; ratio unverified</x:v>
      </x:c>
      <x:c r="K146" s="24" t="str">
        <x:v>EX0138; EX0233; EX0234; EX0235; EX0236; EX0237; EX0239; EX0241; EX0242; EX0243; EX0244; EX0245; EX0246; EX0247; EX0250; EX0251; EX0256; EX0275; EX0276; EX0277; EX0306; EX0310; EX0311; EX0313; EX0368</x:v>
      </x:c>
      <x:c r="L146" s="24" t="str">
        <x:v>EX0114; EX0119; EX0128; EX0238; EX0240; EX0248; EX0258; EX0282; EX0365; EX0370; EX0374</x:v>
      </x:c>
      <x:c r="M146" s="24" t="str">
        <x:v>EX0001; EX0002; EX0003; EX0004; EX0005; EX0006; EX0007; EX0008; EX0009; EX0015; EX0016; EX0017; EX0024; EX0025; EX0026; EX0027; EX0028; EX0030; EX0031; EX0032; EX0044; EX0052; EX0053; EX0097; EX0098; EX0102; EX0103; EX0104; EX0105; EX0106; EX0107; EX0108; EX0109; EX0110; EX0111; EX0113; EX0120; EX0121; EX0122; EX0123; EX0124; EX0125; EX0126; EX0127; EX0129; EX0130; EX0131; EX0139; EX0140; EX0141; EX0142; EX0143; EX0144; EX0145; EX0146; EX0147; EX0148; EX0149; EX0150; EX0151; EX0152; EX0153; EX0154; EX0155; EX0156; EX0157; EX0158; EX0159; EX0160; EX0164; EX0165; EX0166; EX0170; EX0171; EX0172; EX0173; EX0174; EX0175; EX0176; EX0185; EX0186; EX0187; EX0188; EX0218; EX0219; EX0259; EX0260; EX0262; EX0263; EX0264; EX0265; EX0266; EX0267; EX0269; EX0270; EX0271; EX0272; EX0273; EX0274; EX0281; EX0283; EX0289; EX0304; EX0305; EX0307; EX0308; EX0309; EX0312; EX0315; EX0369</x:v>
      </x:c>
      <x:c r="N146" s="24" t="str">
        <x:v>EX0254; EX0255; EX0256; EX0257; EX0275; EX0277</x:v>
      </x:c>
      <x:c r="O146" s="24" t="str">
        <x:v>Active strength target (group or direct)</x:v>
      </x:c>
      <x:c r="P146" s="24" t="str">
        <x:v>Wide-kneeling adductor rock-back; Forearm plank; High plank; Side plank (knees bent); Side plank hip abduction; Standing band hip flexion march</x:v>
      </x:c>
      <x:c r="Q146" s="24" t="str">
        <x:v>Active/involved status varies with technique, loading, individual anatomy and fatigue.</x:v>
      </x:c>
    </x:row>
    <x:row r="147" ht="54" customHeight="1">
      <x:c r="A147" s="24" t="str">
        <x:v>Internal oblique</x:v>
      </x:c>
      <x:c r="B147" s="24" t="str">
        <x:v>Abdomen</x:v>
      </x:c>
      <x:c r="C147" s="24" t="str">
        <x:v>Lateral abdominal wall</x:v>
      </x:c>
      <x:c r="D147" s="24" t="str">
        <x:v>Thoracoabdominal, subcostal; iliohypogastric and ilioinguinal nerves</x:v>
      </x:c>
      <x:c r="E147" s="24" t="str">
        <x:v>T6-L1</x:v>
      </x:c>
      <x:c r="F147" s="24" t="str">
        <x:v>Thoracolumbar fascia; anterior iliac crest; lateral inguinal ligament</x:v>
      </x:c>
      <x:c r="G147" s="24" t="str">
        <x:v>Inferior ribs 10-12; linea alba; pubis via conjoint tendon</x:v>
      </x:c>
      <x:c r="H147" s="24" t="str">
        <x:v>Internal oblique aponeurosis; conjoint tendon</x:v>
      </x:c>
      <x:c r="I147" s="24" t="str">
        <x:v>Inguinal ligament direct origin; conjoint tendon complex</x:v>
      </x:c>
      <x:c r="J147" s="24" t="str">
        <x:v>Mixed Type I and Type II; ratio unverified</x:v>
      </x:c>
      <x:c r="K147" s="24" t="str">
        <x:v>EX0138; EX0233; EX0234; EX0235; EX0236; EX0237; EX0239; EX0241; EX0242; EX0243; EX0244; EX0245; EX0246; EX0247; EX0250; EX0251; EX0252; EX0256; EX0275; EX0276; EX0277; EX0306; EX0310; EX0311; EX0313; EX0368</x:v>
      </x:c>
      <x:c r="L147" s="24" t="str">
        <x:v>EX0114; EX0119; EX0128; EX0238; EX0240; EX0248; EX0253; EX0258; EX0282; EX0365; EX0370; EX0374</x:v>
      </x:c>
      <x:c r="M147" s="24" t="str">
        <x:v>EX0001; EX0002; EX0003; EX0004; EX0005; EX0006; EX0007; EX0008; EX0009; EX0015; EX0016; EX0017; EX0024; EX0025; EX0026; EX0027; EX0028; EX0030; EX0031; EX0032; EX0044; EX0052; EX0053; EX0097; EX0098; EX0102; EX0103; EX0104; EX0105; EX0106; EX0107; EX0108; EX0109; EX0110; EX0111; EX0113; EX0120; EX0121; EX0122; EX0123; EX0124; EX0125; EX0126; EX0127; EX0129; EX0130; EX0131; EX0139; EX0140; EX0141; EX0142; EX0143; EX0144; EX0145; EX0146; EX0147; EX0148; EX0149; EX0150; EX0151; EX0152; EX0153; EX0154; EX0155; EX0156; EX0157; EX0158; EX0159; EX0160; EX0164; EX0165; EX0166; EX0170; EX0171; EX0172; EX0173; EX0174; EX0175; EX0176; EX0185; EX0186; EX0187; EX0188; EX0218; EX0219; EX0259; EX0260; EX0262; EX0263; EX0264; EX0265; EX0266; EX0267; EX0269; EX0270; EX0271; EX0272; EX0273; EX0274; EX0281; EX0283; EX0289; EX0304; EX0305; EX0307; EX0308; EX0309; EX0312; EX0315; EX0369</x:v>
      </x:c>
      <x:c r="N147" s="24" t="str">
        <x:v>EX0254; EX0256; EX0257; EX0275; EX0277</x:v>
      </x:c>
      <x:c r="O147" s="24" t="str">
        <x:v>Active strength target (group or direct)</x:v>
      </x:c>
      <x:c r="P147" s="24" t="str">
        <x:v>Wide-kneeling adductor rock-back; Forearm plank; High plank; Side plank (knees bent); Side plank hip abduction; Standing band hip flexion march</x:v>
      </x:c>
      <x:c r="Q147" s="24" t="str">
        <x:v>Active/involved status varies with technique, loading, individual anatomy and fatigue.</x:v>
      </x:c>
    </x:row>
    <x:row r="148" ht="54" customHeight="1">
      <x:c r="A148" s="24" t="str">
        <x:v>Quadratus lumborum</x:v>
      </x:c>
      <x:c r="B148" s="24" t="str">
        <x:v>Abdomen</x:v>
      </x:c>
      <x:c r="C148" s="24" t="str">
        <x:v>Posterior abdominal wall</x:v>
      </x:c>
      <x:c r="D148" s="24" t="str">
        <x:v>Anterior rami T12-L4</x:v>
      </x:c>
      <x:c r="E148" s="24" t="str">
        <x:v>T12-L4</x:v>
      </x:c>
      <x:c r="F148" s="24" t="str">
        <x:v>Iliac crest and iliolumbar ligament</x:v>
      </x:c>
      <x:c r="G148" s="24" t="str">
        <x:v>Rib 12 and transverse processes L1-L4</x:v>
      </x:c>
      <x:c r="H148" s="24" t="str">
        <x:v>Short aponeuroses to lumbar transverse processes</x:v>
      </x:c>
      <x:c r="I148" s="24" t="str">
        <x:v>Iliolumbar ligament direct origin</x:v>
      </x:c>
      <x:c r="J148" s="24" t="str">
        <x:v>Mixed Type I and Type II; ratio unverified</x:v>
      </x:c>
      <x:c r="K148" s="24" t="str">
        <x:v>EX0123; EX0235; EX0236; EX0250; EX0254; EX0255; EX0256; EX0258; EX0259; EX0260; EX0261; EX0273; EX0275; EX0276; EX0279; EX0281</x:v>
      </x:c>
      <x:c r="L148" s="24" t="str">
        <x:v>EX0130; EX0131; EX0175; EX0277; EX0283; EX0368</x:v>
      </x:c>
      <x:c r="M148" s="24" t="str">
        <x:v>EX0129; EX0143; EX0144; EX0146; EX0147; EX0148; EX0149; EX0170; EX0171; EX0172; EX0173; EX0174; EX0176; EX0233; EX0234; EX0237; EX0238; EX0240; EX0242; EX0243; EX0245; EX0246; EX0247; EX0249; EX0251; EX0262; EX0263; EX0269; EX0272; EX0314</x:v>
      </x:c>
      <x:c r="N148" s="24" t="str">
        <x:v>EX0256; EX0257; EX0275; EX0276; EX0278; EX0280; EX0310</x:v>
      </x:c>
      <x:c r="O148" s="24" t="str">
        <x:v>Active strength target (group or direct)</x:v>
      </x:c>
      <x:c r="P148" s="24" t="str">
        <x:v>Standing hip hike on step; Side plank (knees bent); Side plank (full); Standing suitcase carry; Single-leg hip hinge wall tap; Resistance-band good morning</x:v>
      </x:c>
      <x:c r="Q148" s="24" t="str">
        <x:v>Active/involved status varies with technique, loading, individual anatomy and fatigue.</x:v>
      </x:c>
    </x:row>
    <x:row r="149" ht="54" customHeight="1">
      <x:c r="A149" s="24" t="str">
        <x:v>Diaphragm costal part</x:v>
      </x:c>
      <x:c r="B149" s="24" t="str">
        <x:v>Abdomen</x:v>
      </x:c>
      <x:c r="C149" s="24" t="str">
        <x:v>Thoracoabdominal divider</x:v>
      </x:c>
      <x:c r="D149" s="24" t="str">
        <x:v>Phrenic nerve</x:v>
      </x:c>
      <x:c r="E149" s="24" t="str">
        <x:v>C3-C5</x:v>
      </x:c>
      <x:c r="F149" s="24" t="str">
        <x:v>Internal lower ribs and costal cartilages 7-12</x:v>
      </x:c>
      <x:c r="G149" s="24" t="str">
        <x:v>Central tendon of diaphragm</x:v>
      </x:c>
      <x:c r="H149" s="24" t="str">
        <x:v>Central tendon</x:v>
      </x:c>
      <x:c r="I149" s="24" t="str">
        <x:v>Arcuate ligaments are tendinous arches related to lumbar part</x:v>
      </x:c>
      <x:c r="J149" s="24" t="str">
        <x:v>Mixed Type I and Type II; ratio unverified</x:v>
      </x:c>
      <x:c r="K149" s="24" t="str">
        <x:v>EX0282; EX0283; EX0304; EX0305; EX0307; EX0308; EX0309; EX0312; EX0313; EX0315; EX0363; EX0364; EX0372</x:v>
      </x:c>
      <x:c r="L149" s="24" t="str">
        <x:v>EX0252; EX0306; EX0311; EX0314; EX0349; EX0350; EX0351; EX0362</x:v>
      </x:c>
      <x:c r="M149" s="24" t="str">
        <x:v>EX0253; EX0360; EX0361; EX0368; EX0370; EX0371; EX0373</x:v>
      </x:c>
      <x:c r="N149" s="24" t="str">
        <x:v>—</x:v>
      </x:c>
      <x:c r="O149" s="24" t="str">
        <x:v>Functional or motor-control activation</x:v>
      </x:c>
      <x:c r="P149" s="24" t="str">
        <x:v>Breathing with thoracic rib expansion; Thoracic extension prone sphinx breathing; Diaphragmatic breathing supine; 360-degree lower-rib breathing; Abdominal brace with breathing; Seated pursed-lip exhale</x:v>
      </x:c>
      <x:c r="Q149" s="24" t="str">
        <x:v>Active/involved status varies with technique, loading, individual anatomy and fatigue.</x:v>
      </x:c>
    </x:row>
    <x:row r="150" ht="54" customHeight="1">
      <x:c r="A150" s="24" t="str">
        <x:v>Diaphragm lumbar part / crura</x:v>
      </x:c>
      <x:c r="B150" s="24" t="str">
        <x:v>Abdomen</x:v>
      </x:c>
      <x:c r="C150" s="24" t="str">
        <x:v>Thoracoabdominal divider</x:v>
      </x:c>
      <x:c r="D150" s="24" t="str">
        <x:v>Phrenic nerve</x:v>
      </x:c>
      <x:c r="E150" s="24" t="str">
        <x:v>C3-C5</x:v>
      </x:c>
      <x:c r="F150" s="24" t="str">
        <x:v>Right crus L1-L3; left crus L1-L2; arcuate ligament complexes</x:v>
      </x:c>
      <x:c r="G150" s="24" t="str">
        <x:v>Central tendon of diaphragm</x:v>
      </x:c>
      <x:c r="H150" s="24" t="str">
        <x:v>Central tendon; crural tendons</x:v>
      </x:c>
      <x:c r="I150" s="24" t="str">
        <x:v>Medial/lateral arcuate ligaments are tendinous arches of diaphragmatic origin</x:v>
      </x:c>
      <x:c r="J150" s="24" t="str">
        <x:v>Mixed Type I and Type II; ratio unverified</x:v>
      </x:c>
      <x:c r="K150" s="24" t="str">
        <x:v>EX0282; EX0283; EX0304; EX0305; EX0307; EX0308; EX0309; EX0312; EX0313; EX0315; EX0363; EX0364; EX0372</x:v>
      </x:c>
      <x:c r="L150" s="24" t="str">
        <x:v>EX0252; EX0306; EX0311; EX0314; EX0349; EX0350; EX0351; EX0362</x:v>
      </x:c>
      <x:c r="M150" s="24" t="str">
        <x:v>EX0253; EX0360; EX0361; EX0368; EX0370; EX0371; EX0373</x:v>
      </x:c>
      <x:c r="N150" s="24" t="str">
        <x:v>—</x:v>
      </x:c>
      <x:c r="O150" s="24" t="str">
        <x:v>Functional or motor-control activation</x:v>
      </x:c>
      <x:c r="P150" s="24" t="str">
        <x:v>Breathing with thoracic rib expansion; Thoracic extension prone sphinx breathing; Diaphragmatic breathing supine; 360-degree lower-rib breathing; Abdominal brace with breathing; Seated pursed-lip exhale</x:v>
      </x:c>
      <x:c r="Q150" s="24" t="str">
        <x:v>Active/involved status varies with technique, loading, individual anatomy and fatigue.</x:v>
      </x:c>
    </x:row>
    <x:row r="151" ht="54" customHeight="1">
      <x:c r="A151" s="24" t="str">
        <x:v>Diaphragm sternal part</x:v>
      </x:c>
      <x:c r="B151" s="24" t="str">
        <x:v>Abdomen</x:v>
      </x:c>
      <x:c r="C151" s="24" t="str">
        <x:v>Thoracoabdominal divider</x:v>
      </x:c>
      <x:c r="D151" s="24" t="str">
        <x:v>Phrenic nerve</x:v>
      </x:c>
      <x:c r="E151" s="24" t="str">
        <x:v>C3-C5</x:v>
      </x:c>
      <x:c r="F151" s="24" t="str">
        <x:v>Posterior xiphoid process</x:v>
      </x:c>
      <x:c r="G151" s="24" t="str">
        <x:v>Central tendon of diaphragm</x:v>
      </x:c>
      <x:c r="H151" s="24" t="str">
        <x:v>Central tendon</x:v>
      </x:c>
      <x:c r="I151" s="24" t="str">
        <x:v>No direct skeletal ligament attachment</x:v>
      </x:c>
      <x:c r="J151" s="24" t="str">
        <x:v>Mixed Type I and Type II; ratio unverified</x:v>
      </x:c>
      <x:c r="K151" s="24" t="str">
        <x:v>EX0282; EX0283; EX0304; EX0305; EX0307; EX0308; EX0309; EX0312; EX0313; EX0315; EX0363; EX0364; EX0372</x:v>
      </x:c>
      <x:c r="L151" s="24" t="str">
        <x:v>EX0252; EX0306; EX0311; EX0314; EX0349; EX0350; EX0351; EX0362</x:v>
      </x:c>
      <x:c r="M151" s="24" t="str">
        <x:v>EX0253; EX0360; EX0361; EX0368; EX0370; EX0371; EX0373</x:v>
      </x:c>
      <x:c r="N151" s="24" t="str">
        <x:v>—</x:v>
      </x:c>
      <x:c r="O151" s="24" t="str">
        <x:v>Functional or motor-control activation</x:v>
      </x:c>
      <x:c r="P151" s="24" t="str">
        <x:v>Breathing with thoracic rib expansion; Thoracic extension prone sphinx breathing; Diaphragmatic breathing supine; 360-degree lower-rib breathing; Abdominal brace with breathing; Seated pursed-lip exhale</x:v>
      </x:c>
      <x:c r="Q151" s="24" t="str">
        <x:v>Active/involved status varies with technique, loading, individual anatomy and fatigue.</x:v>
      </x:c>
    </x:row>
    <x:row r="152" ht="54" customHeight="1">
      <x:c r="A152" s="24" t="str">
        <x:v>Longus capitis</x:v>
      </x:c>
      <x:c r="B152" s="24" t="str">
        <x:v>Back &amp; Neck</x:v>
      </x:c>
      <x:c r="C152" s="24" t="str">
        <x:v>Deep anterior neck</x:v>
      </x:c>
      <x:c r="D152" s="24" t="str">
        <x:v>Anterior rami cervical spinal nerves</x:v>
      </x:c>
      <x:c r="E152" s="24" t="str">
        <x:v>C1-C3 (sometimes C4)</x:v>
      </x:c>
      <x:c r="F152" s="24" t="str">
        <x:v>Anterior tubercles transverse processes C3-C6</x:v>
      </x:c>
      <x:c r="G152" s="24" t="str">
        <x:v>Basilar part of occipital bone</x:v>
      </x:c>
      <x:c r="H152" s="24" t="str">
        <x:v>Basilar occipital insertion tendon</x:v>
      </x:c>
      <x:c r="I152" s="24" t="str">
        <x:v>Anterior atlanto-occipital membrane nearby</x:v>
      </x:c>
      <x:c r="J152" s="24" t="str">
        <x:v>Mixed Type I and Type II; ratio unverified</x:v>
      </x:c>
      <x:c r="K152" s="24" t="str">
        <x:v>EX0284; EX0285; EX0286; EX0287; EX0289; EX0292; EX0301</x:v>
      </x:c>
      <x:c r="L152" s="24" t="str">
        <x:v>—</x:v>
      </x:c>
      <x:c r="M152" s="24" t="str">
        <x:v>EX0288; EX0291; EX0302; EX0303</x:v>
      </x:c>
      <x:c r="N152" s="24" t="str">
        <x:v>EX0292</x:v>
      </x:c>
      <x:c r="O152" s="24" t="str">
        <x:v>Active strength target (group or direct)</x:v>
      </x:c>
      <x:c r="P152" s="24" t="str">
        <x:v>Gentle chin tuck lying supine; Seated chin tuck (axial elongation); Deep neck flexor nod with towel; Neck isometric flexion hand resistance; Neck isometric extension hand resistance; Cervical rotation active range</x:v>
      </x:c>
      <x:c r="Q152" s="24" t="str">
        <x:v>Active/involved status varies with technique, loading, individual anatomy and fatigue.</x:v>
      </x:c>
    </x:row>
    <x:row r="153" ht="54" customHeight="1">
      <x:c r="A153" s="24" t="str">
        <x:v>Longus colli inferior oblique part</x:v>
      </x:c>
      <x:c r="B153" s="24" t="str">
        <x:v>Back &amp; Neck</x:v>
      </x:c>
      <x:c r="C153" s="24" t="str">
        <x:v>Deep anterior neck</x:v>
      </x:c>
      <x:c r="D153" s="24" t="str">
        <x:v>Anterior rami cervical spinal nerves</x:v>
      </x:c>
      <x:c r="E153" s="24" t="str">
        <x:v>C2-C6</x:v>
      </x:c>
      <x:c r="F153" s="24" t="str">
        <x:v>Anterior bodies T1-T3</x:v>
      </x:c>
      <x:c r="G153" s="24" t="str">
        <x:v>Anterior tubercles transverse processes C5-C6</x:v>
      </x:c>
      <x:c r="H153" s="24" t="str">
        <x:v>Segmental tendon slips</x:v>
      </x:c>
      <x:c r="I153" s="24" t="str">
        <x:v>Anterior longitudinal ligament adjacent</x:v>
      </x:c>
      <x:c r="J153" s="24" t="str">
        <x:v>Mixed Type I and Type II; ratio unverified</x:v>
      </x:c>
      <x:c r="K153" s="24" t="str">
        <x:v>EX0284; EX0285; EX0286; EX0287; EX0289; EX0292; EX0301</x:v>
      </x:c>
      <x:c r="L153" s="24" t="str">
        <x:v>EX0293</x:v>
      </x:c>
      <x:c r="M153" s="24" t="str">
        <x:v>EX0288; EX0291; EX0294; EX0302; EX0303</x:v>
      </x:c>
      <x:c r="N153" s="24" t="str">
        <x:v>EX0292</x:v>
      </x:c>
      <x:c r="O153" s="24" t="str">
        <x:v>Active strength target (group or direct)</x:v>
      </x:c>
      <x:c r="P153" s="24" t="str">
        <x:v>Gentle chin tuck lying supine; Seated chin tuck (axial elongation); Deep neck flexor nod with towel; Neck isometric flexion hand resistance; Suboccipital gentle nod / yes-no; Neck isometric extension hand resistance</x:v>
      </x:c>
      <x:c r="Q153" s="24" t="str">
        <x:v>Active/involved status varies with technique, loading, individual anatomy and fatigue.</x:v>
      </x:c>
    </x:row>
    <x:row r="154" ht="54" customHeight="1">
      <x:c r="A154" s="24" t="str">
        <x:v>Longus colli superior oblique part</x:v>
      </x:c>
      <x:c r="B154" s="24" t="str">
        <x:v>Back &amp; Neck</x:v>
      </x:c>
      <x:c r="C154" s="24" t="str">
        <x:v>Deep anterior neck</x:v>
      </x:c>
      <x:c r="D154" s="24" t="str">
        <x:v>Anterior rami cervical spinal nerves</x:v>
      </x:c>
      <x:c r="E154" s="24" t="str">
        <x:v>C2-C6</x:v>
      </x:c>
      <x:c r="F154" s="24" t="str">
        <x:v>Anterior tubercles transverse processes C3-C5</x:v>
      </x:c>
      <x:c r="G154" s="24" t="str">
        <x:v>Anterior tubercle atlas C1</x:v>
      </x:c>
      <x:c r="H154" s="24" t="str">
        <x:v>Small segmental tendons</x:v>
      </x:c>
      <x:c r="I154" s="24" t="str">
        <x:v>Anterior longitudinal ligament of vertebral column lies deep</x:v>
      </x:c>
      <x:c r="J154" s="24" t="str">
        <x:v>Mixed Type I and Type II; ratio unverified</x:v>
      </x:c>
      <x:c r="K154" s="24" t="str">
        <x:v>EX0284; EX0285; EX0286; EX0287; EX0289; EX0292; EX0301</x:v>
      </x:c>
      <x:c r="L154" s="24" t="str">
        <x:v>EX0293</x:v>
      </x:c>
      <x:c r="M154" s="24" t="str">
        <x:v>EX0288; EX0291; EX0294; EX0302; EX0303</x:v>
      </x:c>
      <x:c r="N154" s="24" t="str">
        <x:v>EX0292</x:v>
      </x:c>
      <x:c r="O154" s="24" t="str">
        <x:v>Active strength target (group or direct)</x:v>
      </x:c>
      <x:c r="P154" s="24" t="str">
        <x:v>Gentle chin tuck lying supine; Seated chin tuck (axial elongation); Deep neck flexor nod with towel; Neck isometric flexion hand resistance; Suboccipital gentle nod / yes-no; Neck isometric extension hand resistance</x:v>
      </x:c>
      <x:c r="Q154" s="24" t="str">
        <x:v>Active/involved status varies with technique, loading, individual anatomy and fatigue.</x:v>
      </x:c>
    </x:row>
    <x:row r="155" ht="54" customHeight="1">
      <x:c r="A155" s="24" t="str">
        <x:v>Longus colli vertical part</x:v>
      </x:c>
      <x:c r="B155" s="24" t="str">
        <x:v>Back &amp; Neck</x:v>
      </x:c>
      <x:c r="C155" s="24" t="str">
        <x:v>Deep anterior neck</x:v>
      </x:c>
      <x:c r="D155" s="24" t="str">
        <x:v>Anterior rami cervical spinal nerves</x:v>
      </x:c>
      <x:c r="E155" s="24" t="str">
        <x:v>C2-C6</x:v>
      </x:c>
      <x:c r="F155" s="24" t="str">
        <x:v>Anterior vertebral bodies C5-T3</x:v>
      </x:c>
      <x:c r="G155" s="24" t="str">
        <x:v>Anterior vertebral bodies C2-C4</x:v>
      </x:c>
      <x:c r="H155" s="24" t="str">
        <x:v>Fleshy and tendinous vertebral insertions</x:v>
      </x:c>
      <x:c r="I155" s="24" t="str">
        <x:v>Anterior longitudinal ligament adjacent</x:v>
      </x:c>
      <x:c r="J155" s="24" t="str">
        <x:v>Mixed Type I and Type II; ratio unverified</x:v>
      </x:c>
      <x:c r="K155" s="24" t="str">
        <x:v>EX0284; EX0285; EX0286; EX0287; EX0289; EX0292; EX0301</x:v>
      </x:c>
      <x:c r="L155" s="24" t="str">
        <x:v>EX0293</x:v>
      </x:c>
      <x:c r="M155" s="24" t="str">
        <x:v>EX0288; EX0291; EX0294; EX0302; EX0303</x:v>
      </x:c>
      <x:c r="N155" s="24" t="str">
        <x:v>EX0292</x:v>
      </x:c>
      <x:c r="O155" s="24" t="str">
        <x:v>Active strength target (group or direct)</x:v>
      </x:c>
      <x:c r="P155" s="24" t="str">
        <x:v>Gentle chin tuck lying supine; Seated chin tuck (axial elongation); Deep neck flexor nod with towel; Neck isometric flexion hand resistance; Suboccipital gentle nod / yes-no; Neck isometric extension hand resistance</x:v>
      </x:c>
      <x:c r="Q155" s="24" t="str">
        <x:v>Active/involved status varies with technique, loading, individual anatomy and fatigue.</x:v>
      </x:c>
    </x:row>
    <x:row r="156" ht="54" customHeight="1">
      <x:c r="A156" s="24" t="str">
        <x:v>Levatores costarum longi</x:v>
      </x:c>
      <x:c r="B156" s="24" t="str">
        <x:v>Back &amp; Neck</x:v>
      </x:c>
      <x:c r="C156" s="24" t="str">
        <x:v>Deep posterior thorax</x:v>
      </x:c>
      <x:c r="D156" s="24" t="str">
        <x:v>Posterior rami thoracic spinal nerves</x:v>
      </x:c>
      <x:c r="E156" s="24" t="str">
        <x:v>T1-T11 segmental</x:v>
      </x:c>
      <x:c r="F156" s="24" t="str">
        <x:v>Tips lower thoracic transverse processes</x:v>
      </x:c>
      <x:c r="G156" s="24" t="str">
        <x:v>Second rib below</x:v>
      </x:c>
      <x:c r="H156" s="24" t="str">
        <x:v>Short costal tendon slips</x:v>
      </x:c>
      <x:c r="I156" s="24" t="str">
        <x:v>Costotransverse ligaments nearby</x:v>
      </x:c>
      <x:c r="J156" s="24" t="str">
        <x:v>Mixed Type I and Type II; ratio unverified</x:v>
      </x:c>
      <x:c r="K156" s="24" t="str">
        <x:v>EX0282; EX0308; EX0314; EX0315</x:v>
      </x:c>
      <x:c r="L156" s="24" t="str">
        <x:v>EX0305; EX0307; EX0309; EX0312</x:v>
      </x:c>
      <x:c r="M156" s="24" t="str">
        <x:v>—</x:v>
      </x:c>
      <x:c r="N156" s="24" t="str">
        <x:v>—</x:v>
      </x:c>
      <x:c r="O156" s="24" t="str">
        <x:v>Functional or motor-control activation</x:v>
      </x:c>
      <x:c r="P156" s="24" t="str">
        <x:v>Breathing with thoracic rib expansion; Inspiratory resistance device low-load (supervised); Scapular posterior rib activation with breathing; Gentle controlled nasal inspiration; 360-degree lower-rib breathing; Segmental lateral rib expansion breathing</x:v>
      </x:c>
      <x:c r="Q156" s="24" t="str">
        <x:v>Active/involved status varies with technique, loading, individual anatomy and fatigue.</x:v>
      </x:c>
    </x:row>
    <x:row r="157" ht="54" customHeight="1">
      <x:c r="A157" s="24" t="str">
        <x:v>Levator costae brevis (C7 to rib 1)</x:v>
      </x:c>
      <x:c r="B157" s="24" t="str">
        <x:v>Back &amp; Neck</x:v>
      </x:c>
      <x:c r="C157" s="24" t="str">
        <x:v>Deep posterior thorax segmental</x:v>
      </x:c>
      <x:c r="D157" s="24" t="str">
        <x:v>Posterior ramus C8</x:v>
      </x:c>
      <x:c r="E157" s="24" t="str">
        <x:v>C8 (segmental approximation)</x:v>
      </x:c>
      <x:c r="F157" s="24" t="str">
        <x:v>Transverse process C7</x:v>
      </x:c>
      <x:c r="G157" s="24" t="str">
        <x:v>Upper border rib 1 near rib angle</x:v>
      </x:c>
      <x:c r="H157" s="24" t="str">
        <x:v>Minute rib insertion tendon</x:v>
      </x:c>
      <x:c r="I157" s="24" t="str">
        <x:v>Costotransverse ligament complex nearby</x:v>
      </x:c>
      <x:c r="J157" s="24" t="str">
        <x:v>Mixed Type I and Type II; ratio unverified</x:v>
      </x:c>
      <x:c r="K157" s="24" t="str">
        <x:v>EX0282; EX0308; EX0314; EX0315</x:v>
      </x:c>
      <x:c r="L157" s="24" t="str">
        <x:v>EX0305; EX0307; EX0309; EX0312</x:v>
      </x:c>
      <x:c r="M157" s="24" t="str">
        <x:v>—</x:v>
      </x:c>
      <x:c r="N157" s="24" t="str">
        <x:v>—</x:v>
      </x:c>
      <x:c r="O157" s="24" t="str">
        <x:v>Functional or motor-control activation</x:v>
      </x:c>
      <x:c r="P157" s="24" t="str">
        <x:v>Breathing with thoracic rib expansion; Inspiratory resistance device low-load (supervised); Scapular posterior rib activation with breathing; Gentle controlled nasal inspiration; 360-degree lower-rib breathing; Segmental lateral rib expansion breathing</x:v>
      </x:c>
      <x:c r="Q157" s="24" t="str">
        <x:v>Tiny fascicles work as regional stabilizers; specific individual fibers cannot be selectively exercised.</x:v>
      </x:c>
    </x:row>
    <x:row r="158" ht="54" customHeight="1">
      <x:c r="A158" s="24" t="str">
        <x:v>Levator costae brevis (T1 to rib 2)</x:v>
      </x:c>
      <x:c r="B158" s="24" t="str">
        <x:v>Back &amp; Neck</x:v>
      </x:c>
      <x:c r="C158" s="24" t="str">
        <x:v>Deep posterior thorax segmental</x:v>
      </x:c>
      <x:c r="D158" s="24" t="str">
        <x:v>Posterior ramus T1</x:v>
      </x:c>
      <x:c r="E158" s="24" t="str">
        <x:v>T1 (segmental approximation)</x:v>
      </x:c>
      <x:c r="F158" s="24" t="str">
        <x:v>Transverse process T1</x:v>
      </x:c>
      <x:c r="G158" s="24" t="str">
        <x:v>Upper border rib 2 near rib angle</x:v>
      </x:c>
      <x:c r="H158" s="24" t="str">
        <x:v>Minute rib insertion tendon</x:v>
      </x:c>
      <x:c r="I158" s="24" t="str">
        <x:v>Costotransverse ligament complex nearby</x:v>
      </x:c>
      <x:c r="J158" s="24" t="str">
        <x:v>Mixed Type I and Type II; ratio unverified</x:v>
      </x:c>
      <x:c r="K158" s="24" t="str">
        <x:v>EX0282; EX0308; EX0314; EX0315</x:v>
      </x:c>
      <x:c r="L158" s="24" t="str">
        <x:v>EX0305; EX0307; EX0309; EX0312</x:v>
      </x:c>
      <x:c r="M158" s="24" t="str">
        <x:v>—</x:v>
      </x:c>
      <x:c r="N158" s="24" t="str">
        <x:v>—</x:v>
      </x:c>
      <x:c r="O158" s="24" t="str">
        <x:v>Functional or motor-control activation</x:v>
      </x:c>
      <x:c r="P158" s="24" t="str">
        <x:v>Breathing with thoracic rib expansion; Inspiratory resistance device low-load (supervised); Scapular posterior rib activation with breathing; Gentle controlled nasal inspiration; 360-degree lower-rib breathing; Segmental lateral rib expansion breathing</x:v>
      </x:c>
      <x:c r="Q158" s="24" t="str">
        <x:v>Tiny fascicles work as regional stabilizers; specific individual fibers cannot be selectively exercised.</x:v>
      </x:c>
    </x:row>
    <x:row r="159" ht="54" customHeight="1">
      <x:c r="A159" s="24" t="str">
        <x:v>Levator costae brevis (T10 to rib 11)</x:v>
      </x:c>
      <x:c r="B159" s="24" t="str">
        <x:v>Back &amp; Neck</x:v>
      </x:c>
      <x:c r="C159" s="24" t="str">
        <x:v>Deep posterior thorax segmental</x:v>
      </x:c>
      <x:c r="D159" s="24" t="str">
        <x:v>Posterior ramus T10</x:v>
      </x:c>
      <x:c r="E159" s="24" t="str">
        <x:v>T10 (segmental approximation)</x:v>
      </x:c>
      <x:c r="F159" s="24" t="str">
        <x:v>Transverse process T10</x:v>
      </x:c>
      <x:c r="G159" s="24" t="str">
        <x:v>Upper border rib 11 near rib angle</x:v>
      </x:c>
      <x:c r="H159" s="24" t="str">
        <x:v>Minute rib insertion tendon</x:v>
      </x:c>
      <x:c r="I159" s="24" t="str">
        <x:v>Costotransverse ligament complex nearby</x:v>
      </x:c>
      <x:c r="J159" s="24" t="str">
        <x:v>Mixed Type I and Type II; ratio unverified</x:v>
      </x:c>
      <x:c r="K159" s="24" t="str">
        <x:v>EX0282; EX0308; EX0314; EX0315</x:v>
      </x:c>
      <x:c r="L159" s="24" t="str">
        <x:v>EX0305; EX0307; EX0309; EX0312</x:v>
      </x:c>
      <x:c r="M159" s="24" t="str">
        <x:v>—</x:v>
      </x:c>
      <x:c r="N159" s="24" t="str">
        <x:v>—</x:v>
      </x:c>
      <x:c r="O159" s="24" t="str">
        <x:v>Functional or motor-control activation</x:v>
      </x:c>
      <x:c r="P159" s="24" t="str">
        <x:v>Breathing with thoracic rib expansion; Inspiratory resistance device low-load (supervised); Scapular posterior rib activation with breathing; Gentle controlled nasal inspiration; 360-degree lower-rib breathing; Segmental lateral rib expansion breathing</x:v>
      </x:c>
      <x:c r="Q159" s="24" t="str">
        <x:v>Tiny fascicles work as regional stabilizers; specific individual fibers cannot be selectively exercised.</x:v>
      </x:c>
    </x:row>
    <x:row r="160" ht="54" customHeight="1">
      <x:c r="A160" s="24" t="str">
        <x:v>Levator costae brevis (T11 to rib 12)</x:v>
      </x:c>
      <x:c r="B160" s="24" t="str">
        <x:v>Back &amp; Neck</x:v>
      </x:c>
      <x:c r="C160" s="24" t="str">
        <x:v>Deep posterior thorax segmental</x:v>
      </x:c>
      <x:c r="D160" s="24" t="str">
        <x:v>Posterior ramus T11</x:v>
      </x:c>
      <x:c r="E160" s="24" t="str">
        <x:v>T11 (segmental approximation)</x:v>
      </x:c>
      <x:c r="F160" s="24" t="str">
        <x:v>Transverse process T11</x:v>
      </x:c>
      <x:c r="G160" s="24" t="str">
        <x:v>Upper border rib 12 near rib angle</x:v>
      </x:c>
      <x:c r="H160" s="24" t="str">
        <x:v>Minute rib insertion tendon</x:v>
      </x:c>
      <x:c r="I160" s="24" t="str">
        <x:v>Costotransverse ligament complex nearby</x:v>
      </x:c>
      <x:c r="J160" s="24" t="str">
        <x:v>Mixed Type I and Type II; ratio unverified</x:v>
      </x:c>
      <x:c r="K160" s="24" t="str">
        <x:v>EX0282; EX0308; EX0314; EX0315</x:v>
      </x:c>
      <x:c r="L160" s="24" t="str">
        <x:v>EX0305; EX0307; EX0309; EX0312</x:v>
      </x:c>
      <x:c r="M160" s="24" t="str">
        <x:v>—</x:v>
      </x:c>
      <x:c r="N160" s="24" t="str">
        <x:v>—</x:v>
      </x:c>
      <x:c r="O160" s="24" t="str">
        <x:v>Functional or motor-control activation</x:v>
      </x:c>
      <x:c r="P160" s="24" t="str">
        <x:v>Breathing with thoracic rib expansion; Inspiratory resistance device low-load (supervised); Scapular posterior rib activation with breathing; Gentle controlled nasal inspiration; 360-degree lower-rib breathing; Segmental lateral rib expansion breathing</x:v>
      </x:c>
      <x:c r="Q160" s="24" t="str">
        <x:v>Tiny fascicles work as regional stabilizers; specific individual fibers cannot be selectively exercised.</x:v>
      </x:c>
    </x:row>
    <x:row r="161" ht="54" customHeight="1">
      <x:c r="A161" s="24" t="str">
        <x:v>Levator costae brevis (T2 to rib 3)</x:v>
      </x:c>
      <x:c r="B161" s="24" t="str">
        <x:v>Back &amp; Neck</x:v>
      </x:c>
      <x:c r="C161" s="24" t="str">
        <x:v>Deep posterior thorax segmental</x:v>
      </x:c>
      <x:c r="D161" s="24" t="str">
        <x:v>Posterior ramus T2</x:v>
      </x:c>
      <x:c r="E161" s="24" t="str">
        <x:v>T2 (segmental approximation)</x:v>
      </x:c>
      <x:c r="F161" s="24" t="str">
        <x:v>Transverse process T2</x:v>
      </x:c>
      <x:c r="G161" s="24" t="str">
        <x:v>Upper border rib 3 near rib angle</x:v>
      </x:c>
      <x:c r="H161" s="24" t="str">
        <x:v>Minute rib insertion tendon</x:v>
      </x:c>
      <x:c r="I161" s="24" t="str">
        <x:v>Costotransverse ligament complex nearby</x:v>
      </x:c>
      <x:c r="J161" s="24" t="str">
        <x:v>Mixed Type I and Type II; ratio unverified</x:v>
      </x:c>
      <x:c r="K161" s="24" t="str">
        <x:v>EX0282; EX0308; EX0314; EX0315</x:v>
      </x:c>
      <x:c r="L161" s="24" t="str">
        <x:v>EX0305; EX0307; EX0309; EX0312</x:v>
      </x:c>
      <x:c r="M161" s="24" t="str">
        <x:v>—</x:v>
      </x:c>
      <x:c r="N161" s="24" t="str">
        <x:v>—</x:v>
      </x:c>
      <x:c r="O161" s="24" t="str">
        <x:v>Functional or motor-control activation</x:v>
      </x:c>
      <x:c r="P161" s="24" t="str">
        <x:v>Breathing with thoracic rib expansion; Inspiratory resistance device low-load (supervised); Scapular posterior rib activation with breathing; Gentle controlled nasal inspiration; 360-degree lower-rib breathing; Segmental lateral rib expansion breathing</x:v>
      </x:c>
      <x:c r="Q161" s="24" t="str">
        <x:v>Tiny fascicles work as regional stabilizers; specific individual fibers cannot be selectively exercised.</x:v>
      </x:c>
    </x:row>
    <x:row r="162" ht="54" customHeight="1">
      <x:c r="A162" s="24" t="str">
        <x:v>Levator costae brevis (T3 to rib 4)</x:v>
      </x:c>
      <x:c r="B162" s="24" t="str">
        <x:v>Back &amp; Neck</x:v>
      </x:c>
      <x:c r="C162" s="24" t="str">
        <x:v>Deep posterior thorax segmental</x:v>
      </x:c>
      <x:c r="D162" s="24" t="str">
        <x:v>Posterior ramus T3</x:v>
      </x:c>
      <x:c r="E162" s="24" t="str">
        <x:v>T3 (segmental approximation)</x:v>
      </x:c>
      <x:c r="F162" s="24" t="str">
        <x:v>Transverse process T3</x:v>
      </x:c>
      <x:c r="G162" s="24" t="str">
        <x:v>Upper border rib 4 near rib angle</x:v>
      </x:c>
      <x:c r="H162" s="24" t="str">
        <x:v>Minute rib insertion tendon</x:v>
      </x:c>
      <x:c r="I162" s="24" t="str">
        <x:v>Costotransverse ligament complex nearby</x:v>
      </x:c>
      <x:c r="J162" s="24" t="str">
        <x:v>Mixed Type I and Type II; ratio unverified</x:v>
      </x:c>
      <x:c r="K162" s="24" t="str">
        <x:v>EX0282; EX0308; EX0314; EX0315</x:v>
      </x:c>
      <x:c r="L162" s="24" t="str">
        <x:v>EX0305; EX0307; EX0309; EX0312</x:v>
      </x:c>
      <x:c r="M162" s="24" t="str">
        <x:v>—</x:v>
      </x:c>
      <x:c r="N162" s="24" t="str">
        <x:v>—</x:v>
      </x:c>
      <x:c r="O162" s="24" t="str">
        <x:v>Functional or motor-control activation</x:v>
      </x:c>
      <x:c r="P162" s="24" t="str">
        <x:v>Breathing with thoracic rib expansion; Inspiratory resistance device low-load (supervised); Scapular posterior rib activation with breathing; Gentle controlled nasal inspiration; 360-degree lower-rib breathing; Segmental lateral rib expansion breathing</x:v>
      </x:c>
      <x:c r="Q162" s="24" t="str">
        <x:v>Tiny fascicles work as regional stabilizers; specific individual fibers cannot be selectively exercised.</x:v>
      </x:c>
    </x:row>
    <x:row r="163" ht="54" customHeight="1">
      <x:c r="A163" s="24" t="str">
        <x:v>Levator costae brevis (T4 to rib 5)</x:v>
      </x:c>
      <x:c r="B163" s="24" t="str">
        <x:v>Back &amp; Neck</x:v>
      </x:c>
      <x:c r="C163" s="24" t="str">
        <x:v>Deep posterior thorax segmental</x:v>
      </x:c>
      <x:c r="D163" s="24" t="str">
        <x:v>Posterior ramus T4</x:v>
      </x:c>
      <x:c r="E163" s="24" t="str">
        <x:v>T4 (segmental approximation)</x:v>
      </x:c>
      <x:c r="F163" s="24" t="str">
        <x:v>Transverse process T4</x:v>
      </x:c>
      <x:c r="G163" s="24" t="str">
        <x:v>Upper border rib 5 near rib angle</x:v>
      </x:c>
      <x:c r="H163" s="24" t="str">
        <x:v>Minute rib insertion tendon</x:v>
      </x:c>
      <x:c r="I163" s="24" t="str">
        <x:v>Costotransverse ligament complex nearby</x:v>
      </x:c>
      <x:c r="J163" s="24" t="str">
        <x:v>Mixed Type I and Type II; ratio unverified</x:v>
      </x:c>
      <x:c r="K163" s="24" t="str">
        <x:v>EX0282; EX0308; EX0314; EX0315</x:v>
      </x:c>
      <x:c r="L163" s="24" t="str">
        <x:v>EX0305; EX0307; EX0309; EX0312</x:v>
      </x:c>
      <x:c r="M163" s="24" t="str">
        <x:v>—</x:v>
      </x:c>
      <x:c r="N163" s="24" t="str">
        <x:v>—</x:v>
      </x:c>
      <x:c r="O163" s="24" t="str">
        <x:v>Functional or motor-control activation</x:v>
      </x:c>
      <x:c r="P163" s="24" t="str">
        <x:v>Breathing with thoracic rib expansion; Inspiratory resistance device low-load (supervised); Scapular posterior rib activation with breathing; Gentle controlled nasal inspiration; 360-degree lower-rib breathing; Segmental lateral rib expansion breathing</x:v>
      </x:c>
      <x:c r="Q163" s="24" t="str">
        <x:v>Tiny fascicles work as regional stabilizers; specific individual fibers cannot be selectively exercised.</x:v>
      </x:c>
    </x:row>
    <x:row r="164" ht="54" customHeight="1">
      <x:c r="A164" s="24" t="str">
        <x:v>Levator costae brevis (T5 to rib 6)</x:v>
      </x:c>
      <x:c r="B164" s="24" t="str">
        <x:v>Back &amp; Neck</x:v>
      </x:c>
      <x:c r="C164" s="24" t="str">
        <x:v>Deep posterior thorax segmental</x:v>
      </x:c>
      <x:c r="D164" s="24" t="str">
        <x:v>Posterior ramus T5</x:v>
      </x:c>
      <x:c r="E164" s="24" t="str">
        <x:v>T5 (segmental approximation)</x:v>
      </x:c>
      <x:c r="F164" s="24" t="str">
        <x:v>Transverse process T5</x:v>
      </x:c>
      <x:c r="G164" s="24" t="str">
        <x:v>Upper border rib 6 near rib angle</x:v>
      </x:c>
      <x:c r="H164" s="24" t="str">
        <x:v>Minute rib insertion tendon</x:v>
      </x:c>
      <x:c r="I164" s="24" t="str">
        <x:v>Costotransverse ligament complex nearby</x:v>
      </x:c>
      <x:c r="J164" s="24" t="str">
        <x:v>Mixed Type I and Type II; ratio unverified</x:v>
      </x:c>
      <x:c r="K164" s="24" t="str">
        <x:v>EX0282; EX0308; EX0314; EX0315</x:v>
      </x:c>
      <x:c r="L164" s="24" t="str">
        <x:v>EX0305; EX0307; EX0309; EX0312</x:v>
      </x:c>
      <x:c r="M164" s="24" t="str">
        <x:v>—</x:v>
      </x:c>
      <x:c r="N164" s="24" t="str">
        <x:v>—</x:v>
      </x:c>
      <x:c r="O164" s="24" t="str">
        <x:v>Functional or motor-control activation</x:v>
      </x:c>
      <x:c r="P164" s="24" t="str">
        <x:v>Breathing with thoracic rib expansion; Inspiratory resistance device low-load (supervised); Scapular posterior rib activation with breathing; Gentle controlled nasal inspiration; 360-degree lower-rib breathing; Segmental lateral rib expansion breathing</x:v>
      </x:c>
      <x:c r="Q164" s="24" t="str">
        <x:v>Tiny fascicles work as regional stabilizers; specific individual fibers cannot be selectively exercised.</x:v>
      </x:c>
    </x:row>
    <x:row r="165" ht="54" customHeight="1">
      <x:c r="A165" s="24" t="str">
        <x:v>Levator costae brevis (T6 to rib 7)</x:v>
      </x:c>
      <x:c r="B165" s="24" t="str">
        <x:v>Back &amp; Neck</x:v>
      </x:c>
      <x:c r="C165" s="24" t="str">
        <x:v>Deep posterior thorax segmental</x:v>
      </x:c>
      <x:c r="D165" s="24" t="str">
        <x:v>Posterior ramus T6</x:v>
      </x:c>
      <x:c r="E165" s="24" t="str">
        <x:v>T6 (segmental approximation)</x:v>
      </x:c>
      <x:c r="F165" s="24" t="str">
        <x:v>Transverse process T6</x:v>
      </x:c>
      <x:c r="G165" s="24" t="str">
        <x:v>Upper border rib 7 near rib angle</x:v>
      </x:c>
      <x:c r="H165" s="24" t="str">
        <x:v>Minute rib insertion tendon</x:v>
      </x:c>
      <x:c r="I165" s="24" t="str">
        <x:v>Costotransverse ligament complex nearby</x:v>
      </x:c>
      <x:c r="J165" s="24" t="str">
        <x:v>Mixed Type I and Type II; ratio unverified</x:v>
      </x:c>
      <x:c r="K165" s="24" t="str">
        <x:v>EX0282; EX0308; EX0314; EX0315</x:v>
      </x:c>
      <x:c r="L165" s="24" t="str">
        <x:v>EX0305; EX0307; EX0309; EX0312</x:v>
      </x:c>
      <x:c r="M165" s="24" t="str">
        <x:v>—</x:v>
      </x:c>
      <x:c r="N165" s="24" t="str">
        <x:v>—</x:v>
      </x:c>
      <x:c r="O165" s="24" t="str">
        <x:v>Functional or motor-control activation</x:v>
      </x:c>
      <x:c r="P165" s="24" t="str">
        <x:v>Breathing with thoracic rib expansion; Inspiratory resistance device low-load (supervised); Scapular posterior rib activation with breathing; Gentle controlled nasal inspiration; 360-degree lower-rib breathing; Segmental lateral rib expansion breathing</x:v>
      </x:c>
      <x:c r="Q165" s="24" t="str">
        <x:v>Tiny fascicles work as regional stabilizers; specific individual fibers cannot be selectively exercised.</x:v>
      </x:c>
    </x:row>
    <x:row r="166" ht="54" customHeight="1">
      <x:c r="A166" s="24" t="str">
        <x:v>Levator costae brevis (T7 to rib 8)</x:v>
      </x:c>
      <x:c r="B166" s="24" t="str">
        <x:v>Back &amp; Neck</x:v>
      </x:c>
      <x:c r="C166" s="24" t="str">
        <x:v>Deep posterior thorax segmental</x:v>
      </x:c>
      <x:c r="D166" s="24" t="str">
        <x:v>Posterior ramus T7</x:v>
      </x:c>
      <x:c r="E166" s="24" t="str">
        <x:v>T7 (segmental approximation)</x:v>
      </x:c>
      <x:c r="F166" s="24" t="str">
        <x:v>Transverse process T7</x:v>
      </x:c>
      <x:c r="G166" s="24" t="str">
        <x:v>Upper border rib 8 near rib angle</x:v>
      </x:c>
      <x:c r="H166" s="24" t="str">
        <x:v>Minute rib insertion tendon</x:v>
      </x:c>
      <x:c r="I166" s="24" t="str">
        <x:v>Costotransverse ligament complex nearby</x:v>
      </x:c>
      <x:c r="J166" s="24" t="str">
        <x:v>Mixed Type I and Type II; ratio unverified</x:v>
      </x:c>
      <x:c r="K166" s="24" t="str">
        <x:v>EX0282; EX0308; EX0314; EX0315</x:v>
      </x:c>
      <x:c r="L166" s="24" t="str">
        <x:v>EX0305; EX0307; EX0309; EX0312</x:v>
      </x:c>
      <x:c r="M166" s="24" t="str">
        <x:v>—</x:v>
      </x:c>
      <x:c r="N166" s="24" t="str">
        <x:v>—</x:v>
      </x:c>
      <x:c r="O166" s="24" t="str">
        <x:v>Functional or motor-control activation</x:v>
      </x:c>
      <x:c r="P166" s="24" t="str">
        <x:v>Breathing with thoracic rib expansion; Inspiratory resistance device low-load (supervised); Scapular posterior rib activation with breathing; Gentle controlled nasal inspiration; 360-degree lower-rib breathing; Segmental lateral rib expansion breathing</x:v>
      </x:c>
      <x:c r="Q166" s="24" t="str">
        <x:v>Tiny fascicles work as regional stabilizers; specific individual fibers cannot be selectively exercised.</x:v>
      </x:c>
    </x:row>
    <x:row r="167" ht="54" customHeight="1">
      <x:c r="A167" s="24" t="str">
        <x:v>Levator costae brevis (T8 to rib 9)</x:v>
      </x:c>
      <x:c r="B167" s="24" t="str">
        <x:v>Back &amp; Neck</x:v>
      </x:c>
      <x:c r="C167" s="24" t="str">
        <x:v>Deep posterior thorax segmental</x:v>
      </x:c>
      <x:c r="D167" s="24" t="str">
        <x:v>Posterior ramus T8</x:v>
      </x:c>
      <x:c r="E167" s="24" t="str">
        <x:v>T8 (segmental approximation)</x:v>
      </x:c>
      <x:c r="F167" s="24" t="str">
        <x:v>Transverse process T8</x:v>
      </x:c>
      <x:c r="G167" s="24" t="str">
        <x:v>Upper border rib 9 near rib angle</x:v>
      </x:c>
      <x:c r="H167" s="24" t="str">
        <x:v>Minute rib insertion tendon</x:v>
      </x:c>
      <x:c r="I167" s="24" t="str">
        <x:v>Costotransverse ligament complex nearby</x:v>
      </x:c>
      <x:c r="J167" s="24" t="str">
        <x:v>Mixed Type I and Type II; ratio unverified</x:v>
      </x:c>
      <x:c r="K167" s="24" t="str">
        <x:v>EX0282; EX0308; EX0314; EX0315</x:v>
      </x:c>
      <x:c r="L167" s="24" t="str">
        <x:v>EX0305; EX0307; EX0309; EX0312</x:v>
      </x:c>
      <x:c r="M167" s="24" t="str">
        <x:v>—</x:v>
      </x:c>
      <x:c r="N167" s="24" t="str">
        <x:v>—</x:v>
      </x:c>
      <x:c r="O167" s="24" t="str">
        <x:v>Functional or motor-control activation</x:v>
      </x:c>
      <x:c r="P167" s="24" t="str">
        <x:v>Breathing with thoracic rib expansion; Inspiratory resistance device low-load (supervised); Scapular posterior rib activation with breathing; Gentle controlled nasal inspiration; 360-degree lower-rib breathing; Segmental lateral rib expansion breathing</x:v>
      </x:c>
      <x:c r="Q167" s="24" t="str">
        <x:v>Tiny fascicles work as regional stabilizers; specific individual fibers cannot be selectively exercised.</x:v>
      </x:c>
    </x:row>
    <x:row r="168" ht="54" customHeight="1">
      <x:c r="A168" s="24" t="str">
        <x:v>Levator costae brevis (T9 to rib 10)</x:v>
      </x:c>
      <x:c r="B168" s="24" t="str">
        <x:v>Back &amp; Neck</x:v>
      </x:c>
      <x:c r="C168" s="24" t="str">
        <x:v>Deep posterior thorax segmental</x:v>
      </x:c>
      <x:c r="D168" s="24" t="str">
        <x:v>Posterior ramus T9</x:v>
      </x:c>
      <x:c r="E168" s="24" t="str">
        <x:v>T9 (segmental approximation)</x:v>
      </x:c>
      <x:c r="F168" s="24" t="str">
        <x:v>Transverse process T9</x:v>
      </x:c>
      <x:c r="G168" s="24" t="str">
        <x:v>Upper border rib 10 near rib angle</x:v>
      </x:c>
      <x:c r="H168" s="24" t="str">
        <x:v>Minute rib insertion tendon</x:v>
      </x:c>
      <x:c r="I168" s="24" t="str">
        <x:v>Costotransverse ligament complex nearby</x:v>
      </x:c>
      <x:c r="J168" s="24" t="str">
        <x:v>Mixed Type I and Type II; ratio unverified</x:v>
      </x:c>
      <x:c r="K168" s="24" t="str">
        <x:v>EX0282; EX0308; EX0314; EX0315</x:v>
      </x:c>
      <x:c r="L168" s="24" t="str">
        <x:v>EX0305; EX0307; EX0309; EX0312</x:v>
      </x:c>
      <x:c r="M168" s="24" t="str">
        <x:v>—</x:v>
      </x:c>
      <x:c r="N168" s="24" t="str">
        <x:v>—</x:v>
      </x:c>
      <x:c r="O168" s="24" t="str">
        <x:v>Functional or motor-control activation</x:v>
      </x:c>
      <x:c r="P168" s="24" t="str">
        <x:v>Breathing with thoracic rib expansion; Inspiratory resistance device low-load (supervised); Scapular posterior rib activation with breathing; Gentle controlled nasal inspiration; 360-degree lower-rib breathing; Segmental lateral rib expansion breathing</x:v>
      </x:c>
      <x:c r="Q168" s="24" t="str">
        <x:v>Tiny fascicles work as regional stabilizers; specific individual fibers cannot be selectively exercised.</x:v>
      </x:c>
    </x:row>
    <x:row r="169" ht="54" customHeight="1">
      <x:c r="A169" s="24" t="str">
        <x:v>Intertransversarii cervicis anteriores</x:v>
      </x:c>
      <x:c r="B169" s="24" t="str">
        <x:v>Back &amp; Neck</x:v>
      </x:c>
      <x:c r="C169" s="24" t="str">
        <x:v>Deep segmental cervical</x:v>
      </x:c>
      <x:c r="D169" s="24" t="str">
        <x:v>Anterior rami cervical spinal nerves</x:v>
      </x:c>
      <x:c r="E169" s="24" t="str">
        <x:v>C2-C8 segmental</x:v>
      </x:c>
      <x:c r="F169" s="24" t="str">
        <x:v>Anterior tubercle lower cervical transverse process</x:v>
      </x:c>
      <x:c r="G169" s="24" t="str">
        <x:v>Anterior tubercle next superior transverse process</x:v>
      </x:c>
      <x:c r="H169" s="24" t="str">
        <x:v>Tiny segmental tendons</x:v>
      </x:c>
      <x:c r="I169" s="24" t="str">
        <x:v>Intertransverse ligaments nearby</x:v>
      </x:c>
      <x:c r="J169" s="24" t="str">
        <x:v>Mixed Type I and Type II; ratio unverified</x:v>
      </x:c>
      <x:c r="K169" s="24" t="str">
        <x:v>EX0254; EX0255; EX0258; EX0259; EX0260; EX0261; EX0273; EX0275; EX0276; EX0279; EX0281; EX0289</x:v>
      </x:c>
      <x:c r="L169" s="24" t="str">
        <x:v>EX0130; EX0131; EX0175; EX0277; EX0283; EX0368</x:v>
      </x:c>
      <x:c r="M169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169" s="24" t="str">
        <x:v>EX0257; EX0275; EX0276; EX0278; EX0280</x:v>
      </x:c>
      <x:c r="O169" s="24" t="str">
        <x:v>Active strength target (group or direct)</x:v>
      </x:c>
      <x:c r="P169" s="24" t="str">
        <x:v>Standing abdominal wall stretch; Sphinx pose chest/abdominal stretch; Bird dog; Quadruped single-leg extension; Single-leg hip hinge wall tap; Resistance-band good morning</x:v>
      </x:c>
      <x:c r="Q169" s="24" t="str">
        <x:v>Tiny fascicles work as regional stabilizers; specific individual fibers cannot be selectively exercised.</x:v>
      </x:c>
    </x:row>
    <x:row r="170" ht="54" customHeight="1">
      <x:c r="A170" s="24" t="str">
        <x:v>Intertransversarii cervicis posteriores</x:v>
      </x:c>
      <x:c r="B170" s="24" t="str">
        <x:v>Back &amp; Neck</x:v>
      </x:c>
      <x:c r="C170" s="24" t="str">
        <x:v>Deep segmental cervical</x:v>
      </x:c>
      <x:c r="D170" s="24" t="str">
        <x:v>Posterior rami cervical spinal nerves</x:v>
      </x:c>
      <x:c r="E170" s="24" t="str">
        <x:v>C2-C8 segmental</x:v>
      </x:c>
      <x:c r="F170" s="24" t="str">
        <x:v>Posterior tubercle lower cervical transverse process</x:v>
      </x:c>
      <x:c r="G170" s="24" t="str">
        <x:v>Posterior tubercle adjacent upper transverse process</x:v>
      </x:c>
      <x:c r="H170" s="24" t="str">
        <x:v>Tiny segmental tendons</x:v>
      </x:c>
      <x:c r="I170" s="24" t="str">
        <x:v>Intertransverse connective tissues adjacent</x:v>
      </x:c>
      <x:c r="J170" s="24" t="str">
        <x:v>Mixed Type I and Type II; ratio unverified</x:v>
      </x:c>
      <x:c r="K170" s="24" t="str">
        <x:v>EX0254; EX0255; EX0258; EX0259; EX0260; EX0261; EX0273; EX0275; EX0276; EX0279; EX0281; EX0289</x:v>
      </x:c>
      <x:c r="L170" s="24" t="str">
        <x:v>EX0130; EX0131; EX0175; EX0277; EX0283; EX0368</x:v>
      </x:c>
      <x:c r="M170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170" s="24" t="str">
        <x:v>EX0257; EX0275; EX0276; EX0278; EX0280</x:v>
      </x:c>
      <x:c r="O170" s="24" t="str">
        <x:v>Active strength target (group or direct)</x:v>
      </x:c>
      <x:c r="P170" s="24" t="str">
        <x:v>Standing abdominal wall stretch; Sphinx pose chest/abdominal stretch; Bird dog; Quadruped single-leg extension; Single-leg hip hinge wall tap; Resistance-band good morning</x:v>
      </x:c>
      <x:c r="Q170" s="24" t="str">
        <x:v>Tiny fascicles work as regional stabilizers; specific individual fibers cannot be selectively exercised.</x:v>
      </x:c>
    </x:row>
    <x:row r="171" ht="54" customHeight="1">
      <x:c r="A171" s="24" t="str">
        <x:v>Intertransversarii lumborum laterales</x:v>
      </x:c>
      <x:c r="B171" s="24" t="str">
        <x:v>Back &amp; Neck</x:v>
      </x:c>
      <x:c r="C171" s="24" t="str">
        <x:v>Deep segmental lumbar</x:v>
      </x:c>
      <x:c r="D171" s="24" t="str">
        <x:v>Anterior rami lumbar spinal nerves</x:v>
      </x:c>
      <x:c r="E171" s="24" t="str">
        <x:v>L1-L4 segmental</x:v>
      </x:c>
      <x:c r="F171" s="24" t="str">
        <x:v>Costal processes of neighboring lumbar vertebrae</x:v>
      </x:c>
      <x:c r="G171" s="24" t="str">
        <x:v>Superior adjacent lumbar costal process</x:v>
      </x:c>
      <x:c r="H171" s="24" t="str">
        <x:v>Short fascicular tendons</x:v>
      </x:c>
      <x:c r="I171" s="24" t="str">
        <x:v>Intertransverse ligaments nearby</x:v>
      </x:c>
      <x:c r="J171" s="24" t="str">
        <x:v>Mixed Type I and Type II; ratio unverified</x:v>
      </x:c>
      <x:c r="K171" s="24" t="str">
        <x:v>EX0254; EX0255; EX0258; EX0259; EX0260; EX0261; EX0273; EX0275; EX0276; EX0279; EX0281</x:v>
      </x:c>
      <x:c r="L171" s="24" t="str">
        <x:v>EX0130; EX0131; EX0175; EX0277; EX0283; EX0368</x:v>
      </x:c>
      <x:c r="M171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171" s="24" t="str">
        <x:v>EX0257; EX0275; EX0276; EX0278; EX0280</x:v>
      </x:c>
      <x:c r="O171" s="24" t="str">
        <x:v>Active strength target (group or direct)</x:v>
      </x:c>
      <x:c r="P171" s="24" t="str">
        <x:v>Standing abdominal wall stretch; Sphinx pose chest/abdominal stretch; Bird dog; Quadruped single-leg extension; Single-leg hip hinge wall tap; Resistance-band good morning</x:v>
      </x:c>
      <x:c r="Q171" s="24" t="str">
        <x:v>Tiny fascicles work as regional stabilizers; specific individual fibers cannot be selectively exercised.</x:v>
      </x:c>
    </x:row>
    <x:row r="172" ht="54" customHeight="1">
      <x:c r="A172" s="24" t="str">
        <x:v>Intertransversarii lumborum mediales</x:v>
      </x:c>
      <x:c r="B172" s="24" t="str">
        <x:v>Back &amp; Neck</x:v>
      </x:c>
      <x:c r="C172" s="24" t="str">
        <x:v>Deep segmental lumbar</x:v>
      </x:c>
      <x:c r="D172" s="24" t="str">
        <x:v>Posterior rami lumbar spinal nerves</x:v>
      </x:c>
      <x:c r="E172" s="24" t="str">
        <x:v>L1-L5 segmental</x:v>
      </x:c>
      <x:c r="F172" s="24" t="str">
        <x:v>Mammillary/accessory processes neighboring lumbar vertebrae</x:v>
      </x:c>
      <x:c r="G172" s="24" t="str">
        <x:v>Adjacent superior lumbar vertebral processes</x:v>
      </x:c>
      <x:c r="H172" s="24" t="str">
        <x:v>Tiny intersegmental tendons</x:v>
      </x:c>
      <x:c r="I172" s="24" t="str">
        <x:v>Intertransverse ligaments near fascicles</x:v>
      </x:c>
      <x:c r="J172" s="24" t="str">
        <x:v>Mixed Type I and Type II; ratio unverified</x:v>
      </x:c>
      <x:c r="K172" s="24" t="str">
        <x:v>EX0254; EX0255; EX0258; EX0259; EX0260; EX0261; EX0273; EX0275; EX0276; EX0279; EX0281</x:v>
      </x:c>
      <x:c r="L172" s="24" t="str">
        <x:v>EX0130; EX0131; EX0175; EX0277; EX0283; EX0368</x:v>
      </x:c>
      <x:c r="M172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172" s="24" t="str">
        <x:v>EX0257; EX0275; EX0276; EX0278; EX0280</x:v>
      </x:c>
      <x:c r="O172" s="24" t="str">
        <x:v>Active strength target (group or direct)</x:v>
      </x:c>
      <x:c r="P172" s="24" t="str">
        <x:v>Standing abdominal wall stretch; Sphinx pose chest/abdominal stretch; Bird dog; Quadruped single-leg extension; Single-leg hip hinge wall tap; Resistance-band good morning</x:v>
      </x:c>
      <x:c r="Q172" s="24" t="str">
        <x:v>Tiny fascicles work as regional stabilizers; specific individual fibers cannot be selectively exercised.</x:v>
      </x:c>
    </x:row>
    <x:row r="173" ht="54" customHeight="1">
      <x:c r="A173" s="24" t="str">
        <x:v>Intertransversarii thoracis (sparse)</x:v>
      </x:c>
      <x:c r="B173" s="24" t="str">
        <x:v>Back &amp; Neck</x:v>
      </x:c>
      <x:c r="C173" s="24" t="str">
        <x:v>Deep segmental thoracic</x:v>
      </x:c>
      <x:c r="D173" s="24" t="str">
        <x:v>Segmental spinal nerve branches</x:v>
      </x:c>
      <x:c r="E173" s="24" t="str">
        <x:v>T1-T12 (variable)</x:v>
      </x:c>
      <x:c r="F173" s="24" t="str">
        <x:v>Thoracic transverse processes</x:v>
      </x:c>
      <x:c r="G173" s="24" t="str">
        <x:v>Adjacent superior thoracic transverse processes</x:v>
      </x:c>
      <x:c r="H173" s="24" t="str">
        <x:v>Minute tendons</x:v>
      </x:c>
      <x:c r="I173" s="24" t="str">
        <x:v>Costotransverse ligaments nearby</x:v>
      </x:c>
      <x:c r="J173" s="24" t="str">
        <x:v>Mixed Type I and Type II; ratio unverified</x:v>
      </x:c>
      <x:c r="K173" s="24" t="str">
        <x:v>EX0254; EX0255; EX0258; EX0259; EX0260; EX0261; EX0273; EX0275; EX0276; EX0279; EX0281</x:v>
      </x:c>
      <x:c r="L173" s="24" t="str">
        <x:v>EX0130; EX0131; EX0175; EX0277; EX0283; EX0368</x:v>
      </x:c>
      <x:c r="M173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173" s="24" t="str">
        <x:v>EX0257; EX0275; EX0276; EX0278; EX0280</x:v>
      </x:c>
      <x:c r="O173" s="24" t="str">
        <x:v>Active strength target (group or direct)</x:v>
      </x:c>
      <x:c r="P173" s="24" t="str">
        <x:v>Standing abdominal wall stretch; Sphinx pose chest/abdominal stretch; Bird dog; Quadruped single-leg extension; Single-leg hip hinge wall tap; Resistance-band good morning</x:v>
      </x:c>
      <x:c r="Q173" s="24" t="str">
        <x:v>Tiny fascicles work as regional stabilizers; specific individual fibers cannot be selectively exercised.</x:v>
      </x:c>
    </x:row>
    <x:row r="174" ht="54" customHeight="1">
      <x:c r="A174" s="24" t="str">
        <x:v>Interspinales cervicis</x:v>
      </x:c>
      <x:c r="B174" s="24" t="str">
        <x:v>Back &amp; Neck</x:v>
      </x:c>
      <x:c r="C174" s="24" t="str">
        <x:v>Deep short segmental</x:v>
      </x:c>
      <x:c r="D174" s="24" t="str">
        <x:v>Posterior rami cervical spinal nerves</x:v>
      </x:c>
      <x:c r="E174" s="24" t="str">
        <x:v>C2-C7 segmental</x:v>
      </x:c>
      <x:c r="F174" s="24" t="str">
        <x:v>Superior surface lower cervical spinous process</x:v>
      </x:c>
      <x:c r="G174" s="24" t="str">
        <x:v>Inferior surface adjacent upper spinous process</x:v>
      </x:c>
      <x:c r="H174" s="24" t="str">
        <x:v>Short interspinous attachments</x:v>
      </x:c>
      <x:c r="I174" s="24" t="str">
        <x:v>Interspinous ligaments in same interspinous space</x:v>
      </x:c>
      <x:c r="J174" s="24" t="str">
        <x:v>Mixed Type I and Type II; ratio unverified</x:v>
      </x:c>
      <x:c r="K174" s="24" t="str">
        <x:v>EX0254; EX0255; EX0258; EX0259; EX0260; EX0261; EX0273; EX0275; EX0276; EX0279; EX0281</x:v>
      </x:c>
      <x:c r="L174" s="24" t="str">
        <x:v>EX0130; EX0131; EX0175; EX0277; EX0283; EX0368</x:v>
      </x:c>
      <x:c r="M174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174" s="24" t="str">
        <x:v>EX0257; EX0275; EX0276; EX0278; EX0280</x:v>
      </x:c>
      <x:c r="O174" s="24" t="str">
        <x:v>Active strength target (group or direct)</x:v>
      </x:c>
      <x:c r="P174" s="24" t="str">
        <x:v>Standing abdominal wall stretch; Sphinx pose chest/abdominal stretch; Bird dog; Quadruped single-leg extension; Single-leg hip hinge wall tap; Resistance-band good morning</x:v>
      </x:c>
      <x:c r="Q174" s="24" t="str">
        <x:v>Tiny fascicles work as regional stabilizers; specific individual fibers cannot be selectively exercised.</x:v>
      </x:c>
    </x:row>
    <x:row r="175" ht="54" customHeight="1">
      <x:c r="A175" s="24" t="str">
        <x:v>Interspinales lumborum</x:v>
      </x:c>
      <x:c r="B175" s="24" t="str">
        <x:v>Back &amp; Neck</x:v>
      </x:c>
      <x:c r="C175" s="24" t="str">
        <x:v>Deep short segmental</x:v>
      </x:c>
      <x:c r="D175" s="24" t="str">
        <x:v>Posterior rami lumbar nerves</x:v>
      </x:c>
      <x:c r="E175" s="24" t="str">
        <x:v>L1-L5 segmental</x:v>
      </x:c>
      <x:c r="F175" s="24" t="str">
        <x:v>Superior aspect lumbar spinous process</x:v>
      </x:c>
      <x:c r="G175" s="24" t="str">
        <x:v>Inferior aspect next superior lumbar spinous process</x:v>
      </x:c>
      <x:c r="H175" s="24" t="str">
        <x:v>Short interspinous fascicular tendons</x:v>
      </x:c>
      <x:c r="I175" s="24" t="str">
        <x:v>Interspinous ligaments adjacent/direct connective interfaces</x:v>
      </x:c>
      <x:c r="J175" s="24" t="str">
        <x:v>Mixed Type I and Type II; ratio unverified</x:v>
      </x:c>
      <x:c r="K175" s="24" t="str">
        <x:v>EX0254; EX0255; EX0258; EX0259; EX0260; EX0261; EX0273; EX0275; EX0276; EX0279; EX0281</x:v>
      </x:c>
      <x:c r="L175" s="24" t="str">
        <x:v>EX0130; EX0131; EX0175; EX0277; EX0283; EX0368</x:v>
      </x:c>
      <x:c r="M175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175" s="24" t="str">
        <x:v>EX0257; EX0275; EX0276; EX0278; EX0280</x:v>
      </x:c>
      <x:c r="O175" s="24" t="str">
        <x:v>Active strength target (group or direct)</x:v>
      </x:c>
      <x:c r="P175" s="24" t="str">
        <x:v>Standing abdominal wall stretch; Sphinx pose chest/abdominal stretch; Bird dog; Quadruped single-leg extension; Single-leg hip hinge wall tap; Resistance-band good morning</x:v>
      </x:c>
      <x:c r="Q175" s="24" t="str">
        <x:v>Tiny fascicles work as regional stabilizers; specific individual fibers cannot be selectively exercised.</x:v>
      </x:c>
    </x:row>
    <x:row r="176" ht="54" customHeight="1">
      <x:c r="A176" s="24" t="str">
        <x:v>Interspinales thoracis (inconstant)</x:v>
      </x:c>
      <x:c r="B176" s="24" t="str">
        <x:v>Back &amp; Neck</x:v>
      </x:c>
      <x:c r="C176" s="24" t="str">
        <x:v>Deep short segmental</x:v>
      </x:c>
      <x:c r="D176" s="24" t="str">
        <x:v>Posterior rami thoracic nerves</x:v>
      </x:c>
      <x:c r="E176" s="24" t="str">
        <x:v>T1-T12 segmental</x:v>
      </x:c>
      <x:c r="F176" s="24" t="str">
        <x:v>Adjacent thoracic spinous processes</x:v>
      </x:c>
      <x:c r="G176" s="24" t="str">
        <x:v>Adjacent superior thoracic spinous process</x:v>
      </x:c>
      <x:c r="H176" s="24" t="str">
        <x:v>Minute interspinous slips</x:v>
      </x:c>
      <x:c r="I176" s="24" t="str">
        <x:v>Interspinous ligaments adjacent</x:v>
      </x:c>
      <x:c r="J176" s="24" t="str">
        <x:v>Mixed Type I and Type II; ratio unverified</x:v>
      </x:c>
      <x:c r="K176" s="24" t="str">
        <x:v>EX0254; EX0255; EX0258; EX0259; EX0260; EX0261; EX0273; EX0275; EX0276; EX0279; EX0281</x:v>
      </x:c>
      <x:c r="L176" s="24" t="str">
        <x:v>EX0130; EX0131; EX0175; EX0277; EX0283; EX0368</x:v>
      </x:c>
      <x:c r="M176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176" s="24" t="str">
        <x:v>EX0257; EX0275; EX0276; EX0278; EX0280</x:v>
      </x:c>
      <x:c r="O176" s="24" t="str">
        <x:v>Active strength target (group or direct)</x:v>
      </x:c>
      <x:c r="P176" s="24" t="str">
        <x:v>Standing abdominal wall stretch; Sphinx pose chest/abdominal stretch; Bird dog; Quadruped single-leg extension; Single-leg hip hinge wall tap; Resistance-band good morning</x:v>
      </x:c>
      <x:c r="Q176" s="24" t="str">
        <x:v>Tiny fascicles work as regional stabilizers; specific individual fibers cannot be selectively exercised.</x:v>
      </x:c>
    </x:row>
    <x:row r="177" ht="54" customHeight="1">
      <x:c r="A177" s="24" t="str">
        <x:v>Longissimus capitis</x:v>
      </x:c>
      <x:c r="B177" s="24" t="str">
        <x:v>Back &amp; Neck</x:v>
      </x:c>
      <x:c r="C177" s="24" t="str">
        <x:v>Erector spinae intermediate</x:v>
      </x:c>
      <x:c r="D177" s="24" t="str">
        <x:v>Posterior rami cervical spinal nerves</x:v>
      </x:c>
      <x:c r="E177" s="24" t="str">
        <x:v>C2-C6 segmental</x:v>
      </x:c>
      <x:c r="F177" s="24" t="str">
        <x:v>Transverse processes T1-T5; articular processes C4-C7</x:v>
      </x:c>
      <x:c r="G177" s="24" t="str">
        <x:v>Mastoid process temporal bone</x:v>
      </x:c>
      <x:c r="H177" s="24" t="str">
        <x:v>Mastoid insertion tendon</x:v>
      </x:c>
      <x:c r="I177" s="24" t="str">
        <x:v>Nuchal ligament adjacent, not main attachment</x:v>
      </x:c>
      <x:c r="J177" s="24" t="str">
        <x:v>Mixed Type I and Type II; ratio unverified</x:v>
      </x:c>
      <x:c r="K177" s="24" t="str">
        <x:v>EX0254; EX0255; EX0258; EX0259; EX0260; EX0261; EX0273; EX0275; EX0276; EX0279; EX0281; EX0288; EX0289; EX0292; EX0300; EX0301</x:v>
      </x:c>
      <x:c r="L177" s="24" t="str">
        <x:v>EX0130; EX0131; EX0175; EX0277; EX0283; EX0290; EX0294; EX0368</x:v>
      </x:c>
      <x:c r="M177" s="24" t="str">
        <x:v>EX0129; EX0143; EX0144; EX0146; EX0147; EX0148; EX0149; EX0170; EX0171; EX0172; EX0173; EX0174; EX0176; EX0233; EX0234; EX0237; EX0238; EX0240; EX0242; EX0243; EX0245; EX0246; EX0247; EX0249; EX0250; EX0251; EX0262; EX0263; EX0269; EX0272; EX0284; EX0285; EX0287; EX0303; EX0314</x:v>
      </x:c>
      <x:c r="N177" s="24" t="str">
        <x:v>EX0257; EX0275; EX0276; EX0278; EX0280</x:v>
      </x:c>
      <x:c r="O177" s="24" t="str">
        <x:v>Active strength target (group or direct)</x:v>
      </x:c>
      <x:c r="P177" s="24" t="str">
        <x:v>Standing abdominal wall stretch; Sphinx pose chest/abdominal stretch; Bird dog; Quadruped single-leg extension; Single-leg hip hinge wall tap; Resistance-band good morning</x:v>
      </x:c>
      <x:c r="Q177" s="24" t="str">
        <x:v>Active/involved status varies with technique, loading, individual anatomy and fatigue.</x:v>
      </x:c>
    </x:row>
    <x:row r="178" ht="54" customHeight="1">
      <x:c r="A178" s="24" t="str">
        <x:v>Longissimus cervicis</x:v>
      </x:c>
      <x:c r="B178" s="24" t="str">
        <x:v>Back &amp; Neck</x:v>
      </x:c>
      <x:c r="C178" s="24" t="str">
        <x:v>Erector spinae intermediate</x:v>
      </x:c>
      <x:c r="D178" s="24" t="str">
        <x:v>Posterior rami cervical nerves</x:v>
      </x:c>
      <x:c r="E178" s="24" t="str">
        <x:v>C2-C8 segmental</x:v>
      </x:c>
      <x:c r="F178" s="24" t="str">
        <x:v>Transverse processes T1-T5</x:v>
      </x:c>
      <x:c r="G178" s="24" t="str">
        <x:v>Posterior tubercles transverse processes C2-C6</x:v>
      </x:c>
      <x:c r="H178" s="24" t="str">
        <x:v>Segmental cervical insertion tendons</x:v>
      </x:c>
      <x:c r="I178" s="24" t="str">
        <x:v>No specific direct ligament attachment</x:v>
      </x:c>
      <x:c r="J178" s="24" t="str">
        <x:v>Mixed Type I and Type II; ratio unverified</x:v>
      </x:c>
      <x:c r="K178" s="24" t="str">
        <x:v>EX0254; EX0255; EX0258; EX0259; EX0260; EX0261; EX0273; EX0275; EX0276; EX0279; EX0281; EX0288; EX0289; EX0292; EX0300; EX0301</x:v>
      </x:c>
      <x:c r="L178" s="24" t="str">
        <x:v>EX0130; EX0131; EX0175; EX0277; EX0283; EX0290; EX0294; EX0368</x:v>
      </x:c>
      <x:c r="M178" s="24" t="str">
        <x:v>EX0129; EX0143; EX0144; EX0146; EX0147; EX0148; EX0149; EX0170; EX0171; EX0172; EX0173; EX0174; EX0176; EX0233; EX0234; EX0237; EX0238; EX0240; EX0242; EX0243; EX0245; EX0246; EX0247; EX0249; EX0250; EX0251; EX0262; EX0263; EX0269; EX0272; EX0284; EX0285; EX0287; EX0303; EX0314</x:v>
      </x:c>
      <x:c r="N178" s="24" t="str">
        <x:v>EX0257; EX0275; EX0276; EX0278; EX0280</x:v>
      </x:c>
      <x:c r="O178" s="24" t="str">
        <x:v>Active strength target (group or direct)</x:v>
      </x:c>
      <x:c r="P178" s="24" t="str">
        <x:v>Standing abdominal wall stretch; Sphinx pose chest/abdominal stretch; Bird dog; Quadruped single-leg extension; Single-leg hip hinge wall tap; Resistance-band good morning</x:v>
      </x:c>
      <x:c r="Q178" s="24" t="str">
        <x:v>Active/involved status varies with technique, loading, individual anatomy and fatigue.</x:v>
      </x:c>
    </x:row>
    <x:row r="179" ht="54" customHeight="1">
      <x:c r="A179" s="24" t="str">
        <x:v>Longissimus thoracis</x:v>
      </x:c>
      <x:c r="B179" s="24" t="str">
        <x:v>Back &amp; Neck</x:v>
      </x:c>
      <x:c r="C179" s="24" t="str">
        <x:v>Erector spinae intermediate</x:v>
      </x:c>
      <x:c r="D179" s="24" t="str">
        <x:v>Posterior rami spinal nerves</x:v>
      </x:c>
      <x:c r="E179" s="24" t="str">
        <x:v>T1-L5 segmental</x:v>
      </x:c>
      <x:c r="F179" s="24" t="str">
        <x:v>Common erector spinae tendon; sacrum; lumbar processes</x:v>
      </x:c>
      <x:c r="G179" s="24" t="str">
        <x:v>Thoracic transverse processes and ribs 2-12</x:v>
      </x:c>
      <x:c r="H179" s="24" t="str">
        <x:v>Common erector tendon and segmental slips</x:v>
      </x:c>
      <x:c r="I179" s="24" t="str">
        <x:v>Thoracolumbar fascia associated at origin</x:v>
      </x:c>
      <x:c r="J179" s="24" t="str">
        <x:v>Type I-enriched (regional sample mean)</x:v>
      </x:c>
      <x:c r="K179" s="24" t="str">
        <x:v>EX0254; EX0255; EX0258; EX0259; EX0260; EX0261; EX0273; EX0275; EX0276; EX0279; EX0281</x:v>
      </x:c>
      <x:c r="L179" s="24" t="str">
        <x:v>EX0130; EX0131; EX0175; EX0277; EX0283; EX0368</x:v>
      </x:c>
      <x:c r="M179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179" s="24" t="str">
        <x:v>EX0257; EX0275; EX0276; EX0278; EX0280</x:v>
      </x:c>
      <x:c r="O179" s="24" t="str">
        <x:v>Active strength target (group or direct)</x:v>
      </x:c>
      <x:c r="P179" s="24" t="str">
        <x:v>Standing abdominal wall stretch; Sphinx pose chest/abdominal stretch; Bird dog; Quadruped single-leg extension; Single-leg hip hinge wall tap; Resistance-band good morning</x:v>
      </x:c>
      <x:c r="Q179" s="24" t="str">
        <x:v>Active/involved status varies with technique, loading, individual anatomy and fatigue.</x:v>
      </x:c>
    </x:row>
    <x:row r="180" ht="54" customHeight="1">
      <x:c r="A180" s="24" t="str">
        <x:v>Iliocostalis cervicis</x:v>
      </x:c>
      <x:c r="B180" s="24" t="str">
        <x:v>Back &amp; Neck</x:v>
      </x:c>
      <x:c r="C180" s="24" t="str">
        <x:v>Erector spinae lateral</x:v>
      </x:c>
      <x:c r="D180" s="24" t="str">
        <x:v>Posterior rami cervical spinal nerves</x:v>
      </x:c>
      <x:c r="E180" s="24" t="str">
        <x:v>C4-C8 segmental</x:v>
      </x:c>
      <x:c r="F180" s="24" t="str">
        <x:v>Angles ribs 3-6</x:v>
      </x:c>
      <x:c r="G180" s="24" t="str">
        <x:v>Posterior tubercles transverse processes C4-C6</x:v>
      </x:c>
      <x:c r="H180" s="24" t="str">
        <x:v>Costal-to-cervical tendons</x:v>
      </x:c>
      <x:c r="I180" s="24" t="str">
        <x:v>No direct ligament attachment routinely specified</x:v>
      </x:c>
      <x:c r="J180" s="24" t="str">
        <x:v>Mixed Type I and Type II; ratio unverified</x:v>
      </x:c>
      <x:c r="K180" s="24" t="str">
        <x:v>EX0254; EX0255; EX0258; EX0259; EX0260; EX0261; EX0273; EX0275; EX0276; EX0279; EX0281</x:v>
      </x:c>
      <x:c r="L180" s="24" t="str">
        <x:v>EX0130; EX0131; EX0175; EX0277; EX0283; EX0368</x:v>
      </x:c>
      <x:c r="M180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180" s="24" t="str">
        <x:v>EX0257; EX0275; EX0276; EX0278; EX0280</x:v>
      </x:c>
      <x:c r="O180" s="24" t="str">
        <x:v>Active strength target (group or direct)</x:v>
      </x:c>
      <x:c r="P180" s="24" t="str">
        <x:v>Standing abdominal wall stretch; Sphinx pose chest/abdominal stretch; Bird dog; Quadruped single-leg extension; Single-leg hip hinge wall tap; Resistance-band good morning</x:v>
      </x:c>
      <x:c r="Q180" s="24" t="str">
        <x:v>Active/involved status varies with technique, loading, individual anatomy and fatigue.</x:v>
      </x:c>
    </x:row>
    <x:row r="181" ht="54" customHeight="1">
      <x:c r="A181" s="24" t="str">
        <x:v>Iliocostalis lumborum</x:v>
      </x:c>
      <x:c r="B181" s="24" t="str">
        <x:v>Back &amp; Neck</x:v>
      </x:c>
      <x:c r="C181" s="24" t="str">
        <x:v>Erector spinae lateral</x:v>
      </x:c>
      <x:c r="D181" s="24" t="str">
        <x:v>Posterior rami spinal nerves</x:v>
      </x:c>
      <x:c r="E181" s="24" t="str">
        <x:v>T12-L5 segmental</x:v>
      </x:c>
      <x:c r="F181" s="24" t="str">
        <x:v>Common erector spinae tendon from sacrum/iliac crest; lumbar aponeurosis</x:v>
      </x:c>
      <x:c r="G181" s="24" t="str">
        <x:v>Angles ribs 6-12; lumbar transverse processes</x:v>
      </x:c>
      <x:c r="H181" s="24" t="str">
        <x:v>Common erector spinae aponeurosis; rib slips</x:v>
      </x:c>
      <x:c r="I181" s="24" t="str">
        <x:v>Supraspinous ligaments/fascia adjacent; thoracolumbar fascia direct origin</x:v>
      </x:c>
      <x:c r="J181" s="24" t="str">
        <x:v>Mixed Type I and Type II; ratio unverified</x:v>
      </x:c>
      <x:c r="K181" s="24" t="str">
        <x:v>EX0254; EX0255; EX0258; EX0259; EX0260; EX0261; EX0273; EX0275; EX0276; EX0279; EX0281</x:v>
      </x:c>
      <x:c r="L181" s="24" t="str">
        <x:v>EX0130; EX0131; EX0175; EX0277; EX0283; EX0368</x:v>
      </x:c>
      <x:c r="M181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181" s="24" t="str">
        <x:v>EX0257; EX0275; EX0276; EX0278; EX0280</x:v>
      </x:c>
      <x:c r="O181" s="24" t="str">
        <x:v>Active strength target (group or direct)</x:v>
      </x:c>
      <x:c r="P181" s="24" t="str">
        <x:v>Standing abdominal wall stretch; Sphinx pose chest/abdominal stretch; Bird dog; Quadruped single-leg extension; Single-leg hip hinge wall tap; Resistance-band good morning</x:v>
      </x:c>
      <x:c r="Q181" s="24" t="str">
        <x:v>Active/involved status varies with technique, loading, individual anatomy and fatigue.</x:v>
      </x:c>
    </x:row>
    <x:row r="182" ht="54" customHeight="1">
      <x:c r="A182" s="24" t="str">
        <x:v>Iliocostalis thoracis</x:v>
      </x:c>
      <x:c r="B182" s="24" t="str">
        <x:v>Back &amp; Neck</x:v>
      </x:c>
      <x:c r="C182" s="24" t="str">
        <x:v>Erector spinae lateral</x:v>
      </x:c>
      <x:c r="D182" s="24" t="str">
        <x:v>Posterior rami thoracic spinal nerves</x:v>
      </x:c>
      <x:c r="E182" s="24" t="str">
        <x:v>T1-T12 segmental</x:v>
      </x:c>
      <x:c r="F182" s="24" t="str">
        <x:v>Angles lower six ribs</x:v>
      </x:c>
      <x:c r="G182" s="24" t="str">
        <x:v>Angles upper six ribs and transverse process C7</x:v>
      </x:c>
      <x:c r="H182" s="24" t="str">
        <x:v>Long costal fascicular tendons</x:v>
      </x:c>
      <x:c r="I182" s="24" t="str">
        <x:v>Costotransverse ligaments adjacent to rib attachment</x:v>
      </x:c>
      <x:c r="J182" s="24" t="str">
        <x:v>Mixed Type I and Type II; ratio unverified</x:v>
      </x:c>
      <x:c r="K182" s="24" t="str">
        <x:v>EX0254; EX0255; EX0258; EX0259; EX0260; EX0261; EX0273; EX0275; EX0276; EX0279; EX0281</x:v>
      </x:c>
      <x:c r="L182" s="24" t="str">
        <x:v>EX0130; EX0131; EX0175; EX0277; EX0283; EX0368</x:v>
      </x:c>
      <x:c r="M182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182" s="24" t="str">
        <x:v>EX0257; EX0275; EX0276; EX0278; EX0280</x:v>
      </x:c>
      <x:c r="O182" s="24" t="str">
        <x:v>Active strength target (group or direct)</x:v>
      </x:c>
      <x:c r="P182" s="24" t="str">
        <x:v>Standing abdominal wall stretch; Sphinx pose chest/abdominal stretch; Bird dog; Quadruped single-leg extension; Single-leg hip hinge wall tap; Resistance-band good morning</x:v>
      </x:c>
      <x:c r="Q182" s="24" t="str">
        <x:v>Active/involved status varies with technique, loading, individual anatomy and fatigue.</x:v>
      </x:c>
    </x:row>
    <x:row r="183" ht="54" customHeight="1">
      <x:c r="A183" s="24" t="str">
        <x:v>Spinalis capitis (variable/integrated)</x:v>
      </x:c>
      <x:c r="B183" s="24" t="str">
        <x:v>Back &amp; Neck</x:v>
      </x:c>
      <x:c r="C183" s="24" t="str">
        <x:v>Erector spinae medial</x:v>
      </x:c>
      <x:c r="D183" s="24" t="str">
        <x:v>Posterior rami cervical spinal nerves</x:v>
      </x:c>
      <x:c r="E183" s="24" t="str">
        <x:v>C2-C6 segmental</x:v>
      </x:c>
      <x:c r="F183" s="24" t="str">
        <x:v>Upper thoracic/lower cervical spinous processes</x:v>
      </x:c>
      <x:c r="G183" s="24" t="str">
        <x:v>Occipital bone near superior nuchal line</x:v>
      </x:c>
      <x:c r="H183" s="24" t="str">
        <x:v>Occipital aponeurosis</x:v>
      </x:c>
      <x:c r="I183" s="24" t="str">
        <x:v>Nuchal ligament nearby</x:v>
      </x:c>
      <x:c r="J183" s="24" t="str">
        <x:v>Mixed Type I and Type II; ratio unverified</x:v>
      </x:c>
      <x:c r="K183" s="24" t="str">
        <x:v>EX0254; EX0255; EX0258; EX0259; EX0260; EX0261; EX0273; EX0275; EX0276; EX0279; EX0281</x:v>
      </x:c>
      <x:c r="L183" s="24" t="str">
        <x:v>EX0130; EX0131; EX0175; EX0277; EX0283; EX0368</x:v>
      </x:c>
      <x:c r="M183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183" s="24" t="str">
        <x:v>EX0257; EX0275; EX0276; EX0278; EX0280</x:v>
      </x:c>
      <x:c r="O183" s="24" t="str">
        <x:v>Active strength target (group or direct)</x:v>
      </x:c>
      <x:c r="P183" s="24" t="str">
        <x:v>Standing abdominal wall stretch; Sphinx pose chest/abdominal stretch; Bird dog; Quadruped single-leg extension; Single-leg hip hinge wall tap; Resistance-band good morning</x:v>
      </x:c>
      <x:c r="Q183" s="24" t="str">
        <x:v>Active/involved status varies with technique, loading, individual anatomy and fatigue.</x:v>
      </x:c>
    </x:row>
    <x:row r="184" ht="54" customHeight="1">
      <x:c r="A184" s="24" t="str">
        <x:v>Spinalis cervicis</x:v>
      </x:c>
      <x:c r="B184" s="24" t="str">
        <x:v>Back &amp; Neck</x:v>
      </x:c>
      <x:c r="C184" s="24" t="str">
        <x:v>Erector spinae medial</x:v>
      </x:c>
      <x:c r="D184" s="24" t="str">
        <x:v>Posterior rami cervical spinal nerves</x:v>
      </x:c>
      <x:c r="E184" s="24" t="str">
        <x:v>C2-C7 segmental</x:v>
      </x:c>
      <x:c r="F184" s="24" t="str">
        <x:v>Nuchal ligament and spinous processes C7-T2</x:v>
      </x:c>
      <x:c r="G184" s="24" t="str">
        <x:v>Spinous processes C2-C4</x:v>
      </x:c>
      <x:c r="H184" s="24" t="str">
        <x:v>Interspinous insertion tendons</x:v>
      </x:c>
      <x:c r="I184" s="24" t="str">
        <x:v>Nuchal ligament may contribute to origin</x:v>
      </x:c>
      <x:c r="J184" s="24" t="str">
        <x:v>Mixed Type I and Type II; ratio unverified</x:v>
      </x:c>
      <x:c r="K184" s="24" t="str">
        <x:v>EX0254; EX0255; EX0258; EX0259; EX0260; EX0261; EX0273; EX0275; EX0276; EX0279; EX0281</x:v>
      </x:c>
      <x:c r="L184" s="24" t="str">
        <x:v>EX0130; EX0131; EX0175; EX0277; EX0283; EX0368</x:v>
      </x:c>
      <x:c r="M184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184" s="24" t="str">
        <x:v>EX0257; EX0275; EX0276; EX0278; EX0280</x:v>
      </x:c>
      <x:c r="O184" s="24" t="str">
        <x:v>Active strength target (group or direct)</x:v>
      </x:c>
      <x:c r="P184" s="24" t="str">
        <x:v>Standing abdominal wall stretch; Sphinx pose chest/abdominal stretch; Bird dog; Quadruped single-leg extension; Single-leg hip hinge wall tap; Resistance-band good morning</x:v>
      </x:c>
      <x:c r="Q184" s="24" t="str">
        <x:v>Active/involved status varies with technique, loading, individual anatomy and fatigue.</x:v>
      </x:c>
    </x:row>
    <x:row r="185" ht="54" customHeight="1">
      <x:c r="A185" s="24" t="str">
        <x:v>Spinalis thoracis</x:v>
      </x:c>
      <x:c r="B185" s="24" t="str">
        <x:v>Back &amp; Neck</x:v>
      </x:c>
      <x:c r="C185" s="24" t="str">
        <x:v>Erector spinae medial</x:v>
      </x:c>
      <x:c r="D185" s="24" t="str">
        <x:v>Posterior rami thoracic spinal nerves</x:v>
      </x:c>
      <x:c r="E185" s="24" t="str">
        <x:v>T1-T12 segmental</x:v>
      </x:c>
      <x:c r="F185" s="24" t="str">
        <x:v>Spinous processes T11-L2</x:v>
      </x:c>
      <x:c r="G185" s="24" t="str">
        <x:v>Spinous processes T1-T8</x:v>
      </x:c>
      <x:c r="H185" s="24" t="str">
        <x:v>Long interspinous tendons</x:v>
      </x:c>
      <x:c r="I185" s="24" t="str">
        <x:v>Supraspinous ligament adjacent/blended</x:v>
      </x:c>
      <x:c r="J185" s="24" t="str">
        <x:v>Mixed Type I and Type II; ratio unverified</x:v>
      </x:c>
      <x:c r="K185" s="24" t="str">
        <x:v>EX0254; EX0255; EX0258; EX0259; EX0260; EX0261; EX0273; EX0275; EX0276; EX0279; EX0281</x:v>
      </x:c>
      <x:c r="L185" s="24" t="str">
        <x:v>EX0130; EX0131; EX0175; EX0277; EX0283; EX0368</x:v>
      </x:c>
      <x:c r="M185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185" s="24" t="str">
        <x:v>EX0257; EX0275; EX0276; EX0278; EX0280</x:v>
      </x:c>
      <x:c r="O185" s="24" t="str">
        <x:v>Active strength target (group or direct)</x:v>
      </x:c>
      <x:c r="P185" s="24" t="str">
        <x:v>Standing abdominal wall stretch; Sphinx pose chest/abdominal stretch; Bird dog; Quadruped single-leg extension; Single-leg hip hinge wall tap; Resistance-band good morning</x:v>
      </x:c>
      <x:c r="Q185" s="24" t="str">
        <x:v>Active/involved status varies with technique, loading, individual anatomy and fatigue.</x:v>
      </x:c>
    </x:row>
    <x:row r="186" ht="54" customHeight="1">
      <x:c r="A186" s="24" t="str">
        <x:v>Omohyoid inferior belly</x:v>
      </x:c>
      <x:c r="B186" s="24" t="str">
        <x:v>Back &amp; Neck</x:v>
      </x:c>
      <x:c r="C186" s="24" t="str">
        <x:v>Infrahyoid strap</x:v>
      </x:c>
      <x:c r="D186" s="24" t="str">
        <x:v>Ansa cervicalis</x:v>
      </x:c>
      <x:c r="E186" s="24" t="str">
        <x:v>C1-C3</x:v>
      </x:c>
      <x:c r="F186" s="24" t="str">
        <x:v>Superior border of scapula near suprascapular notch</x:v>
      </x:c>
      <x:c r="G186" s="24" t="str">
        <x:v>Intermediate tendon</x:v>
      </x:c>
      <x:c r="H186" s="24" t="str">
        <x:v>Intermediate omohyoid tendon</x:v>
      </x:c>
      <x:c r="I186" s="24" t="str">
        <x:v>Superior transverse scapular ligament near origin (bridges notch)</x:v>
      </x:c>
      <x:c r="J186" s="24" t="str">
        <x:v>Mixed Type I and Type II; ratio unverified</x:v>
      </x:c>
      <x:c r="K186" s="24" t="str">
        <x:v>EX0352</x:v>
      </x:c>
      <x:c r="L186" s="24" t="str">
        <x:v>EX0287; EX0347</x:v>
      </x:c>
      <x:c r="M186" s="24" t="str">
        <x:v>—</x:v>
      </x:c>
      <x:c r="N186" s="24" t="str">
        <x:v>—</x:v>
      </x:c>
      <x:c r="O186" s="24" t="str">
        <x:v>Functional or motor-control activation</x:v>
      </x:c>
      <x:c r="P186" s="24" t="str">
        <x:v>Ordinary voluntary swallow (function only); Neck isometric flexion hand resistance; Speech articulation: pa-ta-ka softly</x:v>
      </x:c>
      <x:c r="Q186" s="24" t="str">
        <x:v>Active/involved status varies with technique, loading, individual anatomy and fatigue.</x:v>
      </x:c>
    </x:row>
    <x:row r="187" ht="54" customHeight="1">
      <x:c r="A187" s="24" t="str">
        <x:v>Omohyoid superior belly</x:v>
      </x:c>
      <x:c r="B187" s="24" t="str">
        <x:v>Back &amp; Neck</x:v>
      </x:c>
      <x:c r="C187" s="24" t="str">
        <x:v>Infrahyoid strap</x:v>
      </x:c>
      <x:c r="D187" s="24" t="str">
        <x:v>Ansa cervicalis</x:v>
      </x:c>
      <x:c r="E187" s="24" t="str">
        <x:v>C1-C3</x:v>
      </x:c>
      <x:c r="F187" s="24" t="str">
        <x:v>Intermediate tendon tethered by fascial sling</x:v>
      </x:c>
      <x:c r="G187" s="24" t="str">
        <x:v>Inferior hyoid body</x:v>
      </x:c>
      <x:c r="H187" s="24" t="str">
        <x:v>Intermediate omohyoid tendon</x:v>
      </x:c>
      <x:c r="I187" s="24" t="str">
        <x:v>Intermediate tendon fascial sling attached to clavicle</x:v>
      </x:c>
      <x:c r="J187" s="24" t="str">
        <x:v>Mixed Type I and Type II; ratio unverified</x:v>
      </x:c>
      <x:c r="K187" s="24" t="str">
        <x:v>EX0352</x:v>
      </x:c>
      <x:c r="L187" s="24" t="str">
        <x:v>EX0287; EX0347</x:v>
      </x:c>
      <x:c r="M187" s="24" t="str">
        <x:v>—</x:v>
      </x:c>
      <x:c r="N187" s="24" t="str">
        <x:v>—</x:v>
      </x:c>
      <x:c r="O187" s="24" t="str">
        <x:v>Functional or motor-control activation</x:v>
      </x:c>
      <x:c r="P187" s="24" t="str">
        <x:v>Ordinary voluntary swallow (function only); Neck isometric flexion hand resistance; Speech articulation: pa-ta-ka softly</x:v>
      </x:c>
      <x:c r="Q187" s="24" t="str">
        <x:v>Active/involved status varies with technique, loading, individual anatomy and fatigue.</x:v>
      </x:c>
    </x:row>
    <x:row r="188" ht="54" customHeight="1">
      <x:c r="A188" s="24" t="str">
        <x:v>Sternohyoid</x:v>
      </x:c>
      <x:c r="B188" s="24" t="str">
        <x:v>Back &amp; Neck</x:v>
      </x:c>
      <x:c r="C188" s="24" t="str">
        <x:v>Infrahyoid strap</x:v>
      </x:c>
      <x:c r="D188" s="24" t="str">
        <x:v>Ansa cervicalis</x:v>
      </x:c>
      <x:c r="E188" s="24" t="str">
        <x:v>C1-C3</x:v>
      </x:c>
      <x:c r="F188" s="24" t="str">
        <x:v>Posterior manubrium; medial clavicle; sternoclavicular ligament</x:v>
      </x:c>
      <x:c r="G188" s="24" t="str">
        <x:v>Body hyoid bone</x:v>
      </x:c>
      <x:c r="H188" s="24" t="str">
        <x:v>Short hyoid tendon</x:v>
      </x:c>
      <x:c r="I188" s="24" t="str">
        <x:v>Sternoclavicular ligament may be origin</x:v>
      </x:c>
      <x:c r="J188" s="24" t="str">
        <x:v>Mixed Type I and Type II; ratio unverified</x:v>
      </x:c>
      <x:c r="K188" s="24" t="str">
        <x:v>EX0352</x:v>
      </x:c>
      <x:c r="L188" s="24" t="str">
        <x:v>EX0287; EX0347</x:v>
      </x:c>
      <x:c r="M188" s="24" t="str">
        <x:v>—</x:v>
      </x:c>
      <x:c r="N188" s="24" t="str">
        <x:v>—</x:v>
      </x:c>
      <x:c r="O188" s="24" t="str">
        <x:v>Functional or motor-control activation</x:v>
      </x:c>
      <x:c r="P188" s="24" t="str">
        <x:v>Ordinary voluntary swallow (function only); Neck isometric flexion hand resistance; Speech articulation: pa-ta-ka softly</x:v>
      </x:c>
      <x:c r="Q188" s="24" t="str">
        <x:v>Active/involved status varies with technique, loading, individual anatomy and fatigue.</x:v>
      </x:c>
    </x:row>
    <x:row r="189" ht="54" customHeight="1">
      <x:c r="A189" s="24" t="str">
        <x:v>Sternothyroid</x:v>
      </x:c>
      <x:c r="B189" s="24" t="str">
        <x:v>Back &amp; Neck</x:v>
      </x:c>
      <x:c r="C189" s="24" t="str">
        <x:v>Infrahyoid strap</x:v>
      </x:c>
      <x:c r="D189" s="24" t="str">
        <x:v>Ansa cervicalis</x:v>
      </x:c>
      <x:c r="E189" s="24" t="str">
        <x:v>C2-C3</x:v>
      </x:c>
      <x:c r="F189" s="24" t="str">
        <x:v>Posterior manubrium and first costal cartilage</x:v>
      </x:c>
      <x:c r="G189" s="24" t="str">
        <x:v>Oblique line of thyroid cartilage</x:v>
      </x:c>
      <x:c r="H189" s="24" t="str">
        <x:v>Short thyrocartilage tendon</x:v>
      </x:c>
      <x:c r="I189" s="24" t="str">
        <x:v>No specific direct ligament attachment</x:v>
      </x:c>
      <x:c r="J189" s="24" t="str">
        <x:v>Mixed Type I and Type II; ratio unverified</x:v>
      </x:c>
      <x:c r="K189" s="24" t="str">
        <x:v>EX0352</x:v>
      </x:c>
      <x:c r="L189" s="24" t="str">
        <x:v>EX0287; EX0347</x:v>
      </x:c>
      <x:c r="M189" s="24" t="str">
        <x:v>—</x:v>
      </x:c>
      <x:c r="N189" s="24" t="str">
        <x:v>—</x:v>
      </x:c>
      <x:c r="O189" s="24" t="str">
        <x:v>Functional or motor-control activation</x:v>
      </x:c>
      <x:c r="P189" s="24" t="str">
        <x:v>Ordinary voluntary swallow (function only); Neck isometric flexion hand resistance; Speech articulation: pa-ta-ka softly</x:v>
      </x:c>
      <x:c r="Q189" s="24" t="str">
        <x:v>Active/involved status varies with technique, loading, individual anatomy and fatigue.</x:v>
      </x:c>
    </x:row>
    <x:row r="190" ht="54" customHeight="1">
      <x:c r="A190" s="24" t="str">
        <x:v>Thyrohyoid</x:v>
      </x:c>
      <x:c r="B190" s="24" t="str">
        <x:v>Back &amp; Neck</x:v>
      </x:c>
      <x:c r="C190" s="24" t="str">
        <x:v>Infrahyoid strap</x:v>
      </x:c>
      <x:c r="D190" s="24" t="str">
        <x:v>C1 fibers traveling with hypoglossal nerve</x:v>
      </x:c>
      <x:c r="E190" s="24" t="str">
        <x:v>C1 (via CN XII)</x:v>
      </x:c>
      <x:c r="F190" s="24" t="str">
        <x:v>Oblique line of thyroid cartilage</x:v>
      </x:c>
      <x:c r="G190" s="24" t="str">
        <x:v>Body/greater horn hyoid bone</x:v>
      </x:c>
      <x:c r="H190" s="24" t="str">
        <x:v>Thyrohyoid short tendon</x:v>
      </x:c>
      <x:c r="I190" s="24" t="str">
        <x:v>Thyrohyoid membrane adjacent</x:v>
      </x:c>
      <x:c r="J190" s="24" t="str">
        <x:v>Mixed Type I and Type II; ratio unverified</x:v>
      </x:c>
      <x:c r="K190" s="24" t="str">
        <x:v>EX0352</x:v>
      </x:c>
      <x:c r="L190" s="24" t="str">
        <x:v>EX0287; EX0347</x:v>
      </x:c>
      <x:c r="M190" s="24" t="str">
        <x:v>—</x:v>
      </x:c>
      <x:c r="N190" s="24" t="str">
        <x:v>—</x:v>
      </x:c>
      <x:c r="O190" s="24" t="str">
        <x:v>Functional or motor-control activation</x:v>
      </x:c>
      <x:c r="P190" s="24" t="str">
        <x:v>Ordinary voluntary swallow (function only); Neck isometric flexion hand resistance; Speech articulation: pa-ta-ka softly</x:v>
      </x:c>
      <x:c r="Q190" s="24" t="str">
        <x:v>Active/involved status varies with technique, loading, individual anatomy and fatigue.</x:v>
      </x:c>
    </x:row>
    <x:row r="191" ht="54" customHeight="1">
      <x:c r="A191" s="24" t="str">
        <x:v>Anterior scalene</x:v>
      </x:c>
      <x:c r="B191" s="24" t="str">
        <x:v>Back &amp; Neck</x:v>
      </x:c>
      <x:c r="C191" s="24" t="str">
        <x:v>Lateral neck</x:v>
      </x:c>
      <x:c r="D191" s="24" t="str">
        <x:v>Anterior rami cervical spinal nerves</x:v>
      </x:c>
      <x:c r="E191" s="24" t="str">
        <x:v>C4-C6</x:v>
      </x:c>
      <x:c r="F191" s="24" t="str">
        <x:v>Anterior tubercles transverse processes C3-C6</x:v>
      </x:c>
      <x:c r="G191" s="24" t="str">
        <x:v>Scalene tubercle first rib</x:v>
      </x:c>
      <x:c r="H191" s="24" t="str">
        <x:v>Scalene insertion tendon</x:v>
      </x:c>
      <x:c r="I191" s="24" t="str">
        <x:v>Costoclavicular ligament near first rib but distinct attachment</x:v>
      </x:c>
      <x:c r="J191" s="24" t="str">
        <x:v>Mixed Type I and Type II; ratio unverified</x:v>
      </x:c>
      <x:c r="K191" s="24" t="str">
        <x:v>EX0282; EX0287; EX0289; EX0292; EX0301; EX0308; EX0315</x:v>
      </x:c>
      <x:c r="L191" s="24" t="str">
        <x:v>EX0305; EX0307; EX0309; EX0312</x:v>
      </x:c>
      <x:c r="M191" s="24" t="str">
        <x:v>EX0288; EX0291; EX0302; EX0303</x:v>
      </x:c>
      <x:c r="N191" s="24" t="str">
        <x:v>EX0292; EX0298</x:v>
      </x:c>
      <x:c r="O191" s="24" t="str">
        <x:v>Active strength target (group or direct)</x:v>
      </x:c>
      <x:c r="P191" s="24" t="str">
        <x:v>Breathing with thoracic rib expansion; Neck isometric flexion hand resistance; Neck isometric lateral flexion; Cervical lateral bending active range; 360-degree lower-rib breathing; Segmental lateral rib expansion breathing</x:v>
      </x:c>
      <x:c r="Q191" s="24" t="str">
        <x:v>Active/involved status varies with technique, loading, individual anatomy and fatigue.</x:v>
      </x:c>
    </x:row>
    <x:row r="192" ht="54" customHeight="1">
      <x:c r="A192" s="24" t="str">
        <x:v>Middle scalene</x:v>
      </x:c>
      <x:c r="B192" s="24" t="str">
        <x:v>Back &amp; Neck</x:v>
      </x:c>
      <x:c r="C192" s="24" t="str">
        <x:v>Lateral neck</x:v>
      </x:c>
      <x:c r="D192" s="24" t="str">
        <x:v>Anterior rami cervical spinal nerves</x:v>
      </x:c>
      <x:c r="E192" s="24" t="str">
        <x:v>C3-C8</x:v>
      </x:c>
      <x:c r="F192" s="24" t="str">
        <x:v>Posterior tubercles transverse processes C2-C7</x:v>
      </x:c>
      <x:c r="G192" s="24" t="str">
        <x:v>Superior surface first rib posterior to subclavian groove</x:v>
      </x:c>
      <x:c r="H192" s="24" t="str">
        <x:v>Costal insertion tendon</x:v>
      </x:c>
      <x:c r="I192" s="24" t="str">
        <x:v>Costotransverse ligaments near rib origin region</x:v>
      </x:c>
      <x:c r="J192" s="24" t="str">
        <x:v>Mixed Type I and Type II; ratio unverified</x:v>
      </x:c>
      <x:c r="K192" s="24" t="str">
        <x:v>EX0282; EX0287; EX0289; EX0292; EX0301; EX0308; EX0315</x:v>
      </x:c>
      <x:c r="L192" s="24" t="str">
        <x:v>EX0305; EX0307; EX0309; EX0312</x:v>
      </x:c>
      <x:c r="M192" s="24" t="str">
        <x:v>EX0288; EX0291; EX0302; EX0303</x:v>
      </x:c>
      <x:c r="N192" s="24" t="str">
        <x:v>EX0292; EX0298</x:v>
      </x:c>
      <x:c r="O192" s="24" t="str">
        <x:v>Active strength target (group or direct)</x:v>
      </x:c>
      <x:c r="P192" s="24" t="str">
        <x:v>Breathing with thoracic rib expansion; Neck isometric flexion hand resistance; Neck isometric lateral flexion; Cervical lateral bending active range; 360-degree lower-rib breathing; Segmental lateral rib expansion breathing</x:v>
      </x:c>
      <x:c r="Q192" s="24" t="str">
        <x:v>Active/involved status varies with technique, loading, individual anatomy and fatigue.</x:v>
      </x:c>
    </x:row>
    <x:row r="193" ht="54" customHeight="1">
      <x:c r="A193" s="24" t="str">
        <x:v>Posterior scalene</x:v>
      </x:c>
      <x:c r="B193" s="24" t="str">
        <x:v>Back &amp; Neck</x:v>
      </x:c>
      <x:c r="C193" s="24" t="str">
        <x:v>Lateral neck</x:v>
      </x:c>
      <x:c r="D193" s="24" t="str">
        <x:v>Anterior rami cervical spinal nerves</x:v>
      </x:c>
      <x:c r="E193" s="24" t="str">
        <x:v>C6-C8</x:v>
      </x:c>
      <x:c r="F193" s="24" t="str">
        <x:v>Posterior tubercles transverse processes C4-C6</x:v>
      </x:c>
      <x:c r="G193" s="24" t="str">
        <x:v>Outer second rib</x:v>
      </x:c>
      <x:c r="H193" s="24" t="str">
        <x:v>Costal insertion tendon</x:v>
      </x:c>
      <x:c r="I193" s="24" t="str">
        <x:v>No specific direct ligament attachment</x:v>
      </x:c>
      <x:c r="J193" s="24" t="str">
        <x:v>Mixed Type I and Type II; ratio unverified</x:v>
      </x:c>
      <x:c r="K193" s="24" t="str">
        <x:v>EX0282; EX0287; EX0289; EX0292; EX0301; EX0308; EX0315</x:v>
      </x:c>
      <x:c r="L193" s="24" t="str">
        <x:v>EX0305; EX0307; EX0309; EX0312</x:v>
      </x:c>
      <x:c r="M193" s="24" t="str">
        <x:v>EX0288; EX0291; EX0302; EX0303</x:v>
      </x:c>
      <x:c r="N193" s="24" t="str">
        <x:v>EX0292; EX0298</x:v>
      </x:c>
      <x:c r="O193" s="24" t="str">
        <x:v>Active strength target (group or direct)</x:v>
      </x:c>
      <x:c r="P193" s="24" t="str">
        <x:v>Breathing with thoracic rib expansion; Neck isometric flexion hand resistance; Neck isometric lateral flexion; Cervical lateral bending active range; 360-degree lower-rib breathing; Segmental lateral rib expansion breathing</x:v>
      </x:c>
      <x:c r="Q193" s="24" t="str">
        <x:v>Active/involved status varies with technique, loading, individual anatomy and fatigue.</x:v>
      </x:c>
    </x:row>
    <x:row r="194" ht="54" customHeight="1">
      <x:c r="A194" s="24" t="str">
        <x:v>Scalenus minimus (variable)</x:v>
      </x:c>
      <x:c r="B194" s="24" t="str">
        <x:v>Back &amp; Neck</x:v>
      </x:c>
      <x:c r="C194" s="24" t="str">
        <x:v>Lateral neck accessory</x:v>
      </x:c>
      <x:c r="D194" s="24" t="str">
        <x:v>Anterior rami cervical nerves</x:v>
      </x:c>
      <x:c r="E194" s="24" t="str">
        <x:v>C7-C8 (variable)</x:v>
      </x:c>
      <x:c r="F194" s="24" t="str">
        <x:v>Transverse processes C6-C7</x:v>
      </x:c>
      <x:c r="G194" s="24" t="str">
        <x:v>First rib / pleural dome (suprapleural membrane)</x:v>
      </x:c>
      <x:c r="H194" s="24" t="str">
        <x:v>Short fibrous slip to first rib</x:v>
      </x:c>
      <x:c r="I194" s="24" t="str">
        <x:v>Sibson fascia/suprapleural membrane related; frequently absent</x:v>
      </x:c>
      <x:c r="J194" s="24" t="str">
        <x:v>Mixed Type I and Type II; ratio unverified</x:v>
      </x:c>
      <x:c r="K194" s="24" t="str">
        <x:v>—</x:v>
      </x:c>
      <x:c r="L194" s="24" t="str">
        <x:v>—</x:v>
      </x:c>
      <x:c r="M194" s="24" t="str">
        <x:v>—</x:v>
      </x:c>
      <x:c r="N194" s="24" t="str">
        <x:v>—</x:v>
      </x:c>
      <x:c r="O194" s="24" t="str">
        <x:v>No suitable self-directed exercise</x:v>
      </x:c>
      <x:c r="P194" s="24" t="str">
        <x:v>—</x:v>
      </x:c>
      <x:c r="Q194" s="24" t="str">
        <x:v>Often absent; no evidence-supported selective exercise. May move with accessory inspiration.</x:v>
      </x:c>
    </x:row>
    <x:row r="195" ht="54" customHeight="1">
      <x:c r="A195" s="24" t="str">
        <x:v>Splenius capitis</x:v>
      </x:c>
      <x:c r="B195" s="24" t="str">
        <x:v>Back &amp; Neck</x:v>
      </x:c>
      <x:c r="C195" s="24" t="str">
        <x:v>Posterior neck superficial intrinsic</x:v>
      </x:c>
      <x:c r="D195" s="24" t="str">
        <x:v>Posterior rami cervical spinal nerves</x:v>
      </x:c>
      <x:c r="E195" s="24" t="str">
        <x:v>C3-C6 (variable)</x:v>
      </x:c>
      <x:c r="F195" s="24" t="str">
        <x:v>Lower nuchal ligament and spinous processes C7-T3/4</x:v>
      </x:c>
      <x:c r="G195" s="24" t="str">
        <x:v>Mastoid process and lateral superior nuchal line</x:v>
      </x:c>
      <x:c r="H195" s="24" t="str">
        <x:v>Flat occipital/mastoid insertion tendon</x:v>
      </x:c>
      <x:c r="I195" s="24" t="str">
        <x:v>Nuchal ligament direct origin</x:v>
      </x:c>
      <x:c r="J195" s="24" t="str">
        <x:v>Mixed Type I and Type II; ratio unverified</x:v>
      </x:c>
      <x:c r="K195" s="24" t="str">
        <x:v>EX0288; EX0289; EX0290; EX0291; EX0292; EX0300; EX0301</x:v>
      </x:c>
      <x:c r="L195" s="24" t="str">
        <x:v>EX0294</x:v>
      </x:c>
      <x:c r="M195" s="24" t="str">
        <x:v>EX0284; EX0285; EX0287; EX0303</x:v>
      </x:c>
      <x:c r="N195" s="24" t="str">
        <x:v>EX0299</x:v>
      </x:c>
      <x:c r="O195" s="24" t="str">
        <x:v>Active strength target (group or direct)</x:v>
      </x:c>
      <x:c r="P195" s="24" t="str">
        <x:v>Neck isometric extension hand resistance; Neck isometric lateral flexion; Neck isometric rotation; Cervical rotation active range; Scapular retraction posture drill; Gentle chin tuck lying supine</x:v>
      </x:c>
      <x:c r="Q195" s="24" t="str">
        <x:v>Active/involved status varies with technique, loading, individual anatomy and fatigue.</x:v>
      </x:c>
    </x:row>
    <x:row r="196" ht="54" customHeight="1">
      <x:c r="A196" s="24" t="str">
        <x:v>Splenius cervicis</x:v>
      </x:c>
      <x:c r="B196" s="24" t="str">
        <x:v>Back &amp; Neck</x:v>
      </x:c>
      <x:c r="C196" s="24" t="str">
        <x:v>Posterior neck superficial intrinsic</x:v>
      </x:c>
      <x:c r="D196" s="24" t="str">
        <x:v>Posterior rami cervical spinal nerves</x:v>
      </x:c>
      <x:c r="E196" s="24" t="str">
        <x:v>C5-C8 (segmental)</x:v>
      </x:c>
      <x:c r="F196" s="24" t="str">
        <x:v>Spinous processes T3-T6</x:v>
      </x:c>
      <x:c r="G196" s="24" t="str">
        <x:v>Posterior tubercles transverse processes C1-C3/4</x:v>
      </x:c>
      <x:c r="H196" s="24" t="str">
        <x:v>Small fascicular tendons</x:v>
      </x:c>
      <x:c r="I196" s="24" t="str">
        <x:v>Nuchal ligament near superior fascicles</x:v>
      </x:c>
      <x:c r="J196" s="24" t="str">
        <x:v>Mixed Type I and Type II; ratio unverified</x:v>
      </x:c>
      <x:c r="K196" s="24" t="str">
        <x:v>EX0288; EX0289; EX0291; EX0292; EX0300; EX0301</x:v>
      </x:c>
      <x:c r="L196" s="24" t="str">
        <x:v>EX0290; EX0294</x:v>
      </x:c>
      <x:c r="M196" s="24" t="str">
        <x:v>EX0284; EX0285; EX0287; EX0303</x:v>
      </x:c>
      <x:c r="N196" s="24" t="str">
        <x:v>EX0299</x:v>
      </x:c>
      <x:c r="O196" s="24" t="str">
        <x:v>Active strength target (group or direct)</x:v>
      </x:c>
      <x:c r="P196" s="24" t="str">
        <x:v>Neck isometric extension hand resistance; Neck isometric lateral flexion; Cervical rotation active range; Cervical lateral bending active range; Neck isometric rotation; Scapular retraction posture drill</x:v>
      </x:c>
      <x:c r="Q196" s="24" t="str">
        <x:v>Active/involved status varies with technique, loading, individual anatomy and fatigue.</x:v>
      </x:c>
    </x:row>
    <x:row r="197" ht="54" customHeight="1">
      <x:c r="A197" s="24" t="str">
        <x:v>Rectus capitis anterior</x:v>
      </x:c>
      <x:c r="B197" s="24" t="str">
        <x:v>Back &amp; Neck</x:v>
      </x:c>
      <x:c r="C197" s="24" t="str">
        <x:v>Prevertebral</x:v>
      </x:c>
      <x:c r="D197" s="24" t="str">
        <x:v>Anterior rami C1-C2</x:v>
      </x:c>
      <x:c r="E197" s="24" t="str">
        <x:v>C1-C2</x:v>
      </x:c>
      <x:c r="F197" s="24" t="str">
        <x:v>Lateral mass/anterior transverse process C1</x:v>
      </x:c>
      <x:c r="G197" s="24" t="str">
        <x:v>Basilar occipital bone anterior to condyle</x:v>
      </x:c>
      <x:c r="H197" s="24" t="str">
        <x:v>Short cranial insertion tendon</x:v>
      </x:c>
      <x:c r="I197" s="24" t="str">
        <x:v>Anterior atlanto-occipital membrane adjacent</x:v>
      </x:c>
      <x:c r="J197" s="24" t="str">
        <x:v>Mixed Type I and Type II; ratio unverified</x:v>
      </x:c>
      <x:c r="K197" s="24" t="str">
        <x:v>EX0284; EX0287; EX0289; EX0292; EX0293; EX0301</x:v>
      </x:c>
      <x:c r="L197" s="24" t="str">
        <x:v>EX0285</x:v>
      </x:c>
      <x:c r="M197" s="24" t="str">
        <x:v>EX0288; EX0291; EX0302; EX0303</x:v>
      </x:c>
      <x:c r="N197" s="24" t="str">
        <x:v>EX0292</x:v>
      </x:c>
      <x:c r="O197" s="24" t="str">
        <x:v>Active strength target (group or direct)</x:v>
      </x:c>
      <x:c r="P197" s="24" t="str">
        <x:v>Gentle chin tuck lying supine; Neck isometric flexion hand resistance; Neck isometric lateral flexion; Cervical lateral bending active range; Seated chin tuck (axial elongation); Neck isometric extension hand resistance</x:v>
      </x:c>
      <x:c r="Q197" s="24" t="str">
        <x:v>Active/involved status varies with technique, loading, individual anatomy and fatigue.</x:v>
      </x:c>
    </x:row>
    <x:row r="198" ht="54" customHeight="1">
      <x:c r="A198" s="24" t="str">
        <x:v>Rectus capitis lateralis</x:v>
      </x:c>
      <x:c r="B198" s="24" t="str">
        <x:v>Back &amp; Neck</x:v>
      </x:c>
      <x:c r="C198" s="24" t="str">
        <x:v>Prevertebral</x:v>
      </x:c>
      <x:c r="D198" s="24" t="str">
        <x:v>Anterior rami C1-C2</x:v>
      </x:c>
      <x:c r="E198" s="24" t="str">
        <x:v>C1-C2</x:v>
      </x:c>
      <x:c r="F198" s="24" t="str">
        <x:v>Transverse process C1</x:v>
      </x:c>
      <x:c r="G198" s="24" t="str">
        <x:v>Jugular process occipital bone</x:v>
      </x:c>
      <x:c r="H198" s="24" t="str">
        <x:v>Short cranial insertion tendon</x:v>
      </x:c>
      <x:c r="I198" s="24" t="str">
        <x:v>Lateral atlanto-occipital ligament adjacent</x:v>
      </x:c>
      <x:c r="J198" s="24" t="str">
        <x:v>Mixed Type I and Type II; ratio unverified</x:v>
      </x:c>
      <x:c r="K198" s="24" t="str">
        <x:v>EX0287; EX0289; EX0292; EX0293; EX0301</x:v>
      </x:c>
      <x:c r="L198" s="24" t="str">
        <x:v>—</x:v>
      </x:c>
      <x:c r="M198" s="24" t="str">
        <x:v>EX0288; EX0291; EX0302; EX0303</x:v>
      </x:c>
      <x:c r="N198" s="24" t="str">
        <x:v>EX0292</x:v>
      </x:c>
      <x:c r="O198" s="24" t="str">
        <x:v>Active strength target (group or direct)</x:v>
      </x:c>
      <x:c r="P198" s="24" t="str">
        <x:v>Neck isometric flexion hand resistance; Neck isometric lateral flexion; Cervical lateral bending active range; Suboccipital gentle nod / yes-no; Neck isometric extension hand resistance; Cervical rotation active range</x:v>
      </x:c>
      <x:c r="Q198" s="24" t="str">
        <x:v>Active/involved status varies with technique, loading, individual anatomy and fatigue.</x:v>
      </x:c>
    </x:row>
    <x:row r="199" ht="54" customHeight="1">
      <x:c r="A199" s="24" t="str">
        <x:v>Obliquus capitis inferior</x:v>
      </x:c>
      <x:c r="B199" s="24" t="str">
        <x:v>Back &amp; Neck</x:v>
      </x:c>
      <x:c r="C199" s="24" t="str">
        <x:v>Suboccipital</x:v>
      </x:c>
      <x:c r="D199" s="24" t="str">
        <x:v>Suboccipital nerve (posterior ramus C1)</x:v>
      </x:c>
      <x:c r="E199" s="24" t="str">
        <x:v>C1</x:v>
      </x:c>
      <x:c r="F199" s="24" t="str">
        <x:v>Spinous process C2</x:v>
      </x:c>
      <x:c r="G199" s="24" t="str">
        <x:v>Transverse process C1</x:v>
      </x:c>
      <x:c r="H199" s="24" t="str">
        <x:v>Short C1 transverse process insertion tendon</x:v>
      </x:c>
      <x:c r="I199" s="24" t="str">
        <x:v>Posterior atlanto-axial membrane nearby</x:v>
      </x:c>
      <x:c r="J199" s="24" t="str">
        <x:v>Mixed Type I and Type II; ratio unverified</x:v>
      </x:c>
      <x:c r="K199" s="24" t="str">
        <x:v>EX0288; EX0289; EX0290; EX0291; EX0292; EX0293; EX0300; EX0301</x:v>
      </x:c>
      <x:c r="L199" s="24" t="str">
        <x:v>EX0294</x:v>
      </x:c>
      <x:c r="M199" s="24" t="str">
        <x:v>EX0284; EX0285; EX0286; EX0287; EX0303</x:v>
      </x:c>
      <x:c r="N199" s="24" t="str">
        <x:v>EX0299</x:v>
      </x:c>
      <x:c r="O199" s="24" t="str">
        <x:v>Active strength target (group or direct)</x:v>
      </x:c>
      <x:c r="P199" s="24" t="str">
        <x:v>Neck isometric extension hand resistance; Neck isometric lateral flexion; Neck isometric rotation; Cervical rotation active range; Scapular retraction posture drill; Gentle chin tuck lying supine</x:v>
      </x:c>
      <x:c r="Q199" s="24" t="str">
        <x:v>Active/involved status varies with technique, loading, individual anatomy and fatigue.</x:v>
      </x:c>
    </x:row>
    <x:row r="200" ht="54" customHeight="1">
      <x:c r="A200" s="24" t="str">
        <x:v>Obliquus capitis superior</x:v>
      </x:c>
      <x:c r="B200" s="24" t="str">
        <x:v>Back &amp; Neck</x:v>
      </x:c>
      <x:c r="C200" s="24" t="str">
        <x:v>Suboccipital</x:v>
      </x:c>
      <x:c r="D200" s="24" t="str">
        <x:v>Suboccipital nerve (posterior ramus C1)</x:v>
      </x:c>
      <x:c r="E200" s="24" t="str">
        <x:v>C1</x:v>
      </x:c>
      <x:c r="F200" s="24" t="str">
        <x:v>Transverse process C1</x:v>
      </x:c>
      <x:c r="G200" s="24" t="str">
        <x:v>Occipital bone between superior and inferior nuchal lines</x:v>
      </x:c>
      <x:c r="H200" s="24" t="str">
        <x:v>Short occipital insertion tendon</x:v>
      </x:c>
      <x:c r="I200" s="24" t="str">
        <x:v>Posterior atlanto-occipital membrane adjacent</x:v>
      </x:c>
      <x:c r="J200" s="24" t="str">
        <x:v>Mixed Type I and Type II; ratio unverified</x:v>
      </x:c>
      <x:c r="K200" s="24" t="str">
        <x:v>EX0288; EX0289; EX0290; EX0291; EX0292; EX0293; EX0300; EX0301</x:v>
      </x:c>
      <x:c r="L200" s="24" t="str">
        <x:v>EX0294</x:v>
      </x:c>
      <x:c r="M200" s="24" t="str">
        <x:v>EX0284; EX0285; EX0286; EX0287; EX0303</x:v>
      </x:c>
      <x:c r="N200" s="24" t="str">
        <x:v>EX0299</x:v>
      </x:c>
      <x:c r="O200" s="24" t="str">
        <x:v>Active strength target (group or direct)</x:v>
      </x:c>
      <x:c r="P200" s="24" t="str">
        <x:v>Neck isometric extension hand resistance; Neck isometric lateral flexion; Neck isometric rotation; Cervical rotation active range; Scapular retraction posture drill; Gentle chin tuck lying supine</x:v>
      </x:c>
      <x:c r="Q200" s="24" t="str">
        <x:v>Active/involved status varies with technique, loading, individual anatomy and fatigue.</x:v>
      </x:c>
    </x:row>
    <x:row r="201" ht="54" customHeight="1">
      <x:c r="A201" s="24" t="str">
        <x:v>Rectus capitis posterior major</x:v>
      </x:c>
      <x:c r="B201" s="24" t="str">
        <x:v>Back &amp; Neck</x:v>
      </x:c>
      <x:c r="C201" s="24" t="str">
        <x:v>Suboccipital</x:v>
      </x:c>
      <x:c r="D201" s="24" t="str">
        <x:v>Suboccipital nerve (posterior ramus C1)</x:v>
      </x:c>
      <x:c r="E201" s="24" t="str">
        <x:v>C1</x:v>
      </x:c>
      <x:c r="F201" s="24" t="str">
        <x:v>Spinous process C2</x:v>
      </x:c>
      <x:c r="G201" s="24" t="str">
        <x:v>Lateral inferior nuchal line occiput</x:v>
      </x:c>
      <x:c r="H201" s="24" t="str">
        <x:v>Occipital insertion tendon</x:v>
      </x:c>
      <x:c r="I201" s="24" t="str">
        <x:v>Posterior atlanto-occipital membrane nearby</x:v>
      </x:c>
      <x:c r="J201" s="24" t="str">
        <x:v>Mixed Type I and Type II; ratio unverified</x:v>
      </x:c>
      <x:c r="K201" s="24" t="str">
        <x:v>EX0288; EX0289; EX0291; EX0292; EX0293; EX0300; EX0301</x:v>
      </x:c>
      <x:c r="L201" s="24" t="str">
        <x:v>EX0290; EX0294</x:v>
      </x:c>
      <x:c r="M201" s="24" t="str">
        <x:v>EX0284; EX0285; EX0286; EX0287; EX0303</x:v>
      </x:c>
      <x:c r="N201" s="24" t="str">
        <x:v>EX0299</x:v>
      </x:c>
      <x:c r="O201" s="24" t="str">
        <x:v>Active strength target (group or direct)</x:v>
      </x:c>
      <x:c r="P201" s="24" t="str">
        <x:v>Neck isometric extension hand resistance; Neck isometric lateral flexion; Cervical rotation active range; Cervical lateral bending active range; Neck isometric rotation; Scapular retraction posture drill</x:v>
      </x:c>
      <x:c r="Q201" s="24" t="str">
        <x:v>Active/involved status varies with technique, loading, individual anatomy and fatigue.</x:v>
      </x:c>
    </x:row>
    <x:row r="202" ht="54" customHeight="1">
      <x:c r="A202" s="24" t="str">
        <x:v>Rectus capitis posterior minor</x:v>
      </x:c>
      <x:c r="B202" s="24" t="str">
        <x:v>Back &amp; Neck</x:v>
      </x:c>
      <x:c r="C202" s="24" t="str">
        <x:v>Suboccipital</x:v>
      </x:c>
      <x:c r="D202" s="24" t="str">
        <x:v>Suboccipital nerve (posterior ramus C1)</x:v>
      </x:c>
      <x:c r="E202" s="24" t="str">
        <x:v>C1</x:v>
      </x:c>
      <x:c r="F202" s="24" t="str">
        <x:v>Posterior tubercle C1</x:v>
      </x:c>
      <x:c r="G202" s="24" t="str">
        <x:v>Medial inferior nuchal line occiput</x:v>
      </x:c>
      <x:c r="H202" s="24" t="str">
        <x:v>Short occipital tendon</x:v>
      </x:c>
      <x:c r="I202" s="24" t="str">
        <x:v>Posterior atlanto-occipital membrane blends with fascia near muscle</x:v>
      </x:c>
      <x:c r="J202" s="24" t="str">
        <x:v>Mixed Type I and Type II; ratio unverified</x:v>
      </x:c>
      <x:c r="K202" s="24" t="str">
        <x:v>EX0288; EX0289; EX0291; EX0292; EX0293; EX0300; EX0301</x:v>
      </x:c>
      <x:c r="L202" s="24" t="str">
        <x:v>EX0290; EX0294</x:v>
      </x:c>
      <x:c r="M202" s="24" t="str">
        <x:v>EX0284; EX0285; EX0286; EX0287; EX0303</x:v>
      </x:c>
      <x:c r="N202" s="24" t="str">
        <x:v>EX0299</x:v>
      </x:c>
      <x:c r="O202" s="24" t="str">
        <x:v>Active strength target (group or direct)</x:v>
      </x:c>
      <x:c r="P202" s="24" t="str">
        <x:v>Neck isometric extension hand resistance; Neck isometric lateral flexion; Cervical rotation active range; Cervical lateral bending active range; Neck isometric rotation; Scapular retraction posture drill</x:v>
      </x:c>
      <x:c r="Q202" s="24" t="str">
        <x:v>Active/involved status varies with technique, loading, individual anatomy and fatigue.</x:v>
      </x:c>
    </x:row>
    <x:row r="203" ht="54" customHeight="1">
      <x:c r="A203" s="24" t="str">
        <x:v>Sternocleidomastoid clavicular head</x:v>
      </x:c>
      <x:c r="B203" s="24" t="str">
        <x:v>Back &amp; Neck</x:v>
      </x:c>
      <x:c r="C203" s="24" t="str">
        <x:v>Superficial anterior neck</x:v>
      </x:c>
      <x:c r="D203" s="24" t="str">
        <x:v>Accessory nerve CN XI; C2-C3 proprioception</x:v>
      </x:c>
      <x:c r="E203" s="24" t="str">
        <x:v>CN XI motor (spinal nucleus C1-C5); C2-C3 sensory</x:v>
      </x:c>
      <x:c r="F203" s="24" t="str">
        <x:v>Medial third superior clavicle</x:v>
      </x:c>
      <x:c r="G203" s="24" t="str">
        <x:v>Mastoid process and lateral superior nuchal line</x:v>
      </x:c>
      <x:c r="H203" s="24" t="str">
        <x:v>Clavicular aponeurosis/mastoid tendon</x:v>
      </x:c>
      <x:c r="I203" s="24" t="str">
        <x:v>Costoclavicular ligament nearby</x:v>
      </x:c>
      <x:c r="J203" s="24" t="str">
        <x:v>Mixed Type I and Type II; ratio unverified</x:v>
      </x:c>
      <x:c r="K203" s="24" t="str">
        <x:v>EX0287; EX0289; EX0290; EX0291; EX0292; EX0301</x:v>
      </x:c>
      <x:c r="L203" s="24" t="str">
        <x:v>EX0286</x:v>
      </x:c>
      <x:c r="M203" s="24" t="str">
        <x:v>EX0288; EX0302; EX0303</x:v>
      </x:c>
      <x:c r="N203" s="24" t="str">
        <x:v>EX0291; EX0292; EX0295</x:v>
      </x:c>
      <x:c r="O203" s="24" t="str">
        <x:v>Active strength target (group or direct)</x:v>
      </x:c>
      <x:c r="P203" s="24" t="str">
        <x:v>Neck isometric flexion hand resistance; Neck isometric lateral flexion; Neck isometric rotation; Cervical rotation active range; Deep neck flexor nod with towel; Neck isometric extension hand resistance</x:v>
      </x:c>
      <x:c r="Q203" s="24" t="str">
        <x:v>Active/involved status varies with technique, loading, individual anatomy and fatigue.</x:v>
      </x:c>
    </x:row>
    <x:row r="204" ht="54" customHeight="1">
      <x:c r="A204" s="24" t="str">
        <x:v>Sternocleidomastoid sternal head</x:v>
      </x:c>
      <x:c r="B204" s="24" t="str">
        <x:v>Back &amp; Neck</x:v>
      </x:c>
      <x:c r="C204" s="24" t="str">
        <x:v>Superficial anterior neck</x:v>
      </x:c>
      <x:c r="D204" s="24" t="str">
        <x:v>Accessory nerve CN XI motor; C2-C3 proprioception</x:v>
      </x:c>
      <x:c r="E204" s="24" t="str">
        <x:v>CN XI motor (spinal nucleus C1-C5); C2-C3 sensory</x:v>
      </x:c>
      <x:c r="F204" s="24" t="str">
        <x:v>Anterior manubrium sternum</x:v>
      </x:c>
      <x:c r="G204" s="24" t="str">
        <x:v>Mastoid process and lateral superior nuchal line</x:v>
      </x:c>
      <x:c r="H204" s="24" t="str">
        <x:v>Sternal tendon and mastoid aponeurosis</x:v>
      </x:c>
      <x:c r="I204" s="24" t="str">
        <x:v>Sternoclavicular ligament nearby, not direct attachment</x:v>
      </x:c>
      <x:c r="J204" s="24" t="str">
        <x:v>Mixed Type I and Type II; ratio unverified</x:v>
      </x:c>
      <x:c r="K204" s="24" t="str">
        <x:v>EX0287; EX0289; EX0290; EX0291; EX0292; EX0301</x:v>
      </x:c>
      <x:c r="L204" s="24" t="str">
        <x:v>EX0286</x:v>
      </x:c>
      <x:c r="M204" s="24" t="str">
        <x:v>EX0288; EX0302; EX0303</x:v>
      </x:c>
      <x:c r="N204" s="24" t="str">
        <x:v>EX0291; EX0292; EX0295</x:v>
      </x:c>
      <x:c r="O204" s="24" t="str">
        <x:v>Active strength target (group or direct)</x:v>
      </x:c>
      <x:c r="P204" s="24" t="str">
        <x:v>Neck isometric flexion hand resistance; Neck isometric lateral flexion; Neck isometric rotation; Cervical rotation active range; Deep neck flexor nod with towel; Neck isometric extension hand resistance</x:v>
      </x:c>
      <x:c r="Q204" s="24" t="str">
        <x:v>Active/involved status varies with technique, loading, individual anatomy and fatigue.</x:v>
      </x:c>
    </x:row>
    <x:row r="205" ht="54" customHeight="1">
      <x:c r="A205" s="24" t="str">
        <x:v>Platysma</x:v>
      </x:c>
      <x:c r="B205" s="24" t="str">
        <x:v>Back &amp; Neck</x:v>
      </x:c>
      <x:c r="C205" s="24" t="str">
        <x:v>Superficial cervical / expression</x:v>
      </x:c>
      <x:c r="D205" s="24" t="str">
        <x:v>Cervical branch facial nerve (CN VII)</x:v>
      </x:c>
      <x:c r="E205" s="24" t="str">
        <x:v>CN VII; no spinal motor root</x:v>
      </x:c>
      <x:c r="F205" s="24" t="str">
        <x:v>Superficial fascia upper chest and shoulder</x:v>
      </x:c>
      <x:c r="G205" s="24" t="str">
        <x:v>Mandibular border and skin lower face</x:v>
      </x:c>
      <x:c r="H205" s="24" t="str">
        <x:v>Dermal fascial attachments without long tendon</x:v>
      </x:c>
      <x:c r="I205" s="24" t="str">
        <x:v>No direct ligament attachment</x:v>
      </x:c>
      <x:c r="J205" s="24" t="str">
        <x:v>Mixed Type I and Type II; ratio unverified</x:v>
      </x:c>
      <x:c r="K205" s="24" t="str">
        <x:v>EX0332</x:v>
      </x:c>
      <x:c r="L205" s="24" t="str">
        <x:v>—</x:v>
      </x:c>
      <x:c r="M205" s="24" t="str">
        <x:v>—</x:v>
      </x:c>
      <x:c r="N205" s="24" t="str">
        <x:v>—</x:v>
      </x:c>
      <x:c r="O205" s="24" t="str">
        <x:v>Functional or motor-control activation</x:v>
      </x:c>
      <x:c r="P205" s="24" t="str">
        <x:v>Gentle platysma neck skin tension</x:v>
      </x:c>
      <x:c r="Q205" s="24" t="str">
        <x:v>Active/involved status varies with technique, loading, individual anatomy and fatigue.</x:v>
      </x:c>
    </x:row>
    <x:row r="206" ht="54" customHeight="1">
      <x:c r="A206" s="24" t="str">
        <x:v>Digastric anterior belly</x:v>
      </x:c>
      <x:c r="B206" s="24" t="str">
        <x:v>Back &amp; Neck</x:v>
      </x:c>
      <x:c r="C206" s="24" t="str">
        <x:v>Suprahyoid</x:v>
      </x:c>
      <x:c r="D206" s="24" t="str">
        <x:v>Nerve to mylohyoid (V3)</x:v>
      </x:c>
      <x:c r="E206" s="24" t="str">
        <x:v>CN V3; no spinal root</x:v>
      </x:c>
      <x:c r="F206" s="24" t="str">
        <x:v>Digastric fossa of mandible</x:v>
      </x:c>
      <x:c r="G206" s="24" t="str">
        <x:v>Intermediate tendon attached to hyoid by fascial loop</x:v>
      </x:c>
      <x:c r="H206" s="24" t="str">
        <x:v>Digastric intermediate tendon</x:v>
      </x:c>
      <x:c r="I206" s="24" t="str">
        <x:v>Fibrous sling to hyoid (not independent ligament)</x:v>
      </x:c>
      <x:c r="J206" s="24" t="str">
        <x:v>Mixed Type I and Type II; ratio unverified</x:v>
      </x:c>
      <x:c r="K206" s="24" t="str">
        <x:v>EX0333; EX0346; EX0352</x:v>
      </x:c>
      <x:c r="L206" s="24" t="str">
        <x:v>EX0287; EX0347</x:v>
      </x:c>
      <x:c r="M206" s="24" t="str">
        <x:v>—</x:v>
      </x:c>
      <x:c r="N206" s="24" t="str">
        <x:v>—</x:v>
      </x:c>
      <x:c r="O206" s="24" t="str">
        <x:v>Functional or motor-control activation</x:v>
      </x:c>
      <x:c r="P206" s="24" t="str">
        <x:v>Jaw open-close controlled ROM; Controlled yawning / palate movement; Ordinary voluntary swallow (function only); Neck isometric flexion hand resistance; Speech articulation: pa-ta-ka softly</x:v>
      </x:c>
      <x:c r="Q206" s="24" t="str">
        <x:v>Active/involved status varies with technique, loading, individual anatomy and fatigue.</x:v>
      </x:c>
    </x:row>
    <x:row r="207" ht="54" customHeight="1">
      <x:c r="A207" s="24" t="str">
        <x:v>Digastric posterior belly</x:v>
      </x:c>
      <x:c r="B207" s="24" t="str">
        <x:v>Back &amp; Neck</x:v>
      </x:c>
      <x:c r="C207" s="24" t="str">
        <x:v>Suprahyoid</x:v>
      </x:c>
      <x:c r="D207" s="24" t="str">
        <x:v>Facial nerve (CN VII)</x:v>
      </x:c>
      <x:c r="E207" s="24" t="str">
        <x:v>CN VII; no spinal root</x:v>
      </x:c>
      <x:c r="F207" s="24" t="str">
        <x:v>Mastoid notch temporal bone</x:v>
      </x:c>
      <x:c r="G207" s="24" t="str">
        <x:v>Intermediate tendon near hyoid</x:v>
      </x:c>
      <x:c r="H207" s="24" t="str">
        <x:v>Digastric intermediate tendon</x:v>
      </x:c>
      <x:c r="I207" s="24" t="str">
        <x:v>Fibrous hyoid sling</x:v>
      </x:c>
      <x:c r="J207" s="24" t="str">
        <x:v>Mixed Type I and Type II; ratio unverified</x:v>
      </x:c>
      <x:c r="K207" s="24" t="str">
        <x:v>EX0333; EX0346; EX0352</x:v>
      </x:c>
      <x:c r="L207" s="24" t="str">
        <x:v>EX0287; EX0347</x:v>
      </x:c>
      <x:c r="M207" s="24" t="str">
        <x:v>—</x:v>
      </x:c>
      <x:c r="N207" s="24" t="str">
        <x:v>—</x:v>
      </x:c>
      <x:c r="O207" s="24" t="str">
        <x:v>Functional or motor-control activation</x:v>
      </x:c>
      <x:c r="P207" s="24" t="str">
        <x:v>Jaw open-close controlled ROM; Controlled yawning / palate movement; Ordinary voluntary swallow (function only); Neck isometric flexion hand resistance; Speech articulation: pa-ta-ka softly</x:v>
      </x:c>
      <x:c r="Q207" s="24" t="str">
        <x:v>Active/involved status varies with technique, loading, individual anatomy and fatigue.</x:v>
      </x:c>
    </x:row>
    <x:row r="208" ht="54" customHeight="1">
      <x:c r="A208" s="24" t="str">
        <x:v>Stylohyoid</x:v>
      </x:c>
      <x:c r="B208" s="24" t="str">
        <x:v>Back &amp; Neck</x:v>
      </x:c>
      <x:c r="C208" s="24" t="str">
        <x:v>Suprahyoid</x:v>
      </x:c>
      <x:c r="D208" s="24" t="str">
        <x:v>Facial nerve (CN VII)</x:v>
      </x:c>
      <x:c r="E208" s="24" t="str">
        <x:v>CN VII; no spinal root</x:v>
      </x:c>
      <x:c r="F208" s="24" t="str">
        <x:v>Styloid process temporal bone</x:v>
      </x:c>
      <x:c r="G208" s="24" t="str">
        <x:v>Body hyoid near greater horn</x:v>
      </x:c>
      <x:c r="H208" s="24" t="str">
        <x:v>Split distal tendon around digastric tendon</x:v>
      </x:c>
      <x:c r="I208" s="24" t="str">
        <x:v>Stylohyoid ligament parallels course (not necessarily a direct insertion)</x:v>
      </x:c>
      <x:c r="J208" s="24" t="str">
        <x:v>Mixed Type I and Type II; ratio unverified</x:v>
      </x:c>
      <x:c r="K208" s="24" t="str">
        <x:v>EX0352</x:v>
      </x:c>
      <x:c r="L208" s="24" t="str">
        <x:v>EX0287; EX0347</x:v>
      </x:c>
      <x:c r="M208" s="24" t="str">
        <x:v>—</x:v>
      </x:c>
      <x:c r="N208" s="24" t="str">
        <x:v>—</x:v>
      </x:c>
      <x:c r="O208" s="24" t="str">
        <x:v>Functional or motor-control activation</x:v>
      </x:c>
      <x:c r="P208" s="24" t="str">
        <x:v>Ordinary voluntary swallow (function only); Neck isometric flexion hand resistance; Speech articulation: pa-ta-ka softly</x:v>
      </x:c>
      <x:c r="Q208" s="24" t="str">
        <x:v>Active/involved status varies with technique, loading, individual anatomy and fatigue.</x:v>
      </x:c>
    </x:row>
    <x:row r="209" ht="54" customHeight="1">
      <x:c r="A209" s="24" t="str">
        <x:v>Geniohyoid</x:v>
      </x:c>
      <x:c r="B209" s="24" t="str">
        <x:v>Back &amp; Neck</x:v>
      </x:c>
      <x:c r="C209" s="24" t="str">
        <x:v>Suprahyoid floor of mouth</x:v>
      </x:c>
      <x:c r="D209" s="24" t="str">
        <x:v>C1 fibers via hypoglossal nerve</x:v>
      </x:c>
      <x:c r="E209" s="24" t="str">
        <x:v>C1 via CN XII</x:v>
      </x:c>
      <x:c r="F209" s="24" t="str">
        <x:v>Inferior mental spine of mandible</x:v>
      </x:c>
      <x:c r="G209" s="24" t="str">
        <x:v>Anterior body hyoid bone</x:v>
      </x:c>
      <x:c r="H209" s="24" t="str">
        <x:v>Short hyoid tendon</x:v>
      </x:c>
      <x:c r="I209" s="24" t="str">
        <x:v>No specific direct ligament attachment</x:v>
      </x:c>
      <x:c r="J209" s="24" t="str">
        <x:v>Mixed Type I and Type II; ratio unverified</x:v>
      </x:c>
      <x:c r="K209" s="24" t="str">
        <x:v>EX0333; EX0352</x:v>
      </x:c>
      <x:c r="L209" s="24" t="str">
        <x:v>EX0287; EX0347</x:v>
      </x:c>
      <x:c r="M209" s="24" t="str">
        <x:v>—</x:v>
      </x:c>
      <x:c r="N209" s="24" t="str">
        <x:v>—</x:v>
      </x:c>
      <x:c r="O209" s="24" t="str">
        <x:v>Functional or motor-control activation</x:v>
      </x:c>
      <x:c r="P209" s="24" t="str">
        <x:v>Jaw open-close controlled ROM; Ordinary voluntary swallow (function only); Neck isometric flexion hand resistance; Speech articulation: pa-ta-ka softly</x:v>
      </x:c>
      <x:c r="Q209" s="24" t="str">
        <x:v>Active/involved status varies with technique, loading, individual anatomy and fatigue.</x:v>
      </x:c>
    </x:row>
    <x:row r="210" ht="54" customHeight="1">
      <x:c r="A210" s="24" t="str">
        <x:v>Mylohyoid</x:v>
      </x:c>
      <x:c r="B210" s="24" t="str">
        <x:v>Back &amp; Neck</x:v>
      </x:c>
      <x:c r="C210" s="24" t="str">
        <x:v>Suprahyoid floor of mouth</x:v>
      </x:c>
      <x:c r="D210" s="24" t="str">
        <x:v>Nerve to mylohyoid (inferior alveolar V3 branch)</x:v>
      </x:c>
      <x:c r="E210" s="24" t="str">
        <x:v>CN V3; no spinal root</x:v>
      </x:c>
      <x:c r="F210" s="24" t="str">
        <x:v>Mylohyoid line inner mandible</x:v>
      </x:c>
      <x:c r="G210" s="24" t="str">
        <x:v>Midline mylohyoid raphe and hyoid bone</x:v>
      </x:c>
      <x:c r="H210" s="24" t="str">
        <x:v>Median raphe / hyoid tendon</x:v>
      </x:c>
      <x:c r="I210" s="24" t="str">
        <x:v>Mandibular lingual ligament region adjacent</x:v>
      </x:c>
      <x:c r="J210" s="24" t="str">
        <x:v>Mixed Type I and Type II; ratio unverified</x:v>
      </x:c>
      <x:c r="K210" s="24" t="str">
        <x:v>EX0333; EX0352</x:v>
      </x:c>
      <x:c r="L210" s="24" t="str">
        <x:v>EX0287; EX0343; EX0346; EX0347; EX0348</x:v>
      </x:c>
      <x:c r="M210" s="24" t="str">
        <x:v>—</x:v>
      </x:c>
      <x:c r="N210" s="24" t="str">
        <x:v>—</x:v>
      </x:c>
      <x:c r="O210" s="24" t="str">
        <x:v>Functional or motor-control activation</x:v>
      </x:c>
      <x:c r="P210" s="24" t="str">
        <x:v>Jaw open-close controlled ROM; Ordinary voluntary swallow (function only); Neck isometric flexion hand resistance; Tongue pressure to palate (very gentle); Controlled yawning / palate movement; Speech articulation: pa-ta-ka softly</x:v>
      </x:c>
      <x:c r="Q210" s="24" t="str">
        <x:v>Active/involved status varies with technique, loading, individual anatomy and fatigue.</x:v>
      </x:c>
    </x:row>
    <x:row r="211" ht="54" customHeight="1">
      <x:c r="A211" s="24" t="str">
        <x:v>Semispinalis capitis</x:v>
      </x:c>
      <x:c r="B211" s="24" t="str">
        <x:v>Back &amp; Neck</x:v>
      </x:c>
      <x:c r="C211" s="24" t="str">
        <x:v>Transversospinalis</x:v>
      </x:c>
      <x:c r="D211" s="24" t="str">
        <x:v>Posterior rami cervical spinal nerves</x:v>
      </x:c>
      <x:c r="E211" s="24" t="str">
        <x:v>C2-C6 segmental</x:v>
      </x:c>
      <x:c r="F211" s="24" t="str">
        <x:v>Transverse processes C7-T6; articular processes C4-C6</x:v>
      </x:c>
      <x:c r="G211" s="24" t="str">
        <x:v>Occipital bone between nuchal lines</x:v>
      </x:c>
      <x:c r="H211" s="24" t="str">
        <x:v>Broad occipital insertion and tendinous intersections</x:v>
      </x:c>
      <x:c r="I211" s="24" t="str">
        <x:v>Nuchal ligament contiguous fascia but not primary attachment</x:v>
      </x:c>
      <x:c r="J211" s="24" t="str">
        <x:v>Mixed Type I and Type II; ratio unverified</x:v>
      </x:c>
      <x:c r="K211" s="24" t="str">
        <x:v>EX0254; EX0255; EX0258; EX0259; EX0260; EX0261; EX0273; EX0275; EX0276; EX0279; EX0281; EX0288; EX0289; EX0292; EX0300; EX0301</x:v>
      </x:c>
      <x:c r="L211" s="24" t="str">
        <x:v>EX0130; EX0131; EX0175; EX0277; EX0283; EX0290; EX0294; EX0368</x:v>
      </x:c>
      <x:c r="M211" s="24" t="str">
        <x:v>EX0129; EX0143; EX0144; EX0146; EX0147; EX0148; EX0149; EX0170; EX0171; EX0172; EX0173; EX0174; EX0176; EX0233; EX0234; EX0237; EX0238; EX0240; EX0242; EX0243; EX0245; EX0246; EX0247; EX0249; EX0250; EX0251; EX0262; EX0263; EX0269; EX0272; EX0284; EX0285; EX0287; EX0303; EX0314</x:v>
      </x:c>
      <x:c r="N211" s="24" t="str">
        <x:v>EX0257; EX0275; EX0276; EX0278; EX0280</x:v>
      </x:c>
      <x:c r="O211" s="24" t="str">
        <x:v>Active strength target (group or direct)</x:v>
      </x:c>
      <x:c r="P211" s="24" t="str">
        <x:v>Standing abdominal wall stretch; Sphinx pose chest/abdominal stretch; Bird dog; Quadruped single-leg extension; Single-leg hip hinge wall tap; Resistance-band good morning</x:v>
      </x:c>
      <x:c r="Q211" s="24" t="str">
        <x:v>Active/involved status varies with technique, loading, individual anatomy and fatigue.</x:v>
      </x:c>
    </x:row>
    <x:row r="212" ht="54" customHeight="1">
      <x:c r="A212" s="24" t="str">
        <x:v>Semispinalis cervicis</x:v>
      </x:c>
      <x:c r="B212" s="24" t="str">
        <x:v>Back &amp; Neck</x:v>
      </x:c>
      <x:c r="C212" s="24" t="str">
        <x:v>Transversospinalis</x:v>
      </x:c>
      <x:c r="D212" s="24" t="str">
        <x:v>Posterior rami cervical spinal nerves</x:v>
      </x:c>
      <x:c r="E212" s="24" t="str">
        <x:v>C2-C8 segmental</x:v>
      </x:c>
      <x:c r="F212" s="24" t="str">
        <x:v>Transverse processes T1-T6</x:v>
      </x:c>
      <x:c r="G212" s="24" t="str">
        <x:v>Spinous processes C2-C5</x:v>
      </x:c>
      <x:c r="H212" s="24" t="str">
        <x:v>Cervical insertion tendons</x:v>
      </x:c>
      <x:c r="I212" s="24" t="str">
        <x:v>No uniform direct ligament attachment</x:v>
      </x:c>
      <x:c r="J212" s="24" t="str">
        <x:v>Mixed Type I and Type II; ratio unverified</x:v>
      </x:c>
      <x:c r="K212" s="24" t="str">
        <x:v>EX0254; EX0255; EX0258; EX0259; EX0260; EX0261; EX0273; EX0275; EX0276; EX0279; EX0281; EX0288; EX0289; EX0292; EX0300; EX0301</x:v>
      </x:c>
      <x:c r="L212" s="24" t="str">
        <x:v>EX0130; EX0131; EX0175; EX0277; EX0283; EX0290; EX0294; EX0368</x:v>
      </x:c>
      <x:c r="M212" s="24" t="str">
        <x:v>EX0129; EX0143; EX0144; EX0146; EX0147; EX0148; EX0149; EX0170; EX0171; EX0172; EX0173; EX0174; EX0176; EX0233; EX0234; EX0237; EX0238; EX0240; EX0242; EX0243; EX0245; EX0246; EX0247; EX0249; EX0250; EX0251; EX0262; EX0263; EX0269; EX0272; EX0284; EX0285; EX0287; EX0303; EX0314</x:v>
      </x:c>
      <x:c r="N212" s="24" t="str">
        <x:v>EX0257; EX0275; EX0276; EX0278; EX0280</x:v>
      </x:c>
      <x:c r="O212" s="24" t="str">
        <x:v>Active strength target (group or direct)</x:v>
      </x:c>
      <x:c r="P212" s="24" t="str">
        <x:v>Standing abdominal wall stretch; Sphinx pose chest/abdominal stretch; Bird dog; Quadruped single-leg extension; Single-leg hip hinge wall tap; Resistance-band good morning</x:v>
      </x:c>
      <x:c r="Q212" s="24" t="str">
        <x:v>Active/involved status varies with technique, loading, individual anatomy and fatigue.</x:v>
      </x:c>
    </x:row>
    <x:row r="213" ht="54" customHeight="1">
      <x:c r="A213" s="24" t="str">
        <x:v>Semispinalis thoracis</x:v>
      </x:c>
      <x:c r="B213" s="24" t="str">
        <x:v>Back &amp; Neck</x:v>
      </x:c>
      <x:c r="C213" s="24" t="str">
        <x:v>Transversospinalis</x:v>
      </x:c>
      <x:c r="D213" s="24" t="str">
        <x:v>Posterior rami thoracic spinal nerves</x:v>
      </x:c>
      <x:c r="E213" s="24" t="str">
        <x:v>T1-T12 segmental</x:v>
      </x:c>
      <x:c r="F213" s="24" t="str">
        <x:v>Transverse processes T6-T12</x:v>
      </x:c>
      <x:c r="G213" s="24" t="str">
        <x:v>Spinous processes C6-T4</x:v>
      </x:c>
      <x:c r="H213" s="24" t="str">
        <x:v>Short segmental tendons</x:v>
      </x:c>
      <x:c r="I213" s="24" t="str">
        <x:v>Interspinous ligament vicinity, not uniform attachment</x:v>
      </x:c>
      <x:c r="J213" s="24" t="str">
        <x:v>Mixed Type I and Type II; ratio unverified</x:v>
      </x:c>
      <x:c r="K213" s="24" t="str">
        <x:v>EX0254; EX0255; EX0258; EX0259; EX0260; EX0261; EX0273; EX0275; EX0276; EX0279; EX0281</x:v>
      </x:c>
      <x:c r="L213" s="24" t="str">
        <x:v>EX0130; EX0131; EX0175; EX0277; EX0283; EX0368</x:v>
      </x:c>
      <x:c r="M213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213" s="24" t="str">
        <x:v>EX0257; EX0275; EX0276; EX0278; EX0280</x:v>
      </x:c>
      <x:c r="O213" s="24" t="str">
        <x:v>Active strength target (group or direct)</x:v>
      </x:c>
      <x:c r="P213" s="24" t="str">
        <x:v>Standing abdominal wall stretch; Sphinx pose chest/abdominal stretch; Bird dog; Quadruped single-leg extension; Single-leg hip hinge wall tap; Resistance-band good morning</x:v>
      </x:c>
      <x:c r="Q213" s="24" t="str">
        <x:v>Active/involved status varies with technique, loading, individual anatomy and fatigue.</x:v>
      </x:c>
    </x:row>
    <x:row r="214" ht="54" customHeight="1">
      <x:c r="A214" s="24" t="str">
        <x:v>Multifidus cervical fascicles</x:v>
      </x:c>
      <x:c r="B214" s="24" t="str">
        <x:v>Back &amp; Neck</x:v>
      </x:c>
      <x:c r="C214" s="24" t="str">
        <x:v>Transversospinalis deep</x:v>
      </x:c>
      <x:c r="D214" s="24" t="str">
        <x:v>Medial branches posterior rami cervical nerves</x:v>
      </x:c>
      <x:c r="E214" s="24" t="str">
        <x:v>C2-C8 segmental</x:v>
      </x:c>
      <x:c r="F214" s="24" t="str">
        <x:v>Articular processes C4-C7</x:v>
      </x:c>
      <x:c r="G214" s="24" t="str">
        <x:v>Spinous processes 2-4 levels above</x:v>
      </x:c>
      <x:c r="H214" s="24" t="str">
        <x:v>Short segmental tendons</x:v>
      </x:c>
      <x:c r="I214" s="24" t="str">
        <x:v>Facet capsules adjacent; no uniform ligament insertion</x:v>
      </x:c>
      <x:c r="J214" s="24" t="str">
        <x:v>Mixed Type I and Type II; ratio unverified</x:v>
      </x:c>
      <x:c r="K214" s="24" t="str">
        <x:v>EX0254; EX0255; EX0258; EX0259; EX0260; EX0261; EX0273; EX0275; EX0276; EX0279; EX0281; EX0290</x:v>
      </x:c>
      <x:c r="L214" s="24" t="str">
        <x:v>EX0130; EX0131; EX0175; EX0277; EX0283; EX0368</x:v>
      </x:c>
      <x:c r="M214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214" s="24" t="str">
        <x:v>EX0257; EX0275; EX0276; EX0278; EX0280</x:v>
      </x:c>
      <x:c r="O214" s="24" t="str">
        <x:v>Active strength target (group or direct)</x:v>
      </x:c>
      <x:c r="P214" s="24" t="str">
        <x:v>Standing abdominal wall stretch; Sphinx pose chest/abdominal stretch; Bird dog; Quadruped single-leg extension; Single-leg hip hinge wall tap; Resistance-band good morning</x:v>
      </x:c>
      <x:c r="Q214" s="24" t="str">
        <x:v>Active/involved status varies with technique, loading, individual anatomy and fatigue.</x:v>
      </x:c>
    </x:row>
    <x:row r="215" ht="54" customHeight="1">
      <x:c r="A215" s="24" t="str">
        <x:v>Multifidus lumbar fascicles</x:v>
      </x:c>
      <x:c r="B215" s="24" t="str">
        <x:v>Back &amp; Neck</x:v>
      </x:c>
      <x:c r="C215" s="24" t="str">
        <x:v>Transversospinalis deep</x:v>
      </x:c>
      <x:c r="D215" s="24" t="str">
        <x:v>Medial branches posterior rami lumbar nerves</x:v>
      </x:c>
      <x:c r="E215" s="24" t="str">
        <x:v>L1-L5 segmental (sacral region additional branches)</x:v>
      </x:c>
      <x:c r="F215" s="24" t="str">
        <x:v>Sacrum; PSIS; mammillary processes lumbar vertebrae</x:v>
      </x:c>
      <x:c r="G215" s="24" t="str">
        <x:v>Spinous processes 2-4 levels above</x:v>
      </x:c>
      <x:c r="H215" s="24" t="str">
        <x:v>Lumbar multifidus segmental tendons</x:v>
      </x:c>
      <x:c r="I215" s="24" t="str">
        <x:v>Sacroiliac ligament/fascia origin components near PSIS; thoracolumbar fascia</x:v>
      </x:c>
      <x:c r="J215" s="24" t="str">
        <x:v>Type I-enriched (study group mean)</x:v>
      </x:c>
      <x:c r="K215" s="24" t="str">
        <x:v>EX0254; EX0255; EX0258; EX0259; EX0260; EX0261; EX0273; EX0275; EX0276; EX0279; EX0281</x:v>
      </x:c>
      <x:c r="L215" s="24" t="str">
        <x:v>EX0130; EX0131; EX0175; EX0277; EX0283; EX0368</x:v>
      </x:c>
      <x:c r="M215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215" s="24" t="str">
        <x:v>EX0257; EX0275; EX0276; EX0278; EX0280</x:v>
      </x:c>
      <x:c r="O215" s="24" t="str">
        <x:v>Active strength target (group or direct)</x:v>
      </x:c>
      <x:c r="P215" s="24" t="str">
        <x:v>Standing abdominal wall stretch; Sphinx pose chest/abdominal stretch; Bird dog; Quadruped single-leg extension; Single-leg hip hinge wall tap; Resistance-band good morning</x:v>
      </x:c>
      <x:c r="Q215" s="24" t="str">
        <x:v>Active/involved status varies with technique, loading, individual anatomy and fatigue.</x:v>
      </x:c>
    </x:row>
    <x:row r="216" ht="54" customHeight="1">
      <x:c r="A216" s="24" t="str">
        <x:v>Multifidus thoracic fascicles</x:v>
      </x:c>
      <x:c r="B216" s="24" t="str">
        <x:v>Back &amp; Neck</x:v>
      </x:c>
      <x:c r="C216" s="24" t="str">
        <x:v>Transversospinalis deep</x:v>
      </x:c>
      <x:c r="D216" s="24" t="str">
        <x:v>Medial branches posterior rami thoracic nerves</x:v>
      </x:c>
      <x:c r="E216" s="24" t="str">
        <x:v>T1-T12 segmental</x:v>
      </x:c>
      <x:c r="F216" s="24" t="str">
        <x:v>Transverse processes thoracic vertebrae</x:v>
      </x:c>
      <x:c r="G216" s="24" t="str">
        <x:v>Spinous processes 2-4 levels above</x:v>
      </x:c>
      <x:c r="H216" s="24" t="str">
        <x:v>Short segmental tendons</x:v>
      </x:c>
      <x:c r="I216" s="24" t="str">
        <x:v>Facet capsules adjacent</x:v>
      </x:c>
      <x:c r="J216" s="24" t="str">
        <x:v>Mixed Type I and Type II; ratio unverified</x:v>
      </x:c>
      <x:c r="K216" s="24" t="str">
        <x:v>EX0254; EX0255; EX0258; EX0259; EX0260; EX0261; EX0273; EX0275; EX0276; EX0279; EX0281</x:v>
      </x:c>
      <x:c r="L216" s="24" t="str">
        <x:v>EX0130; EX0131; EX0175; EX0277; EX0283; EX0368</x:v>
      </x:c>
      <x:c r="M216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216" s="24" t="str">
        <x:v>EX0257; EX0275; EX0276; EX0278; EX0280</x:v>
      </x:c>
      <x:c r="O216" s="24" t="str">
        <x:v>Active strength target (group or direct)</x:v>
      </x:c>
      <x:c r="P216" s="24" t="str">
        <x:v>Standing abdominal wall stretch; Sphinx pose chest/abdominal stretch; Bird dog; Quadruped single-leg extension; Single-leg hip hinge wall tap; Resistance-band good morning</x:v>
      </x:c>
      <x:c r="Q216" s="24" t="str">
        <x:v>Active/involved status varies with technique, loading, individual anatomy and fatigue.</x:v>
      </x:c>
    </x:row>
    <x:row r="217" ht="54" customHeight="1">
      <x:c r="A217" s="24" t="str">
        <x:v>Rotatores breves (thoracic, segmental)</x:v>
      </x:c>
      <x:c r="B217" s="24" t="str">
        <x:v>Back &amp; Neck</x:v>
      </x:c>
      <x:c r="C217" s="24" t="str">
        <x:v>Transversospinalis deepest</x:v>
      </x:c>
      <x:c r="D217" s="24" t="str">
        <x:v>Posterior rami thoracic spinal nerves</x:v>
      </x:c>
      <x:c r="E217" s="24" t="str">
        <x:v>T1-T12 segmental</x:v>
      </x:c>
      <x:c r="F217" s="24" t="str">
        <x:v>Thoracic transverse process</x:v>
      </x:c>
      <x:c r="G217" s="24" t="str">
        <x:v>Lamina/spinous process one level above</x:v>
      </x:c>
      <x:c r="H217" s="24" t="str">
        <x:v>Minute interlaminar tendons</x:v>
      </x:c>
      <x:c r="I217" s="24" t="str">
        <x:v>Facet capsular ligament complex adjacent</x:v>
      </x:c>
      <x:c r="J217" s="24" t="str">
        <x:v>Mixed Type I and Type II; ratio unverified</x:v>
      </x:c>
      <x:c r="K217" s="24" t="str">
        <x:v>EX0254; EX0255; EX0258; EX0259; EX0260; EX0261; EX0273; EX0275; EX0276; EX0279; EX0281</x:v>
      </x:c>
      <x:c r="L217" s="24" t="str">
        <x:v>EX0130; EX0131; EX0175; EX0277; EX0283; EX0368</x:v>
      </x:c>
      <x:c r="M217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217" s="24" t="str">
        <x:v>EX0257; EX0275; EX0276; EX0278; EX0280</x:v>
      </x:c>
      <x:c r="O217" s="24" t="str">
        <x:v>Active strength target (group or direct)</x:v>
      </x:c>
      <x:c r="P217" s="24" t="str">
        <x:v>Standing abdominal wall stretch; Sphinx pose chest/abdominal stretch; Bird dog; Quadruped single-leg extension; Single-leg hip hinge wall tap; Resistance-band good morning</x:v>
      </x:c>
      <x:c r="Q217" s="24" t="str">
        <x:v>Tiny fascicles work as regional stabilizers; specific individual fibers cannot be selectively exercised.</x:v>
      </x:c>
    </x:row>
    <x:row r="218" ht="54" customHeight="1">
      <x:c r="A218" s="24" t="str">
        <x:v>Rotatores cervicis (variable)</x:v>
      </x:c>
      <x:c r="B218" s="24" t="str">
        <x:v>Back &amp; Neck</x:v>
      </x:c>
      <x:c r="C218" s="24" t="str">
        <x:v>Transversospinalis deepest</x:v>
      </x:c>
      <x:c r="D218" s="24" t="str">
        <x:v>Posterior rami cervical spinal nerves</x:v>
      </x:c>
      <x:c r="E218" s="24" t="str">
        <x:v>C2-C7 segmental</x:v>
      </x:c>
      <x:c r="F218" s="24" t="str">
        <x:v>Cervical articular/transverse processes</x:v>
      </x:c>
      <x:c r="G218" s="24" t="str">
        <x:v>Adjacent superior cervical lamina</x:v>
      </x:c>
      <x:c r="H218" s="24" t="str">
        <x:v>Minute fascicular tendons</x:v>
      </x:c>
      <x:c r="I218" s="24" t="str">
        <x:v>Facet capsule vicinity</x:v>
      </x:c>
      <x:c r="J218" s="24" t="str">
        <x:v>Mixed Type I and Type II; ratio unverified</x:v>
      </x:c>
      <x:c r="K218" s="24" t="str">
        <x:v>EX0254; EX0255; EX0258; EX0259; EX0260; EX0261; EX0273; EX0275; EX0276; EX0279; EX0281</x:v>
      </x:c>
      <x:c r="L218" s="24" t="str">
        <x:v>EX0130; EX0131; EX0175; EX0277; EX0283; EX0368</x:v>
      </x:c>
      <x:c r="M218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218" s="24" t="str">
        <x:v>EX0257; EX0275; EX0276; EX0278; EX0280</x:v>
      </x:c>
      <x:c r="O218" s="24" t="str">
        <x:v>Active strength target (group or direct)</x:v>
      </x:c>
      <x:c r="P218" s="24" t="str">
        <x:v>Standing abdominal wall stretch; Sphinx pose chest/abdominal stretch; Bird dog; Quadruped single-leg extension; Single-leg hip hinge wall tap; Resistance-band good morning</x:v>
      </x:c>
      <x:c r="Q218" s="24" t="str">
        <x:v>Tiny fascicles work as regional stabilizers; specific individual fibers cannot be selectively exercised.</x:v>
      </x:c>
    </x:row>
    <x:row r="219" ht="54" customHeight="1">
      <x:c r="A219" s="24" t="str">
        <x:v>Rotatores longi (thoracic, segmental)</x:v>
      </x:c>
      <x:c r="B219" s="24" t="str">
        <x:v>Back &amp; Neck</x:v>
      </x:c>
      <x:c r="C219" s="24" t="str">
        <x:v>Transversospinalis deepest</x:v>
      </x:c>
      <x:c r="D219" s="24" t="str">
        <x:v>Posterior rami thoracic spinal nerves</x:v>
      </x:c>
      <x:c r="E219" s="24" t="str">
        <x:v>T1-T12 segmental</x:v>
      </x:c>
      <x:c r="F219" s="24" t="str">
        <x:v>Thoracic transverse process</x:v>
      </x:c>
      <x:c r="G219" s="24" t="str">
        <x:v>Lamina/spinous process two levels above</x:v>
      </x:c>
      <x:c r="H219" s="24" t="str">
        <x:v>Minute segmental tendons</x:v>
      </x:c>
      <x:c r="I219" s="24" t="str">
        <x:v>Facet capsule adjacent</x:v>
      </x:c>
      <x:c r="J219" s="24" t="str">
        <x:v>Mixed Type I and Type II; ratio unverified</x:v>
      </x:c>
      <x:c r="K219" s="24" t="str">
        <x:v>EX0254; EX0255; EX0258; EX0259; EX0260; EX0261; EX0273; EX0275; EX0276; EX0279; EX0281</x:v>
      </x:c>
      <x:c r="L219" s="24" t="str">
        <x:v>EX0130; EX0131; EX0175; EX0277; EX0283; EX0368</x:v>
      </x:c>
      <x:c r="M219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219" s="24" t="str">
        <x:v>EX0257; EX0275; EX0276; EX0278; EX0280</x:v>
      </x:c>
      <x:c r="O219" s="24" t="str">
        <x:v>Active strength target (group or direct)</x:v>
      </x:c>
      <x:c r="P219" s="24" t="str">
        <x:v>Standing abdominal wall stretch; Sphinx pose chest/abdominal stretch; Bird dog; Quadruped single-leg extension; Single-leg hip hinge wall tap; Resistance-band good morning</x:v>
      </x:c>
      <x:c r="Q219" s="24" t="str">
        <x:v>Tiny fascicles work as regional stabilizers; specific individual fibers cannot be selectively exercised.</x:v>
      </x:c>
    </x:row>
    <x:row r="220" ht="54" customHeight="1">
      <x:c r="A220" s="24" t="str">
        <x:v>Rotatores lumborum (variable)</x:v>
      </x:c>
      <x:c r="B220" s="24" t="str">
        <x:v>Back &amp; Neck</x:v>
      </x:c>
      <x:c r="C220" s="24" t="str">
        <x:v>Transversospinalis deepest</x:v>
      </x:c>
      <x:c r="D220" s="24" t="str">
        <x:v>Posterior rami lumbar spinal nerves</x:v>
      </x:c>
      <x:c r="E220" s="24" t="str">
        <x:v>L1-L5 segmental</x:v>
      </x:c>
      <x:c r="F220" s="24" t="str">
        <x:v>Lumbar mamillary/transverse processes</x:v>
      </x:c>
      <x:c r="G220" s="24" t="str">
        <x:v>Superior lamina/spinous process</x:v>
      </x:c>
      <x:c r="H220" s="24" t="str">
        <x:v>Short local tendons</x:v>
      </x:c>
      <x:c r="I220" s="24" t="str">
        <x:v>Facet capsular ligaments adjacent</x:v>
      </x:c>
      <x:c r="J220" s="24" t="str">
        <x:v>Mixed Type I and Type II; ratio unverified</x:v>
      </x:c>
      <x:c r="K220" s="24" t="str">
        <x:v>EX0254; EX0255; EX0258; EX0259; EX0260; EX0261; EX0273; EX0275; EX0276; EX0279; EX0281</x:v>
      </x:c>
      <x:c r="L220" s="24" t="str">
        <x:v>EX0130; EX0131; EX0175; EX0277; EX0283; EX0368</x:v>
      </x:c>
      <x:c r="M220" s="24" t="str">
        <x:v>EX0129; EX0143; EX0144; EX0146; EX0147; EX0148; EX0149; EX0170; EX0171; EX0172; EX0173; EX0174; EX0176; EX0233; EX0234; EX0237; EX0238; EX0240; EX0242; EX0243; EX0245; EX0246; EX0247; EX0249; EX0250; EX0251; EX0262; EX0263; EX0269; EX0272; EX0314</x:v>
      </x:c>
      <x:c r="N220" s="24" t="str">
        <x:v>EX0257; EX0275; EX0276; EX0278; EX0280</x:v>
      </x:c>
      <x:c r="O220" s="24" t="str">
        <x:v>Active strength target (group or direct)</x:v>
      </x:c>
      <x:c r="P220" s="24" t="str">
        <x:v>Standing abdominal wall stretch; Sphinx pose chest/abdominal stretch; Bird dog; Quadruped single-leg extension; Single-leg hip hinge wall tap; Resistance-band good morning</x:v>
      </x:c>
      <x:c r="Q220" s="24" t="str">
        <x:v>Tiny fascicles work as regional stabilizers; specific individual fibers cannot be selectively exercised.</x:v>
      </x:c>
    </x:row>
    <x:row r="221" ht="54" customHeight="1">
      <x:c r="A221" s="24" t="str">
        <x:v>Transversus thoracis</x:v>
      </x:c>
      <x:c r="B221" s="24" t="str">
        <x:v>Thorax &amp; Breathing</x:v>
      </x:c>
      <x:c r="C221" s="24" t="str">
        <x:v>Deep anterior thorax</x:v>
      </x:c>
      <x:c r="D221" s="24" t="str">
        <x:v>Intercostal nerves</x:v>
      </x:c>
      <x:c r="E221" s="24" t="str">
        <x:v>T2-T6</x:v>
      </x:c>
      <x:c r="F221" s="24" t="str">
        <x:v>Posterior sternum and xiphoid</x:v>
      </x:c>
      <x:c r="G221" s="24" t="str">
        <x:v>Internal costal cartilages ribs 2-6</x:v>
      </x:c>
      <x:c r="H221" s="24" t="str">
        <x:v>Thin tendinous slips to cartilages</x:v>
      </x:c>
      <x:c r="I221" s="24" t="str">
        <x:v>Radiate sternocostal ligaments anterior to attachments</x:v>
      </x:c>
      <x:c r="J221" s="24" t="str">
        <x:v>Mixed Type I and Type II; ratio unverified</x:v>
      </x:c>
      <x:c r="K221" s="24" t="str">
        <x:v>EX0282; EX0308; EX0315</x:v>
      </x:c>
      <x:c r="L221" s="24" t="str">
        <x:v>EX0305; EX0307; EX0309; EX0312</x:v>
      </x:c>
      <x:c r="M221" s="24" t="str">
        <x:v>—</x:v>
      </x:c>
      <x:c r="N221" s="24" t="str">
        <x:v>—</x:v>
      </x:c>
      <x:c r="O221" s="24" t="str">
        <x:v>Functional or motor-control activation</x:v>
      </x:c>
      <x:c r="P221" s="24" t="str">
        <x:v>Breathing with thoracic rib expansion; Inspiratory resistance device low-load (supervised); Gentle controlled nasal inspiration; 360-degree lower-rib breathing; Segmental lateral rib expansion breathing; Physiologic costal expansion in standing reach</x:v>
      </x:c>
      <x:c r="Q221" s="24" t="str">
        <x:v>Active/involved status varies with technique, loading, individual anatomy and fatigue.</x:v>
      </x:c>
    </x:row>
    <x:row r="222" ht="54" customHeight="1">
      <x:c r="A222" s="24" t="str">
        <x:v>Subcostales (variable rib-spanning slips)</x:v>
      </x:c>
      <x:c r="B222" s="24" t="str">
        <x:v>Thorax &amp; Breathing</x:v>
      </x:c>
      <x:c r="C222" s="24" t="str">
        <x:v>Deep posterior thorax</x:v>
      </x:c>
      <x:c r="D222" s="24" t="str">
        <x:v>Intercostal nerves</x:v>
      </x:c>
      <x:c r="E222" s="24" t="str">
        <x:v>T7-T11 segmental</x:v>
      </x:c>
      <x:c r="F222" s="24" t="str">
        <x:v>Inner surface of lower ribs near angles</x:v>
      </x:c>
      <x:c r="G222" s="24" t="str">
        <x:v>Inner surface of rib 2-3 levels below</x:v>
      </x:c>
      <x:c r="H222" s="24" t="str">
        <x:v>Short rib tendinous slips</x:v>
      </x:c>
      <x:c r="I222" s="24" t="str">
        <x:v>Costotransverse ligament adjacent</x:v>
      </x:c>
      <x:c r="J222" s="24" t="str">
        <x:v>Mixed Type I and Type II; ratio unverified</x:v>
      </x:c>
      <x:c r="K222" s="24" t="str">
        <x:v>EX0282; EX0308; EX0315</x:v>
      </x:c>
      <x:c r="L222" s="24" t="str">
        <x:v>EX0305; EX0307; EX0309; EX0312</x:v>
      </x:c>
      <x:c r="M222" s="24" t="str">
        <x:v>—</x:v>
      </x:c>
      <x:c r="N222" s="24" t="str">
        <x:v>—</x:v>
      </x:c>
      <x:c r="O222" s="24" t="str">
        <x:v>Functional or motor-control activation</x:v>
      </x:c>
      <x:c r="P222" s="24" t="str">
        <x:v>Breathing with thoracic rib expansion; Inspiratory resistance device low-load (supervised); Gentle controlled nasal inspiration; 360-degree lower-rib breathing; Segmental lateral rib expansion breathing; Physiologic costal expansion in standing reach</x:v>
      </x:c>
      <x:c r="Q222" s="24" t="str">
        <x:v>Active/involved status varies with technique, loading, individual anatomy and fatigue.</x:v>
      </x:c>
    </x:row>
    <x:row r="223" ht="54" customHeight="1">
      <x:c r="A223" s="24" t="str">
        <x:v>Serratus posterior inferior</x:v>
      </x:c>
      <x:c r="B223" s="24" t="str">
        <x:v>Thorax &amp; Breathing</x:v>
      </x:c>
      <x:c r="C223" s="24" t="str">
        <x:v>Intermediate extrinsic back</x:v>
      </x:c>
      <x:c r="D223" s="24" t="str">
        <x:v>Anterior rami intercostal/subcostal nerves</x:v>
      </x:c>
      <x:c r="E223" s="24" t="str">
        <x:v>T9-T12</x:v>
      </x:c>
      <x:c r="F223" s="24" t="str">
        <x:v>T11-L2 spinous processes; thoracolumbar fascia</x:v>
      </x:c>
      <x:c r="G223" s="24" t="str">
        <x:v>Inferior borders ribs 9-12</x:v>
      </x:c>
      <x:c r="H223" s="24" t="str">
        <x:v>Broad aponeurotic origins/insertions</x:v>
      </x:c>
      <x:c r="I223" s="24" t="str">
        <x:v>Thoracolumbar fascia; supraspinous ligaments adjacent</x:v>
      </x:c>
      <x:c r="J223" s="24" t="str">
        <x:v>Mixed Type I and Type II; ratio unverified</x:v>
      </x:c>
      <x:c r="K223" s="24" t="str">
        <x:v>EX0282; EX0308; EX0314; EX0315</x:v>
      </x:c>
      <x:c r="L223" s="24" t="str">
        <x:v>EX0305; EX0307; EX0309; EX0312</x:v>
      </x:c>
      <x:c r="M223" s="24" t="str">
        <x:v>—</x:v>
      </x:c>
      <x:c r="N223" s="24" t="str">
        <x:v>—</x:v>
      </x:c>
      <x:c r="O223" s="24" t="str">
        <x:v>Functional or motor-control activation</x:v>
      </x:c>
      <x:c r="P223" s="24" t="str">
        <x:v>Breathing with thoracic rib expansion; Inspiratory resistance device low-load (supervised); Scapular posterior rib activation with breathing; Gentle controlled nasal inspiration; 360-degree lower-rib breathing; Segmental lateral rib expansion breathing</x:v>
      </x:c>
      <x:c r="Q223" s="24" t="str">
        <x:v>Active/involved status varies with technique, loading, individual anatomy and fatigue.</x:v>
      </x:c>
    </x:row>
    <x:row r="224" ht="54" customHeight="1">
      <x:c r="A224" s="24" t="str">
        <x:v>Serratus posterior superior</x:v>
      </x:c>
      <x:c r="B224" s="24" t="str">
        <x:v>Thorax &amp; Breathing</x:v>
      </x:c>
      <x:c r="C224" s="24" t="str">
        <x:v>Intermediate extrinsic back</x:v>
      </x:c>
      <x:c r="D224" s="24" t="str">
        <x:v>Intercostal nerves</x:v>
      </x:c>
      <x:c r="E224" s="24" t="str">
        <x:v>T2-T5</x:v>
      </x:c>
      <x:c r="F224" s="24" t="str">
        <x:v>Lower nuchal ligament; C7-T3 spinous processes</x:v>
      </x:c>
      <x:c r="G224" s="24" t="str">
        <x:v>Upper borders ribs 2-5 near angles</x:v>
      </x:c>
      <x:c r="H224" s="24" t="str">
        <x:v>Thin aponeurosis</x:v>
      </x:c>
      <x:c r="I224" s="24" t="str">
        <x:v>Nuchal ligament direct origin</x:v>
      </x:c>
      <x:c r="J224" s="24" t="str">
        <x:v>Mixed Type I and Type II; ratio unverified</x:v>
      </x:c>
      <x:c r="K224" s="24" t="str">
        <x:v>EX0282; EX0308; EX0314; EX0315</x:v>
      </x:c>
      <x:c r="L224" s="24" t="str">
        <x:v>EX0305; EX0307; EX0309; EX0312</x:v>
      </x:c>
      <x:c r="M224" s="24" t="str">
        <x:v>—</x:v>
      </x:c>
      <x:c r="N224" s="24" t="str">
        <x:v>—</x:v>
      </x:c>
      <x:c r="O224" s="24" t="str">
        <x:v>Functional or motor-control activation</x:v>
      </x:c>
      <x:c r="P224" s="24" t="str">
        <x:v>Breathing with thoracic rib expansion; Inspiratory resistance device low-load (supervised); Scapular posterior rib activation with breathing; Gentle controlled nasal inspiration; 360-degree lower-rib breathing; Segmental lateral rib expansion breathing</x:v>
      </x:c>
      <x:c r="Q224" s="24" t="str">
        <x:v>Active/involved status varies with technique, loading, individual anatomy and fatigue.</x:v>
      </x:c>
    </x:row>
    <x:row r="225" ht="54" customHeight="1">
      <x:c r="A225" s="24" t="str">
        <x:v>External intercostal (interspace 1, R1-R2)</x:v>
      </x:c>
      <x:c r="B225" s="24" t="str">
        <x:v>Thorax &amp; Breathing</x:v>
      </x:c>
      <x:c r="C225" s="24" t="str">
        <x:v>Segment-level fascicle</x:v>
      </x:c>
      <x:c r="D225" s="24" t="str">
        <x:v>Intercostal nerve 1</x:v>
      </x:c>
      <x:c r="E225" s="24" t="str">
        <x:v>T1</x:v>
      </x:c>
      <x:c r="F225" s="24" t="str">
        <x:v>Inferior margin of rib 1</x:v>
      </x:c>
      <x:c r="G225" s="24" t="str">
        <x:v>Superior margin of rib 2</x:v>
      </x:c>
      <x:c r="H225" s="24" t="str">
        <x:v>Segmental rib-to-rib muscle attachment</x:v>
      </x:c>
      <x:c r="I225" s="24" t="str">
        <x:v>Costal periosteum/intercostal membrane; no specific direct ligament</x:v>
      </x:c>
      <x:c r="J225" s="24" t="str">
        <x:v>Mixed Type I and Type II; ratio unverified</x:v>
      </x:c>
      <x:c r="K225" s="24" t="str">
        <x:v>EX0282; EX0283; EX0305; EX0306; EX0307; EX0308; EX0309; EX0311; EX0312; EX0313; EX0315</x:v>
      </x:c>
      <x:c r="L225" s="24" t="str">
        <x:v>EX0304; EX0310; EX0314; EX0349; EX0351</x:v>
      </x:c>
      <x:c r="M225" s="24" t="str">
        <x:v>—</x:v>
      </x:c>
      <x:c r="N225" s="24" t="str">
        <x:v>EX0309; EX0310</x:v>
      </x:c>
      <x:c r="O225" s="24" t="str">
        <x:v>Functional or motor-control activation</x:v>
      </x:c>
      <x:c r="P225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25" s="24" t="str">
        <x:v>Segmental slips act together during respiration; exercise does not isolate one interspace.</x:v>
      </x:c>
    </x:row>
    <x:row r="226" ht="54" customHeight="1">
      <x:c r="A226" s="24" t="str">
        <x:v>External intercostal (interspace 10, R10-R11)</x:v>
      </x:c>
      <x:c r="B226" s="24" t="str">
        <x:v>Thorax &amp; Breathing</x:v>
      </x:c>
      <x:c r="C226" s="24" t="str">
        <x:v>Segment-level fascicle</x:v>
      </x:c>
      <x:c r="D226" s="24" t="str">
        <x:v>Intercostal nerve 10</x:v>
      </x:c>
      <x:c r="E226" s="24" t="str">
        <x:v>T10</x:v>
      </x:c>
      <x:c r="F226" s="24" t="str">
        <x:v>Inferior margin of rib 10</x:v>
      </x:c>
      <x:c r="G226" s="24" t="str">
        <x:v>Superior margin of rib 11</x:v>
      </x:c>
      <x:c r="H226" s="24" t="str">
        <x:v>Segmental rib-to-rib muscle attachment</x:v>
      </x:c>
      <x:c r="I226" s="24" t="str">
        <x:v>Costal periosteum/intercostal membrane; no specific direct ligament</x:v>
      </x:c>
      <x:c r="J226" s="24" t="str">
        <x:v>Mixed Type I and Type II; ratio unverified</x:v>
      </x:c>
      <x:c r="K226" s="24" t="str">
        <x:v>EX0282; EX0283; EX0305; EX0306; EX0307; EX0308; EX0309; EX0311; EX0312; EX0313; EX0315</x:v>
      </x:c>
      <x:c r="L226" s="24" t="str">
        <x:v>EX0304; EX0310; EX0314; EX0349; EX0351</x:v>
      </x:c>
      <x:c r="M226" s="24" t="str">
        <x:v>—</x:v>
      </x:c>
      <x:c r="N226" s="24" t="str">
        <x:v>EX0309; EX0310</x:v>
      </x:c>
      <x:c r="O226" s="24" t="str">
        <x:v>Functional or motor-control activation</x:v>
      </x:c>
      <x:c r="P226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26" s="24" t="str">
        <x:v>Segmental slips act together during respiration; exercise does not isolate one interspace.</x:v>
      </x:c>
    </x:row>
    <x:row r="227" ht="54" customHeight="1">
      <x:c r="A227" s="24" t="str">
        <x:v>External intercostal (interspace 11, R11-R12)</x:v>
      </x:c>
      <x:c r="B227" s="24" t="str">
        <x:v>Thorax &amp; Breathing</x:v>
      </x:c>
      <x:c r="C227" s="24" t="str">
        <x:v>Segment-level fascicle</x:v>
      </x:c>
      <x:c r="D227" s="24" t="str">
        <x:v>Intercostal nerve 11</x:v>
      </x:c>
      <x:c r="E227" s="24" t="str">
        <x:v>T11</x:v>
      </x:c>
      <x:c r="F227" s="24" t="str">
        <x:v>Inferior margin of rib 11</x:v>
      </x:c>
      <x:c r="G227" s="24" t="str">
        <x:v>Superior margin of rib 12</x:v>
      </x:c>
      <x:c r="H227" s="24" t="str">
        <x:v>Segmental rib-to-rib muscle attachment</x:v>
      </x:c>
      <x:c r="I227" s="24" t="str">
        <x:v>Costal periosteum/intercostal membrane; no specific direct ligament</x:v>
      </x:c>
      <x:c r="J227" s="24" t="str">
        <x:v>Mixed Type I and Type II; ratio unverified</x:v>
      </x:c>
      <x:c r="K227" s="24" t="str">
        <x:v>EX0282; EX0283; EX0305; EX0306; EX0307; EX0308; EX0309; EX0311; EX0312; EX0313; EX0315</x:v>
      </x:c>
      <x:c r="L227" s="24" t="str">
        <x:v>EX0304; EX0310; EX0314; EX0349; EX0351</x:v>
      </x:c>
      <x:c r="M227" s="24" t="str">
        <x:v>—</x:v>
      </x:c>
      <x:c r="N227" s="24" t="str">
        <x:v>EX0309; EX0310</x:v>
      </x:c>
      <x:c r="O227" s="24" t="str">
        <x:v>Functional or motor-control activation</x:v>
      </x:c>
      <x:c r="P227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27" s="24" t="str">
        <x:v>Segmental slips act together during respiration; exercise does not isolate one interspace.</x:v>
      </x:c>
    </x:row>
    <x:row r="228" ht="54" customHeight="1">
      <x:c r="A228" s="24" t="str">
        <x:v>External intercostal (interspace 2, R2-R3)</x:v>
      </x:c>
      <x:c r="B228" s="24" t="str">
        <x:v>Thorax &amp; Breathing</x:v>
      </x:c>
      <x:c r="C228" s="24" t="str">
        <x:v>Segment-level fascicle</x:v>
      </x:c>
      <x:c r="D228" s="24" t="str">
        <x:v>Intercostal nerve 2</x:v>
      </x:c>
      <x:c r="E228" s="24" t="str">
        <x:v>T2</x:v>
      </x:c>
      <x:c r="F228" s="24" t="str">
        <x:v>Inferior margin of rib 2</x:v>
      </x:c>
      <x:c r="G228" s="24" t="str">
        <x:v>Superior margin of rib 3</x:v>
      </x:c>
      <x:c r="H228" s="24" t="str">
        <x:v>Segmental rib-to-rib muscle attachment</x:v>
      </x:c>
      <x:c r="I228" s="24" t="str">
        <x:v>Costal periosteum/intercostal membrane; no specific direct ligament</x:v>
      </x:c>
      <x:c r="J228" s="24" t="str">
        <x:v>Mixed Type I and Type II; ratio unverified</x:v>
      </x:c>
      <x:c r="K228" s="24" t="str">
        <x:v>EX0282; EX0283; EX0305; EX0306; EX0307; EX0308; EX0309; EX0311; EX0312; EX0313; EX0315</x:v>
      </x:c>
      <x:c r="L228" s="24" t="str">
        <x:v>EX0304; EX0310; EX0314; EX0349; EX0351</x:v>
      </x:c>
      <x:c r="M228" s="24" t="str">
        <x:v>—</x:v>
      </x:c>
      <x:c r="N228" s="24" t="str">
        <x:v>EX0309; EX0310</x:v>
      </x:c>
      <x:c r="O228" s="24" t="str">
        <x:v>Functional or motor-control activation</x:v>
      </x:c>
      <x:c r="P228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28" s="24" t="str">
        <x:v>Segmental slips act together during respiration; exercise does not isolate one interspace.</x:v>
      </x:c>
    </x:row>
    <x:row r="229" ht="54" customHeight="1">
      <x:c r="A229" s="24" t="str">
        <x:v>External intercostal (interspace 3, R3-R4)</x:v>
      </x:c>
      <x:c r="B229" s="24" t="str">
        <x:v>Thorax &amp; Breathing</x:v>
      </x:c>
      <x:c r="C229" s="24" t="str">
        <x:v>Segment-level fascicle</x:v>
      </x:c>
      <x:c r="D229" s="24" t="str">
        <x:v>Intercostal nerve 3</x:v>
      </x:c>
      <x:c r="E229" s="24" t="str">
        <x:v>T3</x:v>
      </x:c>
      <x:c r="F229" s="24" t="str">
        <x:v>Inferior margin of rib 3</x:v>
      </x:c>
      <x:c r="G229" s="24" t="str">
        <x:v>Superior margin of rib 4</x:v>
      </x:c>
      <x:c r="H229" s="24" t="str">
        <x:v>Segmental rib-to-rib muscle attachment</x:v>
      </x:c>
      <x:c r="I229" s="24" t="str">
        <x:v>Costal periosteum/intercostal membrane; no specific direct ligament</x:v>
      </x:c>
      <x:c r="J229" s="24" t="str">
        <x:v>Mixed Type I and Type II; ratio unverified</x:v>
      </x:c>
      <x:c r="K229" s="24" t="str">
        <x:v>EX0282; EX0283; EX0305; EX0306; EX0307; EX0308; EX0309; EX0311; EX0312; EX0313; EX0315</x:v>
      </x:c>
      <x:c r="L229" s="24" t="str">
        <x:v>EX0304; EX0310; EX0314; EX0349; EX0351</x:v>
      </x:c>
      <x:c r="M229" s="24" t="str">
        <x:v>—</x:v>
      </x:c>
      <x:c r="N229" s="24" t="str">
        <x:v>EX0309; EX0310</x:v>
      </x:c>
      <x:c r="O229" s="24" t="str">
        <x:v>Functional or motor-control activation</x:v>
      </x:c>
      <x:c r="P229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29" s="24" t="str">
        <x:v>Segmental slips act together during respiration; exercise does not isolate one interspace.</x:v>
      </x:c>
    </x:row>
    <x:row r="230" ht="54" customHeight="1">
      <x:c r="A230" s="24" t="str">
        <x:v>External intercostal (interspace 4, R4-R5)</x:v>
      </x:c>
      <x:c r="B230" s="24" t="str">
        <x:v>Thorax &amp; Breathing</x:v>
      </x:c>
      <x:c r="C230" s="24" t="str">
        <x:v>Segment-level fascicle</x:v>
      </x:c>
      <x:c r="D230" s="24" t="str">
        <x:v>Intercostal nerve 4</x:v>
      </x:c>
      <x:c r="E230" s="24" t="str">
        <x:v>T4</x:v>
      </x:c>
      <x:c r="F230" s="24" t="str">
        <x:v>Inferior margin of rib 4</x:v>
      </x:c>
      <x:c r="G230" s="24" t="str">
        <x:v>Superior margin of rib 5</x:v>
      </x:c>
      <x:c r="H230" s="24" t="str">
        <x:v>Segmental rib-to-rib muscle attachment</x:v>
      </x:c>
      <x:c r="I230" s="24" t="str">
        <x:v>Costal periosteum/intercostal membrane; no specific direct ligament</x:v>
      </x:c>
      <x:c r="J230" s="24" t="str">
        <x:v>Mixed Type I and Type II; ratio unverified</x:v>
      </x:c>
      <x:c r="K230" s="24" t="str">
        <x:v>EX0282; EX0283; EX0305; EX0306; EX0307; EX0308; EX0309; EX0311; EX0312; EX0313; EX0315</x:v>
      </x:c>
      <x:c r="L230" s="24" t="str">
        <x:v>EX0304; EX0310; EX0314; EX0349; EX0351</x:v>
      </x:c>
      <x:c r="M230" s="24" t="str">
        <x:v>—</x:v>
      </x:c>
      <x:c r="N230" s="24" t="str">
        <x:v>EX0309; EX0310</x:v>
      </x:c>
      <x:c r="O230" s="24" t="str">
        <x:v>Functional or motor-control activation</x:v>
      </x:c>
      <x:c r="P230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30" s="24" t="str">
        <x:v>Segmental slips act together during respiration; exercise does not isolate one interspace.</x:v>
      </x:c>
    </x:row>
    <x:row r="231" ht="54" customHeight="1">
      <x:c r="A231" s="24" t="str">
        <x:v>External intercostal (interspace 5, R5-R6)</x:v>
      </x:c>
      <x:c r="B231" s="24" t="str">
        <x:v>Thorax &amp; Breathing</x:v>
      </x:c>
      <x:c r="C231" s="24" t="str">
        <x:v>Segment-level fascicle</x:v>
      </x:c>
      <x:c r="D231" s="24" t="str">
        <x:v>Intercostal nerve 5</x:v>
      </x:c>
      <x:c r="E231" s="24" t="str">
        <x:v>T5</x:v>
      </x:c>
      <x:c r="F231" s="24" t="str">
        <x:v>Inferior margin of rib 5</x:v>
      </x:c>
      <x:c r="G231" s="24" t="str">
        <x:v>Superior margin of rib 6</x:v>
      </x:c>
      <x:c r="H231" s="24" t="str">
        <x:v>Segmental rib-to-rib muscle attachment</x:v>
      </x:c>
      <x:c r="I231" s="24" t="str">
        <x:v>Costal periosteum/intercostal membrane; no specific direct ligament</x:v>
      </x:c>
      <x:c r="J231" s="24" t="str">
        <x:v>Mixed Type I and Type II; ratio unverified</x:v>
      </x:c>
      <x:c r="K231" s="24" t="str">
        <x:v>EX0282; EX0283; EX0305; EX0306; EX0307; EX0308; EX0309; EX0311; EX0312; EX0313; EX0315</x:v>
      </x:c>
      <x:c r="L231" s="24" t="str">
        <x:v>EX0304; EX0310; EX0314; EX0349; EX0351</x:v>
      </x:c>
      <x:c r="M231" s="24" t="str">
        <x:v>—</x:v>
      </x:c>
      <x:c r="N231" s="24" t="str">
        <x:v>EX0309; EX0310</x:v>
      </x:c>
      <x:c r="O231" s="24" t="str">
        <x:v>Functional or motor-control activation</x:v>
      </x:c>
      <x:c r="P231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31" s="24" t="str">
        <x:v>Segmental slips act together during respiration; exercise does not isolate one interspace.</x:v>
      </x:c>
    </x:row>
    <x:row r="232" ht="54" customHeight="1">
      <x:c r="A232" s="24" t="str">
        <x:v>External intercostal (interspace 6, R6-R7)</x:v>
      </x:c>
      <x:c r="B232" s="24" t="str">
        <x:v>Thorax &amp; Breathing</x:v>
      </x:c>
      <x:c r="C232" s="24" t="str">
        <x:v>Segment-level fascicle</x:v>
      </x:c>
      <x:c r="D232" s="24" t="str">
        <x:v>Intercostal nerve 6</x:v>
      </x:c>
      <x:c r="E232" s="24" t="str">
        <x:v>T6</x:v>
      </x:c>
      <x:c r="F232" s="24" t="str">
        <x:v>Inferior margin of rib 6</x:v>
      </x:c>
      <x:c r="G232" s="24" t="str">
        <x:v>Superior margin of rib 7</x:v>
      </x:c>
      <x:c r="H232" s="24" t="str">
        <x:v>Segmental rib-to-rib muscle attachment</x:v>
      </x:c>
      <x:c r="I232" s="24" t="str">
        <x:v>Costal periosteum/intercostal membrane; no specific direct ligament</x:v>
      </x:c>
      <x:c r="J232" s="24" t="str">
        <x:v>Mixed Type I and Type II; ratio unverified</x:v>
      </x:c>
      <x:c r="K232" s="24" t="str">
        <x:v>EX0282; EX0283; EX0305; EX0306; EX0307; EX0308; EX0309; EX0311; EX0312; EX0313; EX0315</x:v>
      </x:c>
      <x:c r="L232" s="24" t="str">
        <x:v>EX0304; EX0310; EX0314; EX0349; EX0351</x:v>
      </x:c>
      <x:c r="M232" s="24" t="str">
        <x:v>—</x:v>
      </x:c>
      <x:c r="N232" s="24" t="str">
        <x:v>EX0309; EX0310</x:v>
      </x:c>
      <x:c r="O232" s="24" t="str">
        <x:v>Functional or motor-control activation</x:v>
      </x:c>
      <x:c r="P232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32" s="24" t="str">
        <x:v>Segmental slips act together during respiration; exercise does not isolate one interspace.</x:v>
      </x:c>
    </x:row>
    <x:row r="233" ht="54" customHeight="1">
      <x:c r="A233" s="24" t="str">
        <x:v>External intercostal (interspace 7, R7-R8)</x:v>
      </x:c>
      <x:c r="B233" s="24" t="str">
        <x:v>Thorax &amp; Breathing</x:v>
      </x:c>
      <x:c r="C233" s="24" t="str">
        <x:v>Segment-level fascicle</x:v>
      </x:c>
      <x:c r="D233" s="24" t="str">
        <x:v>Intercostal nerve 7</x:v>
      </x:c>
      <x:c r="E233" s="24" t="str">
        <x:v>T7</x:v>
      </x:c>
      <x:c r="F233" s="24" t="str">
        <x:v>Inferior margin of rib 7</x:v>
      </x:c>
      <x:c r="G233" s="24" t="str">
        <x:v>Superior margin of rib 8</x:v>
      </x:c>
      <x:c r="H233" s="24" t="str">
        <x:v>Segmental rib-to-rib muscle attachment</x:v>
      </x:c>
      <x:c r="I233" s="24" t="str">
        <x:v>Costal periosteum/intercostal membrane; no specific direct ligament</x:v>
      </x:c>
      <x:c r="J233" s="24" t="str">
        <x:v>Mixed Type I and Type II; ratio unverified</x:v>
      </x:c>
      <x:c r="K233" s="24" t="str">
        <x:v>EX0282; EX0283; EX0305; EX0306; EX0307; EX0308; EX0309; EX0311; EX0312; EX0313; EX0315</x:v>
      </x:c>
      <x:c r="L233" s="24" t="str">
        <x:v>EX0304; EX0310; EX0314; EX0349; EX0351</x:v>
      </x:c>
      <x:c r="M233" s="24" t="str">
        <x:v>—</x:v>
      </x:c>
      <x:c r="N233" s="24" t="str">
        <x:v>EX0309; EX0310</x:v>
      </x:c>
      <x:c r="O233" s="24" t="str">
        <x:v>Functional or motor-control activation</x:v>
      </x:c>
      <x:c r="P233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33" s="24" t="str">
        <x:v>Segmental slips act together during respiration; exercise does not isolate one interspace.</x:v>
      </x:c>
    </x:row>
    <x:row r="234" ht="54" customHeight="1">
      <x:c r="A234" s="24" t="str">
        <x:v>External intercostal (interspace 8, R8-R9)</x:v>
      </x:c>
      <x:c r="B234" s="24" t="str">
        <x:v>Thorax &amp; Breathing</x:v>
      </x:c>
      <x:c r="C234" s="24" t="str">
        <x:v>Segment-level fascicle</x:v>
      </x:c>
      <x:c r="D234" s="24" t="str">
        <x:v>Intercostal nerve 8</x:v>
      </x:c>
      <x:c r="E234" s="24" t="str">
        <x:v>T8</x:v>
      </x:c>
      <x:c r="F234" s="24" t="str">
        <x:v>Inferior margin of rib 8</x:v>
      </x:c>
      <x:c r="G234" s="24" t="str">
        <x:v>Superior margin of rib 9</x:v>
      </x:c>
      <x:c r="H234" s="24" t="str">
        <x:v>Segmental rib-to-rib muscle attachment</x:v>
      </x:c>
      <x:c r="I234" s="24" t="str">
        <x:v>Costal periosteum/intercostal membrane; no specific direct ligament</x:v>
      </x:c>
      <x:c r="J234" s="24" t="str">
        <x:v>Mixed Type I and Type II; ratio unverified</x:v>
      </x:c>
      <x:c r="K234" s="24" t="str">
        <x:v>EX0282; EX0283; EX0305; EX0306; EX0307; EX0308; EX0309; EX0311; EX0312; EX0313; EX0315</x:v>
      </x:c>
      <x:c r="L234" s="24" t="str">
        <x:v>EX0304; EX0310; EX0314; EX0349; EX0351</x:v>
      </x:c>
      <x:c r="M234" s="24" t="str">
        <x:v>—</x:v>
      </x:c>
      <x:c r="N234" s="24" t="str">
        <x:v>EX0309; EX0310</x:v>
      </x:c>
      <x:c r="O234" s="24" t="str">
        <x:v>Functional or motor-control activation</x:v>
      </x:c>
      <x:c r="P234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34" s="24" t="str">
        <x:v>Segmental slips act together during respiration; exercise does not isolate one interspace.</x:v>
      </x:c>
    </x:row>
    <x:row r="235" ht="54" customHeight="1">
      <x:c r="A235" s="24" t="str">
        <x:v>External intercostal (interspace 9, R9-R10)</x:v>
      </x:c>
      <x:c r="B235" s="24" t="str">
        <x:v>Thorax &amp; Breathing</x:v>
      </x:c>
      <x:c r="C235" s="24" t="str">
        <x:v>Segment-level fascicle</x:v>
      </x:c>
      <x:c r="D235" s="24" t="str">
        <x:v>Intercostal nerve 9</x:v>
      </x:c>
      <x:c r="E235" s="24" t="str">
        <x:v>T9</x:v>
      </x:c>
      <x:c r="F235" s="24" t="str">
        <x:v>Inferior margin of rib 9</x:v>
      </x:c>
      <x:c r="G235" s="24" t="str">
        <x:v>Superior margin of rib 10</x:v>
      </x:c>
      <x:c r="H235" s="24" t="str">
        <x:v>Segmental rib-to-rib muscle attachment</x:v>
      </x:c>
      <x:c r="I235" s="24" t="str">
        <x:v>Costal periosteum/intercostal membrane; no specific direct ligament</x:v>
      </x:c>
      <x:c r="J235" s="24" t="str">
        <x:v>Mixed Type I and Type II; ratio unverified</x:v>
      </x:c>
      <x:c r="K235" s="24" t="str">
        <x:v>EX0282; EX0283; EX0305; EX0306; EX0307; EX0308; EX0309; EX0311; EX0312; EX0313; EX0315</x:v>
      </x:c>
      <x:c r="L235" s="24" t="str">
        <x:v>EX0304; EX0310; EX0314; EX0349; EX0351</x:v>
      </x:c>
      <x:c r="M235" s="24" t="str">
        <x:v>—</x:v>
      </x:c>
      <x:c r="N235" s="24" t="str">
        <x:v>EX0309; EX0310</x:v>
      </x:c>
      <x:c r="O235" s="24" t="str">
        <x:v>Functional or motor-control activation</x:v>
      </x:c>
      <x:c r="P235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35" s="24" t="str">
        <x:v>Segmental slips act together during respiration; exercise does not isolate one interspace.</x:v>
      </x:c>
    </x:row>
    <x:row r="236" ht="54" customHeight="1">
      <x:c r="A236" s="24" t="str">
        <x:v>Innermost intercostal (interspace 1, R1-R2)</x:v>
      </x:c>
      <x:c r="B236" s="24" t="str">
        <x:v>Thorax &amp; Breathing</x:v>
      </x:c>
      <x:c r="C236" s="24" t="str">
        <x:v>Segment-level fascicle</x:v>
      </x:c>
      <x:c r="D236" s="24" t="str">
        <x:v>Intercostal nerve 1</x:v>
      </x:c>
      <x:c r="E236" s="24" t="str">
        <x:v>T1</x:v>
      </x:c>
      <x:c r="F236" s="24" t="str">
        <x:v>Inferior margin of rib 1</x:v>
      </x:c>
      <x:c r="G236" s="24" t="str">
        <x:v>Superior margin of rib 2</x:v>
      </x:c>
      <x:c r="H236" s="24" t="str">
        <x:v>Segmental rib-to-rib muscle attachment</x:v>
      </x:c>
      <x:c r="I236" s="24" t="str">
        <x:v>Costal periosteum/intercostal membrane; no specific direct ligament</x:v>
      </x:c>
      <x:c r="J236" s="24" t="str">
        <x:v>Mixed Type I and Type II; ratio unverified</x:v>
      </x:c>
      <x:c r="K236" s="24" t="str">
        <x:v>EX0282; EX0283; EX0305; EX0306; EX0307; EX0308; EX0309; EX0311; EX0312; EX0313; EX0315</x:v>
      </x:c>
      <x:c r="L236" s="24" t="str">
        <x:v>EX0304; EX0310; EX0314; EX0349; EX0351</x:v>
      </x:c>
      <x:c r="M236" s="24" t="str">
        <x:v>—</x:v>
      </x:c>
      <x:c r="N236" s="24" t="str">
        <x:v>EX0309; EX0310</x:v>
      </x:c>
      <x:c r="O236" s="24" t="str">
        <x:v>Functional or motor-control activation</x:v>
      </x:c>
      <x:c r="P236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36" s="24" t="str">
        <x:v>Segmental slips act together during respiration; exercise does not isolate one interspace.</x:v>
      </x:c>
    </x:row>
    <x:row r="237" ht="54" customHeight="1">
      <x:c r="A237" s="24" t="str">
        <x:v>Innermost intercostal (interspace 10, R10-R11)</x:v>
      </x:c>
      <x:c r="B237" s="24" t="str">
        <x:v>Thorax &amp; Breathing</x:v>
      </x:c>
      <x:c r="C237" s="24" t="str">
        <x:v>Segment-level fascicle</x:v>
      </x:c>
      <x:c r="D237" s="24" t="str">
        <x:v>Intercostal nerve 10</x:v>
      </x:c>
      <x:c r="E237" s="24" t="str">
        <x:v>T10</x:v>
      </x:c>
      <x:c r="F237" s="24" t="str">
        <x:v>Inferior margin of rib 10</x:v>
      </x:c>
      <x:c r="G237" s="24" t="str">
        <x:v>Superior margin of rib 11</x:v>
      </x:c>
      <x:c r="H237" s="24" t="str">
        <x:v>Segmental rib-to-rib muscle attachment</x:v>
      </x:c>
      <x:c r="I237" s="24" t="str">
        <x:v>Costal periosteum/intercostal membrane; no specific direct ligament</x:v>
      </x:c>
      <x:c r="J237" s="24" t="str">
        <x:v>Mixed Type I and Type II; ratio unverified</x:v>
      </x:c>
      <x:c r="K237" s="24" t="str">
        <x:v>EX0282; EX0283; EX0305; EX0306; EX0307; EX0308; EX0309; EX0311; EX0312; EX0313; EX0315</x:v>
      </x:c>
      <x:c r="L237" s="24" t="str">
        <x:v>EX0304; EX0310; EX0314; EX0349; EX0351</x:v>
      </x:c>
      <x:c r="M237" s="24" t="str">
        <x:v>—</x:v>
      </x:c>
      <x:c r="N237" s="24" t="str">
        <x:v>EX0309; EX0310</x:v>
      </x:c>
      <x:c r="O237" s="24" t="str">
        <x:v>Functional or motor-control activation</x:v>
      </x:c>
      <x:c r="P237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37" s="24" t="str">
        <x:v>Segmental slips act together during respiration; exercise does not isolate one interspace.</x:v>
      </x:c>
    </x:row>
    <x:row r="238" ht="54" customHeight="1">
      <x:c r="A238" s="24" t="str">
        <x:v>Innermost intercostal (interspace 11, R11-R12)</x:v>
      </x:c>
      <x:c r="B238" s="24" t="str">
        <x:v>Thorax &amp; Breathing</x:v>
      </x:c>
      <x:c r="C238" s="24" t="str">
        <x:v>Segment-level fascicle</x:v>
      </x:c>
      <x:c r="D238" s="24" t="str">
        <x:v>Intercostal nerve 11</x:v>
      </x:c>
      <x:c r="E238" s="24" t="str">
        <x:v>T11</x:v>
      </x:c>
      <x:c r="F238" s="24" t="str">
        <x:v>Inferior margin of rib 11</x:v>
      </x:c>
      <x:c r="G238" s="24" t="str">
        <x:v>Superior margin of rib 12</x:v>
      </x:c>
      <x:c r="H238" s="24" t="str">
        <x:v>Segmental rib-to-rib muscle attachment</x:v>
      </x:c>
      <x:c r="I238" s="24" t="str">
        <x:v>Costal periosteum/intercostal membrane; no specific direct ligament</x:v>
      </x:c>
      <x:c r="J238" s="24" t="str">
        <x:v>Mixed Type I and Type II; ratio unverified</x:v>
      </x:c>
      <x:c r="K238" s="24" t="str">
        <x:v>EX0282; EX0283; EX0305; EX0306; EX0307; EX0308; EX0309; EX0311; EX0312; EX0313; EX0315</x:v>
      </x:c>
      <x:c r="L238" s="24" t="str">
        <x:v>EX0304; EX0310; EX0314; EX0349; EX0351</x:v>
      </x:c>
      <x:c r="M238" s="24" t="str">
        <x:v>—</x:v>
      </x:c>
      <x:c r="N238" s="24" t="str">
        <x:v>EX0309; EX0310</x:v>
      </x:c>
      <x:c r="O238" s="24" t="str">
        <x:v>Functional or motor-control activation</x:v>
      </x:c>
      <x:c r="P238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38" s="24" t="str">
        <x:v>Segmental slips act together during respiration; exercise does not isolate one interspace.</x:v>
      </x:c>
    </x:row>
    <x:row r="239" ht="54" customHeight="1">
      <x:c r="A239" s="24" t="str">
        <x:v>Innermost intercostal (interspace 2, R2-R3)</x:v>
      </x:c>
      <x:c r="B239" s="24" t="str">
        <x:v>Thorax &amp; Breathing</x:v>
      </x:c>
      <x:c r="C239" s="24" t="str">
        <x:v>Segment-level fascicle</x:v>
      </x:c>
      <x:c r="D239" s="24" t="str">
        <x:v>Intercostal nerve 2</x:v>
      </x:c>
      <x:c r="E239" s="24" t="str">
        <x:v>T2</x:v>
      </x:c>
      <x:c r="F239" s="24" t="str">
        <x:v>Inferior margin of rib 2</x:v>
      </x:c>
      <x:c r="G239" s="24" t="str">
        <x:v>Superior margin of rib 3</x:v>
      </x:c>
      <x:c r="H239" s="24" t="str">
        <x:v>Segmental rib-to-rib muscle attachment</x:v>
      </x:c>
      <x:c r="I239" s="24" t="str">
        <x:v>Costal periosteum/intercostal membrane; no specific direct ligament</x:v>
      </x:c>
      <x:c r="J239" s="24" t="str">
        <x:v>Mixed Type I and Type II; ratio unverified</x:v>
      </x:c>
      <x:c r="K239" s="24" t="str">
        <x:v>EX0282; EX0283; EX0305; EX0306; EX0307; EX0308; EX0309; EX0311; EX0312; EX0313; EX0315</x:v>
      </x:c>
      <x:c r="L239" s="24" t="str">
        <x:v>EX0304; EX0310; EX0314; EX0349; EX0351</x:v>
      </x:c>
      <x:c r="M239" s="24" t="str">
        <x:v>—</x:v>
      </x:c>
      <x:c r="N239" s="24" t="str">
        <x:v>EX0309; EX0310</x:v>
      </x:c>
      <x:c r="O239" s="24" t="str">
        <x:v>Functional or motor-control activation</x:v>
      </x:c>
      <x:c r="P239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39" s="24" t="str">
        <x:v>Segmental slips act together during respiration; exercise does not isolate one interspace.</x:v>
      </x:c>
    </x:row>
    <x:row r="240" ht="54" customHeight="1">
      <x:c r="A240" s="24" t="str">
        <x:v>Innermost intercostal (interspace 3, R3-R4)</x:v>
      </x:c>
      <x:c r="B240" s="24" t="str">
        <x:v>Thorax &amp; Breathing</x:v>
      </x:c>
      <x:c r="C240" s="24" t="str">
        <x:v>Segment-level fascicle</x:v>
      </x:c>
      <x:c r="D240" s="24" t="str">
        <x:v>Intercostal nerve 3</x:v>
      </x:c>
      <x:c r="E240" s="24" t="str">
        <x:v>T3</x:v>
      </x:c>
      <x:c r="F240" s="24" t="str">
        <x:v>Inferior margin of rib 3</x:v>
      </x:c>
      <x:c r="G240" s="24" t="str">
        <x:v>Superior margin of rib 4</x:v>
      </x:c>
      <x:c r="H240" s="24" t="str">
        <x:v>Segmental rib-to-rib muscle attachment</x:v>
      </x:c>
      <x:c r="I240" s="24" t="str">
        <x:v>Costal periosteum/intercostal membrane; no specific direct ligament</x:v>
      </x:c>
      <x:c r="J240" s="24" t="str">
        <x:v>Mixed Type I and Type II; ratio unverified</x:v>
      </x:c>
      <x:c r="K240" s="24" t="str">
        <x:v>EX0282; EX0283; EX0305; EX0306; EX0307; EX0308; EX0309; EX0311; EX0312; EX0313; EX0315</x:v>
      </x:c>
      <x:c r="L240" s="24" t="str">
        <x:v>EX0304; EX0310; EX0314; EX0349; EX0351</x:v>
      </x:c>
      <x:c r="M240" s="24" t="str">
        <x:v>—</x:v>
      </x:c>
      <x:c r="N240" s="24" t="str">
        <x:v>EX0309; EX0310</x:v>
      </x:c>
      <x:c r="O240" s="24" t="str">
        <x:v>Functional or motor-control activation</x:v>
      </x:c>
      <x:c r="P240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40" s="24" t="str">
        <x:v>Segmental slips act together during respiration; exercise does not isolate one interspace.</x:v>
      </x:c>
    </x:row>
    <x:row r="241" ht="54" customHeight="1">
      <x:c r="A241" s="24" t="str">
        <x:v>Innermost intercostal (interspace 4, R4-R5)</x:v>
      </x:c>
      <x:c r="B241" s="24" t="str">
        <x:v>Thorax &amp; Breathing</x:v>
      </x:c>
      <x:c r="C241" s="24" t="str">
        <x:v>Segment-level fascicle</x:v>
      </x:c>
      <x:c r="D241" s="24" t="str">
        <x:v>Intercostal nerve 4</x:v>
      </x:c>
      <x:c r="E241" s="24" t="str">
        <x:v>T4</x:v>
      </x:c>
      <x:c r="F241" s="24" t="str">
        <x:v>Inferior margin of rib 4</x:v>
      </x:c>
      <x:c r="G241" s="24" t="str">
        <x:v>Superior margin of rib 5</x:v>
      </x:c>
      <x:c r="H241" s="24" t="str">
        <x:v>Segmental rib-to-rib muscle attachment</x:v>
      </x:c>
      <x:c r="I241" s="24" t="str">
        <x:v>Costal periosteum/intercostal membrane; no specific direct ligament</x:v>
      </x:c>
      <x:c r="J241" s="24" t="str">
        <x:v>Mixed Type I and Type II; ratio unverified</x:v>
      </x:c>
      <x:c r="K241" s="24" t="str">
        <x:v>EX0282; EX0283; EX0305; EX0306; EX0307; EX0308; EX0309; EX0311; EX0312; EX0313; EX0315</x:v>
      </x:c>
      <x:c r="L241" s="24" t="str">
        <x:v>EX0304; EX0310; EX0314; EX0349; EX0351</x:v>
      </x:c>
      <x:c r="M241" s="24" t="str">
        <x:v>—</x:v>
      </x:c>
      <x:c r="N241" s="24" t="str">
        <x:v>EX0309; EX0310</x:v>
      </x:c>
      <x:c r="O241" s="24" t="str">
        <x:v>Functional or motor-control activation</x:v>
      </x:c>
      <x:c r="P241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41" s="24" t="str">
        <x:v>Segmental slips act together during respiration; exercise does not isolate one interspace.</x:v>
      </x:c>
    </x:row>
    <x:row r="242" ht="54" customHeight="1">
      <x:c r="A242" s="24" t="str">
        <x:v>Innermost intercostal (interspace 5, R5-R6)</x:v>
      </x:c>
      <x:c r="B242" s="24" t="str">
        <x:v>Thorax &amp; Breathing</x:v>
      </x:c>
      <x:c r="C242" s="24" t="str">
        <x:v>Segment-level fascicle</x:v>
      </x:c>
      <x:c r="D242" s="24" t="str">
        <x:v>Intercostal nerve 5</x:v>
      </x:c>
      <x:c r="E242" s="24" t="str">
        <x:v>T5</x:v>
      </x:c>
      <x:c r="F242" s="24" t="str">
        <x:v>Inferior margin of rib 5</x:v>
      </x:c>
      <x:c r="G242" s="24" t="str">
        <x:v>Superior margin of rib 6</x:v>
      </x:c>
      <x:c r="H242" s="24" t="str">
        <x:v>Segmental rib-to-rib muscle attachment</x:v>
      </x:c>
      <x:c r="I242" s="24" t="str">
        <x:v>Costal periosteum/intercostal membrane; no specific direct ligament</x:v>
      </x:c>
      <x:c r="J242" s="24" t="str">
        <x:v>Mixed Type I and Type II; ratio unverified</x:v>
      </x:c>
      <x:c r="K242" s="24" t="str">
        <x:v>EX0282; EX0283; EX0305; EX0306; EX0307; EX0308; EX0309; EX0311; EX0312; EX0313; EX0315</x:v>
      </x:c>
      <x:c r="L242" s="24" t="str">
        <x:v>EX0304; EX0310; EX0314; EX0349; EX0351</x:v>
      </x:c>
      <x:c r="M242" s="24" t="str">
        <x:v>—</x:v>
      </x:c>
      <x:c r="N242" s="24" t="str">
        <x:v>EX0309; EX0310</x:v>
      </x:c>
      <x:c r="O242" s="24" t="str">
        <x:v>Functional or motor-control activation</x:v>
      </x:c>
      <x:c r="P242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42" s="24" t="str">
        <x:v>Segmental slips act together during respiration; exercise does not isolate one interspace.</x:v>
      </x:c>
    </x:row>
    <x:row r="243" ht="54" customHeight="1">
      <x:c r="A243" s="24" t="str">
        <x:v>Innermost intercostal (interspace 6, R6-R7)</x:v>
      </x:c>
      <x:c r="B243" s="24" t="str">
        <x:v>Thorax &amp; Breathing</x:v>
      </x:c>
      <x:c r="C243" s="24" t="str">
        <x:v>Segment-level fascicle</x:v>
      </x:c>
      <x:c r="D243" s="24" t="str">
        <x:v>Intercostal nerve 6</x:v>
      </x:c>
      <x:c r="E243" s="24" t="str">
        <x:v>T6</x:v>
      </x:c>
      <x:c r="F243" s="24" t="str">
        <x:v>Inferior margin of rib 6</x:v>
      </x:c>
      <x:c r="G243" s="24" t="str">
        <x:v>Superior margin of rib 7</x:v>
      </x:c>
      <x:c r="H243" s="24" t="str">
        <x:v>Segmental rib-to-rib muscle attachment</x:v>
      </x:c>
      <x:c r="I243" s="24" t="str">
        <x:v>Costal periosteum/intercostal membrane; no specific direct ligament</x:v>
      </x:c>
      <x:c r="J243" s="24" t="str">
        <x:v>Mixed Type I and Type II; ratio unverified</x:v>
      </x:c>
      <x:c r="K243" s="24" t="str">
        <x:v>EX0282; EX0283; EX0305; EX0306; EX0307; EX0308; EX0309; EX0311; EX0312; EX0313; EX0315</x:v>
      </x:c>
      <x:c r="L243" s="24" t="str">
        <x:v>EX0304; EX0310; EX0314; EX0349; EX0351</x:v>
      </x:c>
      <x:c r="M243" s="24" t="str">
        <x:v>—</x:v>
      </x:c>
      <x:c r="N243" s="24" t="str">
        <x:v>EX0309; EX0310</x:v>
      </x:c>
      <x:c r="O243" s="24" t="str">
        <x:v>Functional or motor-control activation</x:v>
      </x:c>
      <x:c r="P243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43" s="24" t="str">
        <x:v>Segmental slips act together during respiration; exercise does not isolate one interspace.</x:v>
      </x:c>
    </x:row>
    <x:row r="244" ht="54" customHeight="1">
      <x:c r="A244" s="24" t="str">
        <x:v>Innermost intercostal (interspace 7, R7-R8)</x:v>
      </x:c>
      <x:c r="B244" s="24" t="str">
        <x:v>Thorax &amp; Breathing</x:v>
      </x:c>
      <x:c r="C244" s="24" t="str">
        <x:v>Segment-level fascicle</x:v>
      </x:c>
      <x:c r="D244" s="24" t="str">
        <x:v>Intercostal nerve 7</x:v>
      </x:c>
      <x:c r="E244" s="24" t="str">
        <x:v>T7</x:v>
      </x:c>
      <x:c r="F244" s="24" t="str">
        <x:v>Inferior margin of rib 7</x:v>
      </x:c>
      <x:c r="G244" s="24" t="str">
        <x:v>Superior margin of rib 8</x:v>
      </x:c>
      <x:c r="H244" s="24" t="str">
        <x:v>Segmental rib-to-rib muscle attachment</x:v>
      </x:c>
      <x:c r="I244" s="24" t="str">
        <x:v>Costal periosteum/intercostal membrane; no specific direct ligament</x:v>
      </x:c>
      <x:c r="J244" s="24" t="str">
        <x:v>Mixed Type I and Type II; ratio unverified</x:v>
      </x:c>
      <x:c r="K244" s="24" t="str">
        <x:v>EX0282; EX0283; EX0305; EX0306; EX0307; EX0308; EX0309; EX0311; EX0312; EX0313; EX0315</x:v>
      </x:c>
      <x:c r="L244" s="24" t="str">
        <x:v>EX0304; EX0310; EX0314; EX0349; EX0351</x:v>
      </x:c>
      <x:c r="M244" s="24" t="str">
        <x:v>—</x:v>
      </x:c>
      <x:c r="N244" s="24" t="str">
        <x:v>EX0309; EX0310</x:v>
      </x:c>
      <x:c r="O244" s="24" t="str">
        <x:v>Functional or motor-control activation</x:v>
      </x:c>
      <x:c r="P244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44" s="24" t="str">
        <x:v>Segmental slips act together during respiration; exercise does not isolate one interspace.</x:v>
      </x:c>
    </x:row>
    <x:row r="245" ht="54" customHeight="1">
      <x:c r="A245" s="24" t="str">
        <x:v>Innermost intercostal (interspace 8, R8-R9)</x:v>
      </x:c>
      <x:c r="B245" s="24" t="str">
        <x:v>Thorax &amp; Breathing</x:v>
      </x:c>
      <x:c r="C245" s="24" t="str">
        <x:v>Segment-level fascicle</x:v>
      </x:c>
      <x:c r="D245" s="24" t="str">
        <x:v>Intercostal nerve 8</x:v>
      </x:c>
      <x:c r="E245" s="24" t="str">
        <x:v>T8</x:v>
      </x:c>
      <x:c r="F245" s="24" t="str">
        <x:v>Inferior margin of rib 8</x:v>
      </x:c>
      <x:c r="G245" s="24" t="str">
        <x:v>Superior margin of rib 9</x:v>
      </x:c>
      <x:c r="H245" s="24" t="str">
        <x:v>Segmental rib-to-rib muscle attachment</x:v>
      </x:c>
      <x:c r="I245" s="24" t="str">
        <x:v>Costal periosteum/intercostal membrane; no specific direct ligament</x:v>
      </x:c>
      <x:c r="J245" s="24" t="str">
        <x:v>Mixed Type I and Type II; ratio unverified</x:v>
      </x:c>
      <x:c r="K245" s="24" t="str">
        <x:v>EX0282; EX0283; EX0305; EX0306; EX0307; EX0308; EX0309; EX0311; EX0312; EX0313; EX0315</x:v>
      </x:c>
      <x:c r="L245" s="24" t="str">
        <x:v>EX0304; EX0310; EX0314; EX0349; EX0351</x:v>
      </x:c>
      <x:c r="M245" s="24" t="str">
        <x:v>—</x:v>
      </x:c>
      <x:c r="N245" s="24" t="str">
        <x:v>EX0309; EX0310</x:v>
      </x:c>
      <x:c r="O245" s="24" t="str">
        <x:v>Functional or motor-control activation</x:v>
      </x:c>
      <x:c r="P245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45" s="24" t="str">
        <x:v>Segmental slips act together during respiration; exercise does not isolate one interspace.</x:v>
      </x:c>
    </x:row>
    <x:row r="246" ht="54" customHeight="1">
      <x:c r="A246" s="24" t="str">
        <x:v>Innermost intercostal (interspace 9, R9-R10)</x:v>
      </x:c>
      <x:c r="B246" s="24" t="str">
        <x:v>Thorax &amp; Breathing</x:v>
      </x:c>
      <x:c r="C246" s="24" t="str">
        <x:v>Segment-level fascicle</x:v>
      </x:c>
      <x:c r="D246" s="24" t="str">
        <x:v>Intercostal nerve 9</x:v>
      </x:c>
      <x:c r="E246" s="24" t="str">
        <x:v>T9</x:v>
      </x:c>
      <x:c r="F246" s="24" t="str">
        <x:v>Inferior margin of rib 9</x:v>
      </x:c>
      <x:c r="G246" s="24" t="str">
        <x:v>Superior margin of rib 10</x:v>
      </x:c>
      <x:c r="H246" s="24" t="str">
        <x:v>Segmental rib-to-rib muscle attachment</x:v>
      </x:c>
      <x:c r="I246" s="24" t="str">
        <x:v>Costal periosteum/intercostal membrane; no specific direct ligament</x:v>
      </x:c>
      <x:c r="J246" s="24" t="str">
        <x:v>Mixed Type I and Type II; ratio unverified</x:v>
      </x:c>
      <x:c r="K246" s="24" t="str">
        <x:v>EX0282; EX0283; EX0305; EX0306; EX0307; EX0308; EX0309; EX0311; EX0312; EX0313; EX0315</x:v>
      </x:c>
      <x:c r="L246" s="24" t="str">
        <x:v>EX0304; EX0310; EX0314; EX0349; EX0351</x:v>
      </x:c>
      <x:c r="M246" s="24" t="str">
        <x:v>—</x:v>
      </x:c>
      <x:c r="N246" s="24" t="str">
        <x:v>EX0309; EX0310</x:v>
      </x:c>
      <x:c r="O246" s="24" t="str">
        <x:v>Functional or motor-control activation</x:v>
      </x:c>
      <x:c r="P246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46" s="24" t="str">
        <x:v>Segmental slips act together during respiration; exercise does not isolate one interspace.</x:v>
      </x:c>
    </x:row>
    <x:row r="247" ht="54" customHeight="1">
      <x:c r="A247" s="24" t="str">
        <x:v>Internal intercostal (interspace 1, R1-R2)</x:v>
      </x:c>
      <x:c r="B247" s="24" t="str">
        <x:v>Thorax &amp; Breathing</x:v>
      </x:c>
      <x:c r="C247" s="24" t="str">
        <x:v>Segment-level fascicle</x:v>
      </x:c>
      <x:c r="D247" s="24" t="str">
        <x:v>Intercostal nerve 1</x:v>
      </x:c>
      <x:c r="E247" s="24" t="str">
        <x:v>T1</x:v>
      </x:c>
      <x:c r="F247" s="24" t="str">
        <x:v>Inferior margin of rib 1</x:v>
      </x:c>
      <x:c r="G247" s="24" t="str">
        <x:v>Superior margin of rib 2</x:v>
      </x:c>
      <x:c r="H247" s="24" t="str">
        <x:v>Segmental rib-to-rib muscle attachment</x:v>
      </x:c>
      <x:c r="I247" s="24" t="str">
        <x:v>Costal periosteum/intercostal membrane; no specific direct ligament</x:v>
      </x:c>
      <x:c r="J247" s="24" t="str">
        <x:v>Mixed Type I and Type II; ratio unverified</x:v>
      </x:c>
      <x:c r="K247" s="24" t="str">
        <x:v>EX0282; EX0283; EX0305; EX0306; EX0307; EX0308; EX0309; EX0311; EX0312; EX0313; EX0315</x:v>
      </x:c>
      <x:c r="L247" s="24" t="str">
        <x:v>EX0304; EX0310; EX0314; EX0349; EX0351</x:v>
      </x:c>
      <x:c r="M247" s="24" t="str">
        <x:v>—</x:v>
      </x:c>
      <x:c r="N247" s="24" t="str">
        <x:v>EX0309; EX0310</x:v>
      </x:c>
      <x:c r="O247" s="24" t="str">
        <x:v>Functional or motor-control activation</x:v>
      </x:c>
      <x:c r="P247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47" s="24" t="str">
        <x:v>Segmental slips act together during respiration; exercise does not isolate one interspace.</x:v>
      </x:c>
    </x:row>
    <x:row r="248" ht="54" customHeight="1">
      <x:c r="A248" s="24" t="str">
        <x:v>Internal intercostal (interspace 10, R10-R11)</x:v>
      </x:c>
      <x:c r="B248" s="24" t="str">
        <x:v>Thorax &amp; Breathing</x:v>
      </x:c>
      <x:c r="C248" s="24" t="str">
        <x:v>Segment-level fascicle</x:v>
      </x:c>
      <x:c r="D248" s="24" t="str">
        <x:v>Intercostal nerve 10</x:v>
      </x:c>
      <x:c r="E248" s="24" t="str">
        <x:v>T10</x:v>
      </x:c>
      <x:c r="F248" s="24" t="str">
        <x:v>Inferior margin of rib 10</x:v>
      </x:c>
      <x:c r="G248" s="24" t="str">
        <x:v>Superior margin of rib 11</x:v>
      </x:c>
      <x:c r="H248" s="24" t="str">
        <x:v>Segmental rib-to-rib muscle attachment</x:v>
      </x:c>
      <x:c r="I248" s="24" t="str">
        <x:v>Costal periosteum/intercostal membrane; no specific direct ligament</x:v>
      </x:c>
      <x:c r="J248" s="24" t="str">
        <x:v>Mixed Type I and Type II; ratio unverified</x:v>
      </x:c>
      <x:c r="K248" s="24" t="str">
        <x:v>EX0282; EX0283; EX0305; EX0306; EX0307; EX0308; EX0309; EX0311; EX0312; EX0313; EX0315</x:v>
      </x:c>
      <x:c r="L248" s="24" t="str">
        <x:v>EX0304; EX0310; EX0314; EX0349; EX0351</x:v>
      </x:c>
      <x:c r="M248" s="24" t="str">
        <x:v>—</x:v>
      </x:c>
      <x:c r="N248" s="24" t="str">
        <x:v>EX0309; EX0310</x:v>
      </x:c>
      <x:c r="O248" s="24" t="str">
        <x:v>Functional or motor-control activation</x:v>
      </x:c>
      <x:c r="P248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48" s="24" t="str">
        <x:v>Segmental slips act together during respiration; exercise does not isolate one interspace.</x:v>
      </x:c>
    </x:row>
    <x:row r="249" ht="54" customHeight="1">
      <x:c r="A249" s="24" t="str">
        <x:v>Internal intercostal (interspace 11, R11-R12)</x:v>
      </x:c>
      <x:c r="B249" s="24" t="str">
        <x:v>Thorax &amp; Breathing</x:v>
      </x:c>
      <x:c r="C249" s="24" t="str">
        <x:v>Segment-level fascicle</x:v>
      </x:c>
      <x:c r="D249" s="24" t="str">
        <x:v>Intercostal nerve 11</x:v>
      </x:c>
      <x:c r="E249" s="24" t="str">
        <x:v>T11</x:v>
      </x:c>
      <x:c r="F249" s="24" t="str">
        <x:v>Inferior margin of rib 11</x:v>
      </x:c>
      <x:c r="G249" s="24" t="str">
        <x:v>Superior margin of rib 12</x:v>
      </x:c>
      <x:c r="H249" s="24" t="str">
        <x:v>Segmental rib-to-rib muscle attachment</x:v>
      </x:c>
      <x:c r="I249" s="24" t="str">
        <x:v>Costal periosteum/intercostal membrane; no specific direct ligament</x:v>
      </x:c>
      <x:c r="J249" s="24" t="str">
        <x:v>Mixed Type I and Type II; ratio unverified</x:v>
      </x:c>
      <x:c r="K249" s="24" t="str">
        <x:v>EX0282; EX0283; EX0305; EX0306; EX0307; EX0308; EX0309; EX0311; EX0312; EX0313; EX0315</x:v>
      </x:c>
      <x:c r="L249" s="24" t="str">
        <x:v>EX0304; EX0310; EX0314; EX0349; EX0351</x:v>
      </x:c>
      <x:c r="M249" s="24" t="str">
        <x:v>—</x:v>
      </x:c>
      <x:c r="N249" s="24" t="str">
        <x:v>EX0309; EX0310</x:v>
      </x:c>
      <x:c r="O249" s="24" t="str">
        <x:v>Functional or motor-control activation</x:v>
      </x:c>
      <x:c r="P249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49" s="24" t="str">
        <x:v>Segmental slips act together during respiration; exercise does not isolate one interspace.</x:v>
      </x:c>
    </x:row>
    <x:row r="250" ht="54" customHeight="1">
      <x:c r="A250" s="24" t="str">
        <x:v>Internal intercostal (interspace 2, R2-R3)</x:v>
      </x:c>
      <x:c r="B250" s="24" t="str">
        <x:v>Thorax &amp; Breathing</x:v>
      </x:c>
      <x:c r="C250" s="24" t="str">
        <x:v>Segment-level fascicle</x:v>
      </x:c>
      <x:c r="D250" s="24" t="str">
        <x:v>Intercostal nerve 2</x:v>
      </x:c>
      <x:c r="E250" s="24" t="str">
        <x:v>T2</x:v>
      </x:c>
      <x:c r="F250" s="24" t="str">
        <x:v>Inferior margin of rib 2</x:v>
      </x:c>
      <x:c r="G250" s="24" t="str">
        <x:v>Superior margin of rib 3</x:v>
      </x:c>
      <x:c r="H250" s="24" t="str">
        <x:v>Segmental rib-to-rib muscle attachment</x:v>
      </x:c>
      <x:c r="I250" s="24" t="str">
        <x:v>Costal periosteum/intercostal membrane; no specific direct ligament</x:v>
      </x:c>
      <x:c r="J250" s="24" t="str">
        <x:v>Mixed Type I and Type II; ratio unverified</x:v>
      </x:c>
      <x:c r="K250" s="24" t="str">
        <x:v>EX0282; EX0283; EX0305; EX0306; EX0307; EX0308; EX0309; EX0311; EX0312; EX0313; EX0315</x:v>
      </x:c>
      <x:c r="L250" s="24" t="str">
        <x:v>EX0304; EX0310; EX0314; EX0349; EX0351</x:v>
      </x:c>
      <x:c r="M250" s="24" t="str">
        <x:v>—</x:v>
      </x:c>
      <x:c r="N250" s="24" t="str">
        <x:v>EX0309; EX0310</x:v>
      </x:c>
      <x:c r="O250" s="24" t="str">
        <x:v>Functional or motor-control activation</x:v>
      </x:c>
      <x:c r="P250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50" s="24" t="str">
        <x:v>Segmental slips act together during respiration; exercise does not isolate one interspace.</x:v>
      </x:c>
    </x:row>
    <x:row r="251" ht="54" customHeight="1">
      <x:c r="A251" s="24" t="str">
        <x:v>Internal intercostal (interspace 3, R3-R4)</x:v>
      </x:c>
      <x:c r="B251" s="24" t="str">
        <x:v>Thorax &amp; Breathing</x:v>
      </x:c>
      <x:c r="C251" s="24" t="str">
        <x:v>Segment-level fascicle</x:v>
      </x:c>
      <x:c r="D251" s="24" t="str">
        <x:v>Intercostal nerve 3</x:v>
      </x:c>
      <x:c r="E251" s="24" t="str">
        <x:v>T3</x:v>
      </x:c>
      <x:c r="F251" s="24" t="str">
        <x:v>Inferior margin of rib 3</x:v>
      </x:c>
      <x:c r="G251" s="24" t="str">
        <x:v>Superior margin of rib 4</x:v>
      </x:c>
      <x:c r="H251" s="24" t="str">
        <x:v>Segmental rib-to-rib muscle attachment</x:v>
      </x:c>
      <x:c r="I251" s="24" t="str">
        <x:v>Costal periosteum/intercostal membrane; no specific direct ligament</x:v>
      </x:c>
      <x:c r="J251" s="24" t="str">
        <x:v>Mixed Type I and Type II; ratio unverified</x:v>
      </x:c>
      <x:c r="K251" s="24" t="str">
        <x:v>EX0282; EX0283; EX0305; EX0306; EX0307; EX0308; EX0309; EX0311; EX0312; EX0313; EX0315</x:v>
      </x:c>
      <x:c r="L251" s="24" t="str">
        <x:v>EX0304; EX0310; EX0314; EX0349; EX0351</x:v>
      </x:c>
      <x:c r="M251" s="24" t="str">
        <x:v>—</x:v>
      </x:c>
      <x:c r="N251" s="24" t="str">
        <x:v>EX0309; EX0310</x:v>
      </x:c>
      <x:c r="O251" s="24" t="str">
        <x:v>Functional or motor-control activation</x:v>
      </x:c>
      <x:c r="P251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51" s="24" t="str">
        <x:v>Segmental slips act together during respiration; exercise does not isolate one interspace.</x:v>
      </x:c>
    </x:row>
    <x:row r="252" ht="54" customHeight="1">
      <x:c r="A252" s="24" t="str">
        <x:v>Internal intercostal (interspace 4, R4-R5)</x:v>
      </x:c>
      <x:c r="B252" s="24" t="str">
        <x:v>Thorax &amp; Breathing</x:v>
      </x:c>
      <x:c r="C252" s="24" t="str">
        <x:v>Segment-level fascicle</x:v>
      </x:c>
      <x:c r="D252" s="24" t="str">
        <x:v>Intercostal nerve 4</x:v>
      </x:c>
      <x:c r="E252" s="24" t="str">
        <x:v>T4</x:v>
      </x:c>
      <x:c r="F252" s="24" t="str">
        <x:v>Inferior margin of rib 4</x:v>
      </x:c>
      <x:c r="G252" s="24" t="str">
        <x:v>Superior margin of rib 5</x:v>
      </x:c>
      <x:c r="H252" s="24" t="str">
        <x:v>Segmental rib-to-rib muscle attachment</x:v>
      </x:c>
      <x:c r="I252" s="24" t="str">
        <x:v>Costal periosteum/intercostal membrane; no specific direct ligament</x:v>
      </x:c>
      <x:c r="J252" s="24" t="str">
        <x:v>Mixed Type I and Type II; ratio unverified</x:v>
      </x:c>
      <x:c r="K252" s="24" t="str">
        <x:v>EX0282; EX0283; EX0305; EX0306; EX0307; EX0308; EX0309; EX0311; EX0312; EX0313; EX0315</x:v>
      </x:c>
      <x:c r="L252" s="24" t="str">
        <x:v>EX0304; EX0310; EX0314; EX0349; EX0351</x:v>
      </x:c>
      <x:c r="M252" s="24" t="str">
        <x:v>—</x:v>
      </x:c>
      <x:c r="N252" s="24" t="str">
        <x:v>EX0309; EX0310</x:v>
      </x:c>
      <x:c r="O252" s="24" t="str">
        <x:v>Functional or motor-control activation</x:v>
      </x:c>
      <x:c r="P252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52" s="24" t="str">
        <x:v>Segmental slips act together during respiration; exercise does not isolate one interspace.</x:v>
      </x:c>
    </x:row>
    <x:row r="253" ht="54" customHeight="1">
      <x:c r="A253" s="24" t="str">
        <x:v>Internal intercostal (interspace 5, R5-R6)</x:v>
      </x:c>
      <x:c r="B253" s="24" t="str">
        <x:v>Thorax &amp; Breathing</x:v>
      </x:c>
      <x:c r="C253" s="24" t="str">
        <x:v>Segment-level fascicle</x:v>
      </x:c>
      <x:c r="D253" s="24" t="str">
        <x:v>Intercostal nerve 5</x:v>
      </x:c>
      <x:c r="E253" s="24" t="str">
        <x:v>T5</x:v>
      </x:c>
      <x:c r="F253" s="24" t="str">
        <x:v>Inferior margin of rib 5</x:v>
      </x:c>
      <x:c r="G253" s="24" t="str">
        <x:v>Superior margin of rib 6</x:v>
      </x:c>
      <x:c r="H253" s="24" t="str">
        <x:v>Segmental rib-to-rib muscle attachment</x:v>
      </x:c>
      <x:c r="I253" s="24" t="str">
        <x:v>Costal periosteum/intercostal membrane; no specific direct ligament</x:v>
      </x:c>
      <x:c r="J253" s="24" t="str">
        <x:v>Mixed Type I and Type II; ratio unverified</x:v>
      </x:c>
      <x:c r="K253" s="24" t="str">
        <x:v>EX0282; EX0283; EX0305; EX0306; EX0307; EX0308; EX0309; EX0311; EX0312; EX0313; EX0315</x:v>
      </x:c>
      <x:c r="L253" s="24" t="str">
        <x:v>EX0304; EX0310; EX0314; EX0349; EX0351</x:v>
      </x:c>
      <x:c r="M253" s="24" t="str">
        <x:v>—</x:v>
      </x:c>
      <x:c r="N253" s="24" t="str">
        <x:v>EX0309; EX0310</x:v>
      </x:c>
      <x:c r="O253" s="24" t="str">
        <x:v>Functional or motor-control activation</x:v>
      </x:c>
      <x:c r="P253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53" s="24" t="str">
        <x:v>Segmental slips act together during respiration; exercise does not isolate one interspace.</x:v>
      </x:c>
    </x:row>
    <x:row r="254" ht="54" customHeight="1">
      <x:c r="A254" s="24" t="str">
        <x:v>Internal intercostal (interspace 6, R6-R7)</x:v>
      </x:c>
      <x:c r="B254" s="24" t="str">
        <x:v>Thorax &amp; Breathing</x:v>
      </x:c>
      <x:c r="C254" s="24" t="str">
        <x:v>Segment-level fascicle</x:v>
      </x:c>
      <x:c r="D254" s="24" t="str">
        <x:v>Intercostal nerve 6</x:v>
      </x:c>
      <x:c r="E254" s="24" t="str">
        <x:v>T6</x:v>
      </x:c>
      <x:c r="F254" s="24" t="str">
        <x:v>Inferior margin of rib 6</x:v>
      </x:c>
      <x:c r="G254" s="24" t="str">
        <x:v>Superior margin of rib 7</x:v>
      </x:c>
      <x:c r="H254" s="24" t="str">
        <x:v>Segmental rib-to-rib muscle attachment</x:v>
      </x:c>
      <x:c r="I254" s="24" t="str">
        <x:v>Costal periosteum/intercostal membrane; no specific direct ligament</x:v>
      </x:c>
      <x:c r="J254" s="24" t="str">
        <x:v>Mixed Type I and Type II; ratio unverified</x:v>
      </x:c>
      <x:c r="K254" s="24" t="str">
        <x:v>EX0282; EX0283; EX0305; EX0306; EX0307; EX0308; EX0309; EX0311; EX0312; EX0313; EX0315</x:v>
      </x:c>
      <x:c r="L254" s="24" t="str">
        <x:v>EX0304; EX0310; EX0314; EX0349; EX0351</x:v>
      </x:c>
      <x:c r="M254" s="24" t="str">
        <x:v>—</x:v>
      </x:c>
      <x:c r="N254" s="24" t="str">
        <x:v>EX0309; EX0310</x:v>
      </x:c>
      <x:c r="O254" s="24" t="str">
        <x:v>Functional or motor-control activation</x:v>
      </x:c>
      <x:c r="P254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54" s="24" t="str">
        <x:v>Segmental slips act together during respiration; exercise does not isolate one interspace.</x:v>
      </x:c>
    </x:row>
    <x:row r="255" ht="54" customHeight="1">
      <x:c r="A255" s="24" t="str">
        <x:v>Internal intercostal (interspace 7, R7-R8)</x:v>
      </x:c>
      <x:c r="B255" s="24" t="str">
        <x:v>Thorax &amp; Breathing</x:v>
      </x:c>
      <x:c r="C255" s="24" t="str">
        <x:v>Segment-level fascicle</x:v>
      </x:c>
      <x:c r="D255" s="24" t="str">
        <x:v>Intercostal nerve 7</x:v>
      </x:c>
      <x:c r="E255" s="24" t="str">
        <x:v>T7</x:v>
      </x:c>
      <x:c r="F255" s="24" t="str">
        <x:v>Inferior margin of rib 7</x:v>
      </x:c>
      <x:c r="G255" s="24" t="str">
        <x:v>Superior margin of rib 8</x:v>
      </x:c>
      <x:c r="H255" s="24" t="str">
        <x:v>Segmental rib-to-rib muscle attachment</x:v>
      </x:c>
      <x:c r="I255" s="24" t="str">
        <x:v>Costal periosteum/intercostal membrane; no specific direct ligament</x:v>
      </x:c>
      <x:c r="J255" s="24" t="str">
        <x:v>Mixed Type I and Type II; ratio unverified</x:v>
      </x:c>
      <x:c r="K255" s="24" t="str">
        <x:v>EX0282; EX0283; EX0305; EX0306; EX0307; EX0308; EX0309; EX0311; EX0312; EX0313; EX0315</x:v>
      </x:c>
      <x:c r="L255" s="24" t="str">
        <x:v>EX0304; EX0310; EX0314; EX0349; EX0351</x:v>
      </x:c>
      <x:c r="M255" s="24" t="str">
        <x:v>—</x:v>
      </x:c>
      <x:c r="N255" s="24" t="str">
        <x:v>EX0309; EX0310</x:v>
      </x:c>
      <x:c r="O255" s="24" t="str">
        <x:v>Functional or motor-control activation</x:v>
      </x:c>
      <x:c r="P255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55" s="24" t="str">
        <x:v>Segmental slips act together during respiration; exercise does not isolate one interspace.</x:v>
      </x:c>
    </x:row>
    <x:row r="256" ht="54" customHeight="1">
      <x:c r="A256" s="24" t="str">
        <x:v>Internal intercostal (interspace 8, R8-R9)</x:v>
      </x:c>
      <x:c r="B256" s="24" t="str">
        <x:v>Thorax &amp; Breathing</x:v>
      </x:c>
      <x:c r="C256" s="24" t="str">
        <x:v>Segment-level fascicle</x:v>
      </x:c>
      <x:c r="D256" s="24" t="str">
        <x:v>Intercostal nerve 8</x:v>
      </x:c>
      <x:c r="E256" s="24" t="str">
        <x:v>T8</x:v>
      </x:c>
      <x:c r="F256" s="24" t="str">
        <x:v>Inferior margin of rib 8</x:v>
      </x:c>
      <x:c r="G256" s="24" t="str">
        <x:v>Superior margin of rib 9</x:v>
      </x:c>
      <x:c r="H256" s="24" t="str">
        <x:v>Segmental rib-to-rib muscle attachment</x:v>
      </x:c>
      <x:c r="I256" s="24" t="str">
        <x:v>Costal periosteum/intercostal membrane; no specific direct ligament</x:v>
      </x:c>
      <x:c r="J256" s="24" t="str">
        <x:v>Mixed Type I and Type II; ratio unverified</x:v>
      </x:c>
      <x:c r="K256" s="24" t="str">
        <x:v>EX0282; EX0283; EX0305; EX0306; EX0307; EX0308; EX0309; EX0311; EX0312; EX0313; EX0315</x:v>
      </x:c>
      <x:c r="L256" s="24" t="str">
        <x:v>EX0304; EX0310; EX0314; EX0349; EX0351</x:v>
      </x:c>
      <x:c r="M256" s="24" t="str">
        <x:v>—</x:v>
      </x:c>
      <x:c r="N256" s="24" t="str">
        <x:v>EX0309; EX0310</x:v>
      </x:c>
      <x:c r="O256" s="24" t="str">
        <x:v>Functional or motor-control activation</x:v>
      </x:c>
      <x:c r="P256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56" s="24" t="str">
        <x:v>Segmental slips act together during respiration; exercise does not isolate one interspace.</x:v>
      </x:c>
    </x:row>
    <x:row r="257" ht="54" customHeight="1">
      <x:c r="A257" s="24" t="str">
        <x:v>Internal intercostal (interspace 9, R9-R10)</x:v>
      </x:c>
      <x:c r="B257" s="24" t="str">
        <x:v>Thorax &amp; Breathing</x:v>
      </x:c>
      <x:c r="C257" s="24" t="str">
        <x:v>Segment-level fascicle</x:v>
      </x:c>
      <x:c r="D257" s="24" t="str">
        <x:v>Intercostal nerve 9</x:v>
      </x:c>
      <x:c r="E257" s="24" t="str">
        <x:v>T9</x:v>
      </x:c>
      <x:c r="F257" s="24" t="str">
        <x:v>Inferior margin of rib 9</x:v>
      </x:c>
      <x:c r="G257" s="24" t="str">
        <x:v>Superior margin of rib 10</x:v>
      </x:c>
      <x:c r="H257" s="24" t="str">
        <x:v>Segmental rib-to-rib muscle attachment</x:v>
      </x:c>
      <x:c r="I257" s="24" t="str">
        <x:v>Costal periosteum/intercostal membrane; no specific direct ligament</x:v>
      </x:c>
      <x:c r="J257" s="24" t="str">
        <x:v>Mixed Type I and Type II; ratio unverified</x:v>
      </x:c>
      <x:c r="K257" s="24" t="str">
        <x:v>EX0282; EX0283; EX0305; EX0306; EX0307; EX0308; EX0309; EX0311; EX0312; EX0313; EX0315</x:v>
      </x:c>
      <x:c r="L257" s="24" t="str">
        <x:v>EX0304; EX0310; EX0314; EX0349; EX0351</x:v>
      </x:c>
      <x:c r="M257" s="24" t="str">
        <x:v>—</x:v>
      </x:c>
      <x:c r="N257" s="24" t="str">
        <x:v>EX0309; EX0310</x:v>
      </x:c>
      <x:c r="O257" s="24" t="str">
        <x:v>Functional or motor-control activation</x:v>
      </x:c>
      <x:c r="P257" s="24" t="str">
        <x:v>Breathing with thoracic rib expansion; Thoracic extension prone sphinx breathing; 360-degree lower-rib breathing; Seated pursed-lip exhale; Diaphragmatic breathing supine; Gentle lateral rib stretch with overhead reach</x:v>
      </x:c>
      <x:c r="Q257" s="24" t="str">
        <x:v>Segmental slips act together during respiration; exercise does not isolate one interspace.</x:v>
      </x:c>
    </x:row>
    <x:row r="258" ht="54" customHeight="1">
      <x:c r="A258" s="24" t="str">
        <x:v>Corrugator supercilii</x:v>
      </x:c>
      <x:c r="B258" s="24" t="str">
        <x:v>Head &amp; Face</x:v>
      </x:c>
      <x:c r="C258" s="24" t="str">
        <x:v>Brow</x:v>
      </x:c>
      <x:c r="D258" s="24" t="str">
        <x:v>Temporal branch facial nerve</x:v>
      </x:c>
      <x:c r="E258" s="24" t="str">
        <x:v>CN VII; no spinal root</x:v>
      </x:c>
      <x:c r="F258" s="24" t="str">
        <x:v>Medial end superciliary arch frontal bone</x:v>
      </x:c>
      <x:c r="G258" s="24" t="str">
        <x:v>Deep skin medial eyebrow</x:v>
      </x:c>
      <x:c r="H258" s="24" t="str">
        <x:v>Dermal fibrous insertion</x:v>
      </x:c>
      <x:c r="I258" s="24" t="str">
        <x:v>No specific direct ligament attachment</x:v>
      </x:c>
      <x:c r="J258" s="24" t="str">
        <x:v>Mixed Type I and Type II; ratio unverified</x:v>
      </x:c>
      <x:c r="K258" s="24" t="str">
        <x:v>EX0320</x:v>
      </x:c>
      <x:c r="L258" s="24" t="str">
        <x:v>—</x:v>
      </x:c>
      <x:c r="M258" s="24" t="str">
        <x:v>—</x:v>
      </x:c>
      <x:c r="N258" s="24" t="str">
        <x:v>—</x:v>
      </x:c>
      <x:c r="O258" s="24" t="str">
        <x:v>Functional or motor-control activation</x:v>
      </x:c>
      <x:c r="P258" s="24" t="str">
        <x:v>Eyebrow frown and release</x:v>
      </x:c>
      <x:c r="Q258" s="24" t="str">
        <x:v>Active/involved status varies with technique, loading, individual anatomy and fatigue.</x:v>
      </x:c>
    </x:row>
    <x:row r="259" ht="54" customHeight="1">
      <x:c r="A259" s="24" t="str">
        <x:v>Levator anguli oris</x:v>
      </x:c>
      <x:c r="B259" s="24" t="str">
        <x:v>Head &amp; Face</x:v>
      </x:c>
      <x:c r="C259" s="24" t="str">
        <x:v>Cheek</x:v>
      </x:c>
      <x:c r="D259" s="24" t="str">
        <x:v>Buccal facial branches</x:v>
      </x:c>
      <x:c r="E259" s="24" t="str">
        <x:v>CN VII; no spinal root</x:v>
      </x:c>
      <x:c r="F259" s="24" t="str">
        <x:v>Canine fossa of maxilla</x:v>
      </x:c>
      <x:c r="G259" s="24" t="str">
        <x:v>Modiolus at mouth angle</x:v>
      </x:c>
      <x:c r="H259" s="24" t="str">
        <x:v>Modiolus junction</x:v>
      </x:c>
      <x:c r="I259" s="24" t="str">
        <x:v>No specific ligament attachment</x:v>
      </x:c>
      <x:c r="J259" s="24" t="str">
        <x:v>Mixed Type I and Type II; ratio unverified</x:v>
      </x:c>
      <x:c r="K259" s="24" t="str">
        <x:v>EX0316; EX0317</x:v>
      </x:c>
      <x:c r="L259" s="24" t="str">
        <x:v>—</x:v>
      </x:c>
      <x:c r="M259" s="24" t="str">
        <x:v>—</x:v>
      </x:c>
      <x:c r="N259" s="24" t="str">
        <x:v>—</x:v>
      </x:c>
      <x:c r="O259" s="24" t="str">
        <x:v>Functional or motor-control activation</x:v>
      </x:c>
      <x:c r="P259" s="24" t="str">
        <x:v>Gentle smile then relax; Closed-lip smile without teeth</x:v>
      </x:c>
      <x:c r="Q259" s="24" t="str">
        <x:v>Active/involved status varies with technique, loading, individual anatomy and fatigue.</x:v>
      </x:c>
    </x:row>
    <x:row r="260" ht="54" customHeight="1">
      <x:c r="A260" s="24" t="str">
        <x:v>Zygomaticus major</x:v>
      </x:c>
      <x:c r="B260" s="24" t="str">
        <x:v>Head &amp; Face</x:v>
      </x:c>
      <x:c r="C260" s="24" t="str">
        <x:v>Cheek</x:v>
      </x:c>
      <x:c r="D260" s="24" t="str">
        <x:v>Zygomatic/buccal facial branches</x:v>
      </x:c>
      <x:c r="E260" s="24" t="str">
        <x:v>CN VII; no spinal root</x:v>
      </x:c>
      <x:c r="F260" s="24" t="str">
        <x:v>Lateral zygomatic bone</x:v>
      </x:c>
      <x:c r="G260" s="24" t="str">
        <x:v>Modiolus at angle of mouth</x:v>
      </x:c>
      <x:c r="H260" s="24" t="str">
        <x:v>Modiolus fibromuscular junction</x:v>
      </x:c>
      <x:c r="I260" s="24" t="str">
        <x:v>No specific ligament attachment</x:v>
      </x:c>
      <x:c r="J260" s="24" t="str">
        <x:v>Mixed Type I and Type II; ratio unverified</x:v>
      </x:c>
      <x:c r="K260" s="24" t="str">
        <x:v>EX0316; EX0317</x:v>
      </x:c>
      <x:c r="L260" s="24" t="str">
        <x:v>—</x:v>
      </x:c>
      <x:c r="M260" s="24" t="str">
        <x:v>—</x:v>
      </x:c>
      <x:c r="N260" s="24" t="str">
        <x:v>—</x:v>
      </x:c>
      <x:c r="O260" s="24" t="str">
        <x:v>Functional or motor-control activation</x:v>
      </x:c>
      <x:c r="P260" s="24" t="str">
        <x:v>Gentle smile then relax; Closed-lip smile without teeth</x:v>
      </x:c>
      <x:c r="Q260" s="24" t="str">
        <x:v>Active/involved status varies with technique, loading, individual anatomy and fatigue.</x:v>
      </x:c>
    </x:row>
    <x:row r="261" ht="54" customHeight="1">
      <x:c r="A261" s="24" t="str">
        <x:v>Buccinator</x:v>
      </x:c>
      <x:c r="B261" s="24" t="str">
        <x:v>Head &amp; Face</x:v>
      </x:c>
      <x:c r="C261" s="24" t="str">
        <x:v>Cheek deep</x:v>
      </x:c>
      <x:c r="D261" s="24" t="str">
        <x:v>Buccal branches facial nerve (not buccal nerve V3 motor)</x:v>
      </x:c>
      <x:c r="E261" s="24" t="str">
        <x:v>CN VII; no spinal root</x:v>
      </x:c>
      <x:c r="F261" s="24" t="str">
        <x:v>Alveolar processes maxilla/mandible; pterygomandibular raphe</x:v>
      </x:c>
      <x:c r="G261" s="24" t="str">
        <x:v>Orbicularis oris and modiolus</x:v>
      </x:c>
      <x:c r="H261" s="24" t="str">
        <x:v>Pterygomandibular raphe fibrous origin</x:v>
      </x:c>
      <x:c r="I261" s="24" t="str">
        <x:v>Pterygomandibular raphe direct origin (not ligament)</x:v>
      </x:c>
      <x:c r="J261" s="24" t="str">
        <x:v>Mixed Type I and Type II; ratio unverified</x:v>
      </x:c>
      <x:c r="K261" s="24" t="str">
        <x:v>EX0329; EX0330; EX0347; EX0348</x:v>
      </x:c>
      <x:c r="L261" s="24" t="str">
        <x:v>EX0328</x:v>
      </x:c>
      <x:c r="M261" s="24" t="str">
        <x:v>—</x:v>
      </x:c>
      <x:c r="N261" s="24" t="str">
        <x:v>—</x:v>
      </x:c>
      <x:c r="O261" s="24" t="str">
        <x:v>Functional or motor-control activation</x:v>
      </x:c>
      <x:c r="P261" s="24" t="str">
        <x:v>Puff cheeks and release; Gentle cheek retraction; Speech articulation: pa-ta-ka softly; Cheek / lip light straw sip; Lip purse / whistle shape (without force)</x:v>
      </x:c>
      <x:c r="Q261" s="24" t="str">
        <x:v>Active/involved status varies with technique, loading, individual anatomy and fatigue.</x:v>
      </x:c>
    </x:row>
    <x:row r="262" ht="54" customHeight="1">
      <x:c r="A262" s="24" t="str">
        <x:v>Risorius</x:v>
      </x:c>
      <x:c r="B262" s="24" t="str">
        <x:v>Head &amp; Face</x:v>
      </x:c>
      <x:c r="C262" s="24" t="str">
        <x:v>Cheek superficial</x:v>
      </x:c>
      <x:c r="D262" s="24" t="str">
        <x:v>Buccal facial branches</x:v>
      </x:c>
      <x:c r="E262" s="24" t="str">
        <x:v>CN VII; no spinal root</x:v>
      </x:c>
      <x:c r="F262" s="24" t="str">
        <x:v>Parotid/masseteric fascia</x:v>
      </x:c>
      <x:c r="G262" s="24" t="str">
        <x:v>Modiolus at mouth angle</x:v>
      </x:c>
      <x:c r="H262" s="24" t="str">
        <x:v>Thin fascial fibers</x:v>
      </x:c>
      <x:c r="I262" s="24" t="str">
        <x:v>Parotidomasseteric fascia is fascia, not ligament</x:v>
      </x:c>
      <x:c r="J262" s="24" t="str">
        <x:v>Mixed Type I and Type II; ratio unverified</x:v>
      </x:c>
      <x:c r="K262" s="24" t="str">
        <x:v>EX0316; EX0317; EX0330</x:v>
      </x:c>
      <x:c r="L262" s="24" t="str">
        <x:v>—</x:v>
      </x:c>
      <x:c r="M262" s="24" t="str">
        <x:v>—</x:v>
      </x:c>
      <x:c r="N262" s="24" t="str">
        <x:v>—</x:v>
      </x:c>
      <x:c r="O262" s="24" t="str">
        <x:v>Functional or motor-control activation</x:v>
      </x:c>
      <x:c r="P262" s="24" t="str">
        <x:v>Gentle smile then relax; Closed-lip smile without teeth; Gentle cheek retraction</x:v>
      </x:c>
      <x:c r="Q262" s="24" t="str">
        <x:v>Active/involved status varies with technique, loading, individual anatomy and fatigue.</x:v>
      </x:c>
    </x:row>
    <x:row r="263" ht="54" customHeight="1">
      <x:c r="A263" s="24" t="str">
        <x:v>Mentalis</x:v>
      </x:c>
      <x:c r="B263" s="24" t="str">
        <x:v>Head &amp; Face</x:v>
      </x:c>
      <x:c r="C263" s="24" t="str">
        <x:v>Chin</x:v>
      </x:c>
      <x:c r="D263" s="24" t="str">
        <x:v>Marginal mandibular facial branch</x:v>
      </x:c>
      <x:c r="E263" s="24" t="str">
        <x:v>CN VII; no spinal root</x:v>
      </x:c>
      <x:c r="F263" s="24" t="str">
        <x:v>Incisive fossa of mandible</x:v>
      </x:c>
      <x:c r="G263" s="24" t="str">
        <x:v>Skin chin</x:v>
      </x:c>
      <x:c r="H263" s="24" t="str">
        <x:v>Dermal insertion</x:v>
      </x:c>
      <x:c r="I263" s="24" t="str">
        <x:v>No direct ligament attachment</x:v>
      </x:c>
      <x:c r="J263" s="24" t="str">
        <x:v>Mixed Type I and Type II; ratio unverified</x:v>
      </x:c>
      <x:c r="K263" s="24" t="str">
        <x:v>EX0319; EX0331</x:v>
      </x:c>
      <x:c r="L263" s="24" t="str">
        <x:v>—</x:v>
      </x:c>
      <x:c r="M263" s="24" t="str">
        <x:v>—</x:v>
      </x:c>
      <x:c r="N263" s="24" t="str">
        <x:v>—</x:v>
      </x:c>
      <x:c r="O263" s="24" t="str">
        <x:v>Functional or motor-control activation</x:v>
      </x:c>
      <x:c r="P263" s="24" t="str">
        <x:v>Lower lip depression / mild pout; Chin dimple / lower-lip protrusion</x:v>
      </x:c>
      <x:c r="Q263" s="24" t="str">
        <x:v>Active/involved status varies with technique, loading, individual anatomy and fatigue.</x:v>
      </x:c>
    </x:row>
    <x:row r="264" ht="54" customHeight="1">
      <x:c r="A264" s="24" t="str">
        <x:v>Antitragicus</x:v>
      </x:c>
      <x:c r="B264" s="24" t="str">
        <x:v>Head &amp; Face</x:v>
      </x:c>
      <x:c r="C264" s="24" t="str">
        <x:v>Ear pinna</x:v>
      </x:c>
      <x:c r="D264" s="24" t="str">
        <x:v>Facial nerve auricular branches</x:v>
      </x:c>
      <x:c r="E264" s="24" t="str">
        <x:v>CN VII; no spinal root</x:v>
      </x:c>
      <x:c r="F264" s="24" t="str">
        <x:v>Antitragus cartilage</x:v>
      </x:c>
      <x:c r="G264" s="24" t="str">
        <x:v>Cauda helicis region</x:v>
      </x:c>
      <x:c r="H264" s="24" t="str">
        <x:v>Short cartilage attachment</x:v>
      </x:c>
      <x:c r="I264" s="24" t="str">
        <x:v>Auricular perichondrium</x:v>
      </x:c>
      <x:c r="J264" s="24" t="str">
        <x:v>Mixed Type I and Type II; ratio unverified</x:v>
      </x:c>
      <x:c r="K264" s="24" t="str">
        <x:v>—</x:v>
      </x:c>
      <x:c r="L264" s="24" t="str">
        <x:v>—</x:v>
      </x:c>
      <x:c r="M264" s="24" t="str">
        <x:v>—</x:v>
      </x:c>
      <x:c r="N264" s="24" t="str">
        <x:v>—</x:v>
      </x:c>
      <x:c r="O264" s="24" t="str">
        <x:v>No suitable self-directed exercise</x:v>
      </x:c>
      <x:c r="P264" s="24" t="str">
        <x:v>—</x:v>
      </x:c>
      <x:c r="Q264" s="24" t="str">
        <x:v>Small intrinsic auricular muscle; not consistently voluntarily isolatable.</x:v>
      </x:c>
    </x:row>
    <x:row r="265" ht="54" customHeight="1">
      <x:c r="A265" s="24" t="str">
        <x:v>Helicis major (intrinsic auricular)</x:v>
      </x:c>
      <x:c r="B265" s="24" t="str">
        <x:v>Head &amp; Face</x:v>
      </x:c>
      <x:c r="C265" s="24" t="str">
        <x:v>Ear pinna</x:v>
      </x:c>
      <x:c r="D265" s="24" t="str">
        <x:v>Facial nerve auricular branches</x:v>
      </x:c>
      <x:c r="E265" s="24" t="str">
        <x:v>CN VII; no spinal root</x:v>
      </x:c>
      <x:c r="F265" s="24" t="str">
        <x:v>Spine of helix</x:v>
      </x:c>
      <x:c r="G265" s="24" t="str">
        <x:v>Anterior border of helix</x:v>
      </x:c>
      <x:c r="H265" s="24" t="str">
        <x:v>Intrachondral/fascial slips</x:v>
      </x:c>
      <x:c r="I265" s="24" t="str">
        <x:v>Auricular perichondrium</x:v>
      </x:c>
      <x:c r="J265" s="24" t="str">
        <x:v>Mixed Type I and Type II; ratio unverified</x:v>
      </x:c>
      <x:c r="K265" s="24" t="str">
        <x:v>—</x:v>
      </x:c>
      <x:c r="L265" s="24" t="str">
        <x:v>—</x:v>
      </x:c>
      <x:c r="M265" s="24" t="str">
        <x:v>—</x:v>
      </x:c>
      <x:c r="N265" s="24" t="str">
        <x:v>—</x:v>
      </x:c>
      <x:c r="O265" s="24" t="str">
        <x:v>No suitable self-directed exercise</x:v>
      </x:c>
      <x:c r="P265" s="24" t="str">
        <x:v>—</x:v>
      </x:c>
      <x:c r="Q265" s="24" t="str">
        <x:v>Intrinsic pinna muscle; no reproducible general exercise.</x:v>
      </x:c>
    </x:row>
    <x:row r="266" ht="54" customHeight="1">
      <x:c r="A266" s="24" t="str">
        <x:v>Helicis minor (intrinsic auricular)</x:v>
      </x:c>
      <x:c r="B266" s="24" t="str">
        <x:v>Head &amp; Face</x:v>
      </x:c>
      <x:c r="C266" s="24" t="str">
        <x:v>Ear pinna</x:v>
      </x:c>
      <x:c r="D266" s="24" t="str">
        <x:v>Facial nerve auricular branches</x:v>
      </x:c>
      <x:c r="E266" s="24" t="str">
        <x:v>CN VII; no spinal root</x:v>
      </x:c>
      <x:c r="F266" s="24" t="str">
        <x:v>Root of helix</x:v>
      </x:c>
      <x:c r="G266" s="24" t="str">
        <x:v>Nearby anterior helix</x:v>
      </x:c>
      <x:c r="H266" s="24" t="str">
        <x:v>Short dermal/cartilaginous fibers</x:v>
      </x:c>
      <x:c r="I266" s="24" t="str">
        <x:v>Perichondrium of helix</x:v>
      </x:c>
      <x:c r="J266" s="24" t="str">
        <x:v>Mixed Type I and Type II; ratio unverified</x:v>
      </x:c>
      <x:c r="K266" s="24" t="str">
        <x:v>—</x:v>
      </x:c>
      <x:c r="L266" s="24" t="str">
        <x:v>—</x:v>
      </x:c>
      <x:c r="M266" s="24" t="str">
        <x:v>—</x:v>
      </x:c>
      <x:c r="N266" s="24" t="str">
        <x:v>—</x:v>
      </x:c>
      <x:c r="O266" s="24" t="str">
        <x:v>No suitable self-directed exercise</x:v>
      </x:c>
      <x:c r="P266" s="24" t="str">
        <x:v>—</x:v>
      </x:c>
      <x:c r="Q266" s="24" t="str">
        <x:v>Intrinsic pinna muscle; no reproducible general exercise.</x:v>
      </x:c>
    </x:row>
    <x:row r="267" ht="54" customHeight="1">
      <x:c r="A267" s="24" t="str">
        <x:v>Tragicus</x:v>
      </x:c>
      <x:c r="B267" s="24" t="str">
        <x:v>Head &amp; Face</x:v>
      </x:c>
      <x:c r="C267" s="24" t="str">
        <x:v>Ear pinna</x:v>
      </x:c>
      <x:c r="D267" s="24" t="str">
        <x:v>Facial nerve auricular branches</x:v>
      </x:c>
      <x:c r="E267" s="24" t="str">
        <x:v>CN VII; no spinal root</x:v>
      </x:c>
      <x:c r="F267" s="24" t="str">
        <x:v>Lateral tragal cartilage</x:v>
      </x:c>
      <x:c r="G267" s="24" t="str">
        <x:v>Skin/cartilage tragus</x:v>
      </x:c>
      <x:c r="H267" s="24" t="str">
        <x:v>Dermal/cartilage insertion</x:v>
      </x:c>
      <x:c r="I267" s="24" t="str">
        <x:v>Tragal cartilage fibrous covering</x:v>
      </x:c>
      <x:c r="J267" s="24" t="str">
        <x:v>Mixed Type I and Type II; ratio unverified</x:v>
      </x:c>
      <x:c r="K267" s="24" t="str">
        <x:v>—</x:v>
      </x:c>
      <x:c r="L267" s="24" t="str">
        <x:v>—</x:v>
      </x:c>
      <x:c r="M267" s="24" t="str">
        <x:v>—</x:v>
      </x:c>
      <x:c r="N267" s="24" t="str">
        <x:v>—</x:v>
      </x:c>
      <x:c r="O267" s="24" t="str">
        <x:v>No suitable self-directed exercise</x:v>
      </x:c>
      <x:c r="P267" s="24" t="str">
        <x:v>—</x:v>
      </x:c>
      <x:c r="Q267" s="24" t="str">
        <x:v>Intrinsic pinna muscle; no reproducible general exercise.</x:v>
      </x:c>
    </x:row>
    <x:row r="268" ht="54" customHeight="1">
      <x:c r="A268" s="24" t="str">
        <x:v>Oblique auricular muscle</x:v>
      </x:c>
      <x:c r="B268" s="24" t="str">
        <x:v>Head &amp; Face</x:v>
      </x:c>
      <x:c r="C268" s="24" t="str">
        <x:v>Ear pinna posterior</x:v>
      </x:c>
      <x:c r="D268" s="24" t="str">
        <x:v>Facial nerve auricular branches</x:v>
      </x:c>
      <x:c r="E268" s="24" t="str">
        <x:v>CN VII; no spinal root</x:v>
      </x:c>
      <x:c r="F268" s="24" t="str">
        <x:v>Posterior conchal eminence</x:v>
      </x:c>
      <x:c r="G268" s="24" t="str">
        <x:v>Posterior triangular fossa</x:v>
      </x:c>
      <x:c r="H268" s="24" t="str">
        <x:v>Short fascicular attachment</x:v>
      </x:c>
      <x:c r="I268" s="24" t="str">
        <x:v>Auricular perichondrium</x:v>
      </x:c>
      <x:c r="J268" s="24" t="str">
        <x:v>Mixed Type I and Type II; ratio unverified</x:v>
      </x:c>
      <x:c r="K268" s="24" t="str">
        <x:v>—</x:v>
      </x:c>
      <x:c r="L268" s="24" t="str">
        <x:v>—</x:v>
      </x:c>
      <x:c r="M268" s="24" t="str">
        <x:v>—</x:v>
      </x:c>
      <x:c r="N268" s="24" t="str">
        <x:v>—</x:v>
      </x:c>
      <x:c r="O268" s="24" t="str">
        <x:v>No suitable self-directed exercise</x:v>
      </x:c>
      <x:c r="P268" s="24" t="str">
        <x:v>—</x:v>
      </x:c>
      <x:c r="Q268" s="24" t="str">
        <x:v>Intrinsic pinna muscle; no reproducible general exercise.</x:v>
      </x:c>
    </x:row>
    <x:row r="269" ht="54" customHeight="1">
      <x:c r="A269" s="24" t="str">
        <x:v>Transverse auricular muscle</x:v>
      </x:c>
      <x:c r="B269" s="24" t="str">
        <x:v>Head &amp; Face</x:v>
      </x:c>
      <x:c r="C269" s="24" t="str">
        <x:v>Ear pinna posterior</x:v>
      </x:c>
      <x:c r="D269" s="24" t="str">
        <x:v>Facial nerve auricular branches</x:v>
      </x:c>
      <x:c r="E269" s="24" t="str">
        <x:v>CN VII; no spinal root</x:v>
      </x:c>
      <x:c r="F269" s="24" t="str">
        <x:v>Convexity of concha posterior surface</x:v>
      </x:c>
      <x:c r="G269" s="24" t="str">
        <x:v>Eminence of scapha</x:v>
      </x:c>
      <x:c r="H269" s="24" t="str">
        <x:v>Short auricular fascial slips</x:v>
      </x:c>
      <x:c r="I269" s="24" t="str">
        <x:v>Auricular perichondrium</x:v>
      </x:c>
      <x:c r="J269" s="24" t="str">
        <x:v>Mixed Type I and Type II; ratio unverified</x:v>
      </x:c>
      <x:c r="K269" s="24" t="str">
        <x:v>—</x:v>
      </x:c>
      <x:c r="L269" s="24" t="str">
        <x:v>—</x:v>
      </x:c>
      <x:c r="M269" s="24" t="str">
        <x:v>—</x:v>
      </x:c>
      <x:c r="N269" s="24" t="str">
        <x:v>—</x:v>
      </x:c>
      <x:c r="O269" s="24" t="str">
        <x:v>No suitable self-directed exercise</x:v>
      </x:c>
      <x:c r="P269" s="24" t="str">
        <x:v>—</x:v>
      </x:c>
      <x:c r="Q269" s="24" t="str">
        <x:v>Intrinsic pinna muscle; no reproducible general exercise.</x:v>
      </x:c>
    </x:row>
    <x:row r="270" ht="54" customHeight="1">
      <x:c r="A270" s="24" t="str">
        <x:v>Auricularis anterior</x:v>
      </x:c>
      <x:c r="B270" s="24" t="str">
        <x:v>Head &amp; Face</x:v>
      </x:c>
      <x:c r="C270" s="24" t="str">
        <x:v>External auricle</x:v>
      </x:c>
      <x:c r="D270" s="24" t="str">
        <x:v>Temporal facial nerve</x:v>
      </x:c>
      <x:c r="E270" s="24" t="str">
        <x:v>CN VII; no spinal root</x:v>
      </x:c>
      <x:c r="F270" s="24" t="str">
        <x:v>Temporal fascia</x:v>
      </x:c>
      <x:c r="G270" s="24" t="str">
        <x:v>Anterior helix of auricle</x:v>
      </x:c>
      <x:c r="H270" s="24" t="str">
        <x:v>Fibrous auricular insertion</x:v>
      </x:c>
      <x:c r="I270" s="24" t="str">
        <x:v>Auricular cartilage perichondrium</x:v>
      </x:c>
      <x:c r="J270" s="24" t="str">
        <x:v>Mixed Type I and Type II; ratio unverified</x:v>
      </x:c>
      <x:c r="K270" s="24" t="str">
        <x:v>EX0344</x:v>
      </x:c>
      <x:c r="L270" s="24" t="str">
        <x:v>—</x:v>
      </x:c>
      <x:c r="M270" s="24" t="str">
        <x:v>—</x:v>
      </x:c>
      <x:c r="N270" s="24" t="str">
        <x:v>—</x:v>
      </x:c>
      <x:c r="O270" s="24" t="str">
        <x:v>Functional or motor-control activation</x:v>
      </x:c>
      <x:c r="P270" s="24" t="str">
        <x:v>Gentle ear wiggle attempt</x:v>
      </x:c>
      <x:c r="Q270" s="24" t="str">
        <x:v>Active/involved status varies with technique, loading, individual anatomy and fatigue.</x:v>
      </x:c>
    </x:row>
    <x:row r="271" ht="54" customHeight="1">
      <x:c r="A271" s="24" t="str">
        <x:v>Auricularis posterior</x:v>
      </x:c>
      <x:c r="B271" s="24" t="str">
        <x:v>Head &amp; Face</x:v>
      </x:c>
      <x:c r="C271" s="24" t="str">
        <x:v>External auricle</x:v>
      </x:c>
      <x:c r="D271" s="24" t="str">
        <x:v>Posterior auricular facial nerve</x:v>
      </x:c>
      <x:c r="E271" s="24" t="str">
        <x:v>CN VII; no spinal root</x:v>
      </x:c>
      <x:c r="F271" s="24" t="str">
        <x:v>Mastoid region temporal bone</x:v>
      </x:c>
      <x:c r="G271" s="24" t="str">
        <x:v>Posterior auricular cartilage</x:v>
      </x:c>
      <x:c r="H271" s="24" t="str">
        <x:v>Small auricular tendons</x:v>
      </x:c>
      <x:c r="I271" s="24" t="str">
        <x:v>Auricular cartilage fibrous tissues</x:v>
      </x:c>
      <x:c r="J271" s="24" t="str">
        <x:v>Mixed Type I and Type II; ratio unverified</x:v>
      </x:c>
      <x:c r="K271" s="24" t="str">
        <x:v>EX0344</x:v>
      </x:c>
      <x:c r="L271" s="24" t="str">
        <x:v>—</x:v>
      </x:c>
      <x:c r="M271" s="24" t="str">
        <x:v>—</x:v>
      </x:c>
      <x:c r="N271" s="24" t="str">
        <x:v>—</x:v>
      </x:c>
      <x:c r="O271" s="24" t="str">
        <x:v>Functional or motor-control activation</x:v>
      </x:c>
      <x:c r="P271" s="24" t="str">
        <x:v>Gentle ear wiggle attempt</x:v>
      </x:c>
      <x:c r="Q271" s="24" t="str">
        <x:v>Active/involved status varies with technique, loading, individual anatomy and fatigue.</x:v>
      </x:c>
    </x:row>
    <x:row r="272" ht="54" customHeight="1">
      <x:c r="A272" s="24" t="str">
        <x:v>Auricularis superior</x:v>
      </x:c>
      <x:c r="B272" s="24" t="str">
        <x:v>Head &amp; Face</x:v>
      </x:c>
      <x:c r="C272" s="24" t="str">
        <x:v>External auricle</x:v>
      </x:c>
      <x:c r="D272" s="24" t="str">
        <x:v>Temporal facial nerve</x:v>
      </x:c>
      <x:c r="E272" s="24" t="str">
        <x:v>CN VII; no spinal root</x:v>
      </x:c>
      <x:c r="F272" s="24" t="str">
        <x:v>Epicranial aponeurosis</x:v>
      </x:c>
      <x:c r="G272" s="24" t="str">
        <x:v>Upper auricular cartilage</x:v>
      </x:c>
      <x:c r="H272" s="24" t="str">
        <x:v>Epicranial aponeurosis</x:v>
      </x:c>
      <x:c r="I272" s="24" t="str">
        <x:v>Auricular perichondrium, not ligament</x:v>
      </x:c>
      <x:c r="J272" s="24" t="str">
        <x:v>Mixed Type I and Type II; ratio unverified</x:v>
      </x:c>
      <x:c r="K272" s="24" t="str">
        <x:v>EX0344</x:v>
      </x:c>
      <x:c r="L272" s="24" t="str">
        <x:v>—</x:v>
      </x:c>
      <x:c r="M272" s="24" t="str">
        <x:v>—</x:v>
      </x:c>
      <x:c r="N272" s="24" t="str">
        <x:v>—</x:v>
      </x:c>
      <x:c r="O272" s="24" t="str">
        <x:v>Functional or motor-control activation</x:v>
      </x:c>
      <x:c r="P272" s="24" t="str">
        <x:v>Gentle ear wiggle attempt</x:v>
      </x:c>
      <x:c r="Q272" s="24" t="str">
        <x:v>Active/involved status varies with technique, loading, individual anatomy and fatigue.</x:v>
      </x:c>
    </x:row>
    <x:row r="273" ht="54" customHeight="1">
      <x:c r="A273" s="24" t="str">
        <x:v>Genioglossus</x:v>
      </x:c>
      <x:c r="B273" s="24" t="str">
        <x:v>Head &amp; Face</x:v>
      </x:c>
      <x:c r="C273" s="24" t="str">
        <x:v>Extrinsic tongue</x:v>
      </x:c>
      <x:c r="D273" s="24" t="str">
        <x:v>Hypoglossal nerve</x:v>
      </x:c>
      <x:c r="E273" s="24" t="str">
        <x:v>CN XII; no spinal root</x:v>
      </x:c>
      <x:c r="F273" s="24" t="str">
        <x:v>Superior mental spine mandible</x:v>
      </x:c>
      <x:c r="G273" s="24" t="str">
        <x:v>Throughout tongue dorsum; some to hyoid</x:v>
      </x:c>
      <x:c r="H273" s="24" t="str">
        <x:v>Muscular insertion fibers to tongue/hyoid</x:v>
      </x:c>
      <x:c r="I273" s="24" t="str">
        <x:v>Lingual septum as fibrous scaffold</x:v>
      </x:c>
      <x:c r="J273" s="24" t="str">
        <x:v>Mixed Type I and Type II; ratio unverified</x:v>
      </x:c>
      <x:c r="K273" s="24" t="str">
        <x:v>EX0337; EX0338; EX0343; EX0347; EX0352</x:v>
      </x:c>
      <x:c r="L273" s="24" t="str">
        <x:v>—</x:v>
      </x:c>
      <x:c r="M273" s="24" t="str">
        <x:v>—</x:v>
      </x:c>
      <x:c r="N273" s="24" t="str">
        <x:v>—</x:v>
      </x:c>
      <x:c r="O273" s="24" t="str">
        <x:v>Functional or motor-control activation</x:v>
      </x:c>
      <x:c r="P273" s="24" t="str">
        <x:v>Tongue protrusion and retraction; Tongue tip up/down within mouth; Tongue pressure to palate (very gentle); Speech articulation: pa-ta-ka softly</x:v>
      </x:c>
      <x:c r="Q273" s="24" t="str">
        <x:v>Active/involved status varies with technique, loading, individual anatomy and fatigue.</x:v>
      </x:c>
    </x:row>
    <x:row r="274" ht="54" customHeight="1">
      <x:c r="A274" s="24" t="str">
        <x:v>Hyoglossus</x:v>
      </x:c>
      <x:c r="B274" s="24" t="str">
        <x:v>Head &amp; Face</x:v>
      </x:c>
      <x:c r="C274" s="24" t="str">
        <x:v>Extrinsic tongue</x:v>
      </x:c>
      <x:c r="D274" s="24" t="str">
        <x:v>Hypoglossal nerve</x:v>
      </x:c>
      <x:c r="E274" s="24" t="str">
        <x:v>CN XII; no spinal root</x:v>
      </x:c>
      <x:c r="F274" s="24" t="str">
        <x:v>Greater horn and body hyoid</x:v>
      </x:c>
      <x:c r="G274" s="24" t="str">
        <x:v>Side of tongue</x:v>
      </x:c>
      <x:c r="H274" s="24" t="str">
        <x:v>Hyoid origin tendon</x:v>
      </x:c>
      <x:c r="I274" s="24" t="str">
        <x:v>Stylohyoid ligament near greater horn, not direct insertion</x:v>
      </x:c>
      <x:c r="J274" s="24" t="str">
        <x:v>Mixed Type I and Type II; ratio unverified</x:v>
      </x:c>
      <x:c r="K274" s="24" t="str">
        <x:v>EX0337; EX0339; EX0352</x:v>
      </x:c>
      <x:c r="L274" s="24" t="str">
        <x:v>—</x:v>
      </x:c>
      <x:c r="M274" s="24" t="str">
        <x:v>—</x:v>
      </x:c>
      <x:c r="N274" s="24" t="str">
        <x:v>—</x:v>
      </x:c>
      <x:c r="O274" s="24" t="str">
        <x:v>Functional or motor-control activation</x:v>
      </x:c>
      <x:c r="P274" s="24" t="str">
        <x:v>Tongue protrusion and retraction; Tongue lateral movement; Ordinary voluntary swallow (function only)</x:v>
      </x:c>
      <x:c r="Q274" s="24" t="str">
        <x:v>Active/involved status varies with technique, loading, individual anatomy and fatigue.</x:v>
      </x:c>
    </x:row>
    <x:row r="275" ht="54" customHeight="1">
      <x:c r="A275" s="24" t="str">
        <x:v>Styloglossus</x:v>
      </x:c>
      <x:c r="B275" s="24" t="str">
        <x:v>Head &amp; Face</x:v>
      </x:c>
      <x:c r="C275" s="24" t="str">
        <x:v>Extrinsic tongue</x:v>
      </x:c>
      <x:c r="D275" s="24" t="str">
        <x:v>Hypoglossal nerve</x:v>
      </x:c>
      <x:c r="E275" s="24" t="str">
        <x:v>CN XII; no spinal root</x:v>
      </x:c>
      <x:c r="F275" s="24" t="str">
        <x:v>Styloid process and stylohyoid ligament</x:v>
      </x:c>
      <x:c r="G275" s="24" t="str">
        <x:v>Side and inferior tongue</x:v>
      </x:c>
      <x:c r="H275" s="24" t="str">
        <x:v>Styloid origin tendon</x:v>
      </x:c>
      <x:c r="I275" s="24" t="str">
        <x:v>Stylohyoid ligament direct origin fibers</x:v>
      </x:c>
      <x:c r="J275" s="24" t="str">
        <x:v>Mixed Type I and Type II; ratio unverified</x:v>
      </x:c>
      <x:c r="K275" s="24" t="str">
        <x:v>EX0337; EX0338; EX0339; EX0352</x:v>
      </x:c>
      <x:c r="L275" s="24" t="str">
        <x:v>—</x:v>
      </x:c>
      <x:c r="M275" s="24" t="str">
        <x:v>—</x:v>
      </x:c>
      <x:c r="N275" s="24" t="str">
        <x:v>—</x:v>
      </x:c>
      <x:c r="O275" s="24" t="str">
        <x:v>Functional or motor-control activation</x:v>
      </x:c>
      <x:c r="P275" s="24" t="str">
        <x:v>Tongue protrusion and retraction; Tongue tip up/down within mouth; Tongue lateral movement; Ordinary voluntary swallow (function only)</x:v>
      </x:c>
      <x:c r="Q275" s="24" t="str">
        <x:v>Active/involved status varies with technique, loading, individual anatomy and fatigue.</x:v>
      </x:c>
    </x:row>
    <x:row r="276" ht="54" customHeight="1">
      <x:c r="A276" s="24" t="str">
        <x:v>Palatoglossus</x:v>
      </x:c>
      <x:c r="B276" s="24" t="str">
        <x:v>Head &amp; Face</x:v>
      </x:c>
      <x:c r="C276" s="24" t="str">
        <x:v>Extrinsic tongue / soft palate</x:v>
      </x:c>
      <x:c r="D276" s="24" t="str">
        <x:v>Pharyngeal plexus via vagus nerve</x:v>
      </x:c>
      <x:c r="E276" s="24" t="str">
        <x:v>CN X; no spinal root</x:v>
      </x:c>
      <x:c r="F276" s="24" t="str">
        <x:v>Palatine aponeurosis</x:v>
      </x:c>
      <x:c r="G276" s="24" t="str">
        <x:v>Side of posterior tongue</x:v>
      </x:c>
      <x:c r="H276" s="24" t="str">
        <x:v>Palatine aponeurosis</x:v>
      </x:c>
      <x:c r="I276" s="24" t="str">
        <x:v>Palatine aponeurosis fibrous origin</x:v>
      </x:c>
      <x:c r="J276" s="24" t="str">
        <x:v>Mixed Type I and Type II; ratio unverified</x:v>
      </x:c>
      <x:c r="K276" s="24" t="str">
        <x:v>EX0352; EX0353</x:v>
      </x:c>
      <x:c r="L276" s="24" t="str">
        <x:v>EX0345</x:v>
      </x:c>
      <x:c r="M276" s="24" t="str">
        <x:v>—</x:v>
      </x:c>
      <x:c r="N276" s="24" t="str">
        <x:v>—</x:v>
      </x:c>
      <x:c r="O276" s="24" t="str">
        <x:v>Functional or motor-control activation</x:v>
      </x:c>
      <x:c r="P276" s="24" t="str">
        <x:v>Ordinary voluntary swallow (function only); Controlled soft-palate phonation (gentle nasal/oral contrast); Soft palate lift by sustained 'ah' (ordinary voice)</x:v>
      </x:c>
      <x:c r="Q276" s="24" t="str">
        <x:v>Active/involved status varies with technique, loading, individual anatomy and fatigue.</x:v>
      </x:c>
    </x:row>
    <x:row r="277" ht="54" customHeight="1">
      <x:c r="A277" s="24" t="str">
        <x:v>Orbicularis oculi palpebral part</x:v>
      </x:c>
      <x:c r="B277" s="24" t="str">
        <x:v>Head &amp; Face</x:v>
      </x:c>
      <x:c r="C277" s="24" t="str">
        <x:v>Eyelids</x:v>
      </x:c>
      <x:c r="D277" s="24" t="str">
        <x:v>Temporal and zygomatic facial branches</x:v>
      </x:c>
      <x:c r="E277" s="24" t="str">
        <x:v>CN VII; no spinal root</x:v>
      </x:c>
      <x:c r="F277" s="24" t="str">
        <x:v>Medial palpebral ligament</x:v>
      </x:c>
      <x:c r="G277" s="24" t="str">
        <x:v>Lateral palpebral raphe</x:v>
      </x:c>
      <x:c r="H277" s="24" t="str">
        <x:v>Palpebral raphe fibrous attachment</x:v>
      </x:c>
      <x:c r="I277" s="24" t="str">
        <x:v>Medial palpebral ligament direct origin</x:v>
      </x:c>
      <x:c r="J277" s="24" t="str">
        <x:v>Mixed Type I and Type II; ratio unverified</x:v>
      </x:c>
      <x:c r="K277" s="24" t="str">
        <x:v>EX0323; EX0359</x:v>
      </x:c>
      <x:c r="L277" s="24" t="str">
        <x:v>EX0324; EX0358</x:v>
      </x:c>
      <x:c r="M277" s="24" t="str">
        <x:v>—</x:v>
      </x:c>
      <x:c r="N277" s="24" t="str">
        <x:v>—</x:v>
      </x:c>
      <x:c r="O277" s="24" t="str">
        <x:v>Functional or motor-control activation</x:v>
      </x:c>
      <x:c r="P277" s="24" t="str">
        <x:v>Gentle eye closure and blink; Blink rest break (eyelid comfort); Intentional stronger eye closure (brief); Voluntary eyelid raise and relax</x:v>
      </x:c>
      <x:c r="Q277" s="24" t="str">
        <x:v>Active/involved status varies with technique, loading, individual anatomy and fatigue.</x:v>
      </x:c>
    </x:row>
    <x:row r="278" ht="54" customHeight="1">
      <x:c r="A278" s="24" t="str">
        <x:v>Inferior longitudinal tongue muscle</x:v>
      </x:c>
      <x:c r="B278" s="24" t="str">
        <x:v>Head &amp; Face</x:v>
      </x:c>
      <x:c r="C278" s="24" t="str">
        <x:v>Intrinsic tongue</x:v>
      </x:c>
      <x:c r="D278" s="24" t="str">
        <x:v>Hypoglossal nerve</x:v>
      </x:c>
      <x:c r="E278" s="24" t="str">
        <x:v>CN XII; no spinal root</x:v>
      </x:c>
      <x:c r="F278" s="24" t="str">
        <x:v>Root of tongue and hyoid vicinity</x:v>
      </x:c>
      <x:c r="G278" s="24" t="str">
        <x:v>Tongue apex</x:v>
      </x:c>
      <x:c r="H278" s="24" t="str">
        <x:v>Intralingual fascicles</x:v>
      </x:c>
      <x:c r="I278" s="24" t="str">
        <x:v>Lingual septum</x:v>
      </x:c>
      <x:c r="J278" s="24" t="str">
        <x:v>Mixed Type I and Type II; ratio unverified</x:v>
      </x:c>
      <x:c r="K278" s="24" t="str">
        <x:v>EX0338; EX0339; EX0342; EX0343; EX0347; EX0352</x:v>
      </x:c>
      <x:c r="L278" s="24" t="str">
        <x:v>EX0337; EX0340; EX0341</x:v>
      </x:c>
      <x:c r="M278" s="24" t="str">
        <x:v>—</x:v>
      </x:c>
      <x:c r="N278" s="24" t="str">
        <x:v>—</x:v>
      </x:c>
      <x:c r="O278" s="24" t="str">
        <x:v>Functional or motor-control activation</x:v>
      </x:c>
      <x:c r="P278" s="24" t="str">
        <x:v>Tongue tip up/down within mouth; Tongue lateral movement; Tongue tip curl downward; Tongue pressure to palate (very gentle); Tongue protrusion and retraction; Tongue narrow/widen control</x:v>
      </x:c>
      <x:c r="Q278" s="24" t="str">
        <x:v>Active/involved status varies with technique, loading, individual anatomy and fatigue.</x:v>
      </x:c>
    </x:row>
    <x:row r="279" ht="54" customHeight="1">
      <x:c r="A279" s="24" t="str">
        <x:v>Superior longitudinal tongue muscle</x:v>
      </x:c>
      <x:c r="B279" s="24" t="str">
        <x:v>Head &amp; Face</x:v>
      </x:c>
      <x:c r="C279" s="24" t="str">
        <x:v>Intrinsic tongue</x:v>
      </x:c>
      <x:c r="D279" s="24" t="str">
        <x:v>Hypoglossal nerve</x:v>
      </x:c>
      <x:c r="E279" s="24" t="str">
        <x:v>CN XII; no spinal root</x:v>
      </x:c>
      <x:c r="F279" s="24" t="str">
        <x:v>Submucosal tissue and posterior tongue fibrous septum</x:v>
      </x:c>
      <x:c r="G279" s="24" t="str">
        <x:v>Tip and margins of tongue</x:v>
      </x:c>
      <x:c r="H279" s="24" t="str">
        <x:v>Intralingual fibrous septa, no long tendon</x:v>
      </x:c>
      <x:c r="I279" s="24" t="str">
        <x:v>Lingual septum, not ligament</x:v>
      </x:c>
      <x:c r="J279" s="24" t="str">
        <x:v>Mixed Type I and Type II; ratio unverified</x:v>
      </x:c>
      <x:c r="K279" s="24" t="str">
        <x:v>EX0338; EX0339; EX0341; EX0343; EX0347; EX0352</x:v>
      </x:c>
      <x:c r="L279" s="24" t="str">
        <x:v>EX0337; EX0340; EX0342</x:v>
      </x:c>
      <x:c r="M279" s="24" t="str">
        <x:v>—</x:v>
      </x:c>
      <x:c r="N279" s="24" t="str">
        <x:v>—</x:v>
      </x:c>
      <x:c r="O279" s="24" t="str">
        <x:v>Functional or motor-control activation</x:v>
      </x:c>
      <x:c r="P279" s="24" t="str">
        <x:v>Tongue tip up/down within mouth; Tongue lateral movement; Tongue tip curl upward; Tongue pressure to palate (very gentle); Tongue protrusion and retraction; Tongue narrow/widen control</x:v>
      </x:c>
      <x:c r="Q279" s="24" t="str">
        <x:v>Active/involved status varies with technique, loading, individual anatomy and fatigue.</x:v>
      </x:c>
    </x:row>
    <x:row r="280" ht="54" customHeight="1">
      <x:c r="A280" s="24" t="str">
        <x:v>Transverse tongue muscle</x:v>
      </x:c>
      <x:c r="B280" s="24" t="str">
        <x:v>Head &amp; Face</x:v>
      </x:c>
      <x:c r="C280" s="24" t="str">
        <x:v>Intrinsic tongue</x:v>
      </x:c>
      <x:c r="D280" s="24" t="str">
        <x:v>Hypoglossal nerve</x:v>
      </x:c>
      <x:c r="E280" s="24" t="str">
        <x:v>CN XII; no spinal root</x:v>
      </x:c>
      <x:c r="F280" s="24" t="str">
        <x:v>Median fibrous lingual septum</x:v>
      </x:c>
      <x:c r="G280" s="24" t="str">
        <x:v>Lateral tongue margins</x:v>
      </x:c>
      <x:c r="H280" s="24" t="str">
        <x:v>Fibrous lingual septum direct origin</x:v>
      </x:c>
      <x:c r="I280" s="24" t="str">
        <x:v>Lingual septum fibrous tissue</x:v>
      </x:c>
      <x:c r="J280" s="24" t="str">
        <x:v>Mixed Type I and Type II; ratio unverified</x:v>
      </x:c>
      <x:c r="K280" s="24" t="str">
        <x:v>EX0338; EX0339; EX0340; EX0343; EX0347; EX0352</x:v>
      </x:c>
      <x:c r="L280" s="24" t="str">
        <x:v>EX0337; EX0341; EX0342</x:v>
      </x:c>
      <x:c r="M280" s="24" t="str">
        <x:v>—</x:v>
      </x:c>
      <x:c r="N280" s="24" t="str">
        <x:v>—</x:v>
      </x:c>
      <x:c r="O280" s="24" t="str">
        <x:v>Functional or motor-control activation</x:v>
      </x:c>
      <x:c r="P280" s="24" t="str">
        <x:v>Tongue tip up/down within mouth; Tongue lateral movement; Tongue narrow/widen control; Tongue pressure to palate (very gentle); Tongue protrusion and retraction; Tongue tip curl upward</x:v>
      </x:c>
      <x:c r="Q280" s="24" t="str">
        <x:v>Active/involved status varies with technique, loading, individual anatomy and fatigue.</x:v>
      </x:c>
    </x:row>
    <x:row r="281" ht="54" customHeight="1">
      <x:c r="A281" s="24" t="str">
        <x:v>Vertical tongue muscle</x:v>
      </x:c>
      <x:c r="B281" s="24" t="str">
        <x:v>Head &amp; Face</x:v>
      </x:c>
      <x:c r="C281" s="24" t="str">
        <x:v>Intrinsic tongue</x:v>
      </x:c>
      <x:c r="D281" s="24" t="str">
        <x:v>Hypoglossal nerve</x:v>
      </x:c>
      <x:c r="E281" s="24" t="str">
        <x:v>CN XII; no spinal root</x:v>
      </x:c>
      <x:c r="F281" s="24" t="str">
        <x:v>Dorsal tongue aponeurosis</x:v>
      </x:c>
      <x:c r="G281" s="24" t="str">
        <x:v>Inferior tongue surface</x:v>
      </x:c>
      <x:c r="H281" s="24" t="str">
        <x:v>Lingual aponeurosis</x:v>
      </x:c>
      <x:c r="I281" s="24" t="str">
        <x:v>Fibrous aponeurosis (not ligament)</x:v>
      </x:c>
      <x:c r="J281" s="24" t="str">
        <x:v>Mixed Type I and Type II; ratio unverified</x:v>
      </x:c>
      <x:c r="K281" s="24" t="str">
        <x:v>EX0338; EX0339; EX0340; EX0343; EX0347; EX0352</x:v>
      </x:c>
      <x:c r="L281" s="24" t="str">
        <x:v>EX0337; EX0341; EX0342</x:v>
      </x:c>
      <x:c r="M281" s="24" t="str">
        <x:v>—</x:v>
      </x:c>
      <x:c r="N281" s="24" t="str">
        <x:v>—</x:v>
      </x:c>
      <x:c r="O281" s="24" t="str">
        <x:v>Functional or motor-control activation</x:v>
      </x:c>
      <x:c r="P281" s="24" t="str">
        <x:v>Tongue tip up/down within mouth; Tongue lateral movement; Tongue narrow/widen control; Tongue pressure to palate (very gentle); Tongue protrusion and retraction; Tongue tip curl upward</x:v>
      </x:c>
      <x:c r="Q281" s="24" t="str">
        <x:v>Active/involved status varies with technique, loading, individual anatomy and fatigue.</x:v>
      </x:c>
    </x:row>
    <x:row r="282" ht="54" customHeight="1">
      <x:c r="A282" s="24" t="str">
        <x:v>Orbicularis oris marginal part</x:v>
      </x:c>
      <x:c r="B282" s="24" t="str">
        <x:v>Head &amp; Face</x:v>
      </x:c>
      <x:c r="C282" s="24" t="str">
        <x:v>Lips</x:v>
      </x:c>
      <x:c r="D282" s="24" t="str">
        <x:v>Buccal and marginal mandibular facial branches</x:v>
      </x:c>
      <x:c r="E282" s="24" t="str">
        <x:v>CN VII; no spinal root</x:v>
      </x:c>
      <x:c r="F282" s="24" t="str">
        <x:v>Modiolus and surrounding perioral muscle fibers</x:v>
      </x:c>
      <x:c r="G282" s="24" t="str">
        <x:v>Skin and mucosa of lip vermilion</x:v>
      </x:c>
      <x:c r="H282" s="24" t="str">
        <x:v>Musculofascial modiolus attachments</x:v>
      </x:c>
      <x:c r="I282" s="24" t="str">
        <x:v>No independent ligament attachment</x:v>
      </x:c>
      <x:c r="J282" s="24" t="str">
        <x:v>Mixed Type I and Type II; ratio unverified</x:v>
      </x:c>
      <x:c r="K282" s="24" t="str">
        <x:v>EX0328; EX0347; EX0348</x:v>
      </x:c>
      <x:c r="L282" s="24" t="str">
        <x:v>EX0316; EX0327; EX0331</x:v>
      </x:c>
      <x:c r="M282" s="24" t="str">
        <x:v>—</x:v>
      </x:c>
      <x:c r="N282" s="24" t="str">
        <x:v>—</x:v>
      </x:c>
      <x:c r="O282" s="24" t="str">
        <x:v>Functional or motor-control activation</x:v>
      </x:c>
      <x:c r="P282" s="24" t="str">
        <x:v>Lip purse / whistle shape (without force); Speech articulation: pa-ta-ka softly; Cheek / lip light straw sip; Gentle smile then relax; Lower nasal septum lip movement; Chin dimple / lower-lip protrusion</x:v>
      </x:c>
      <x:c r="Q282" s="24" t="str">
        <x:v>Active/involved status varies with technique, loading, individual anatomy and fatigue.</x:v>
      </x:c>
    </x:row>
    <x:row r="283" ht="54" customHeight="1">
      <x:c r="A283" s="24" t="str">
        <x:v>Orbicularis oris peripheral part</x:v>
      </x:c>
      <x:c r="B283" s="24" t="str">
        <x:v>Head &amp; Face</x:v>
      </x:c>
      <x:c r="C283" s="24" t="str">
        <x:v>Lips</x:v>
      </x:c>
      <x:c r="D283" s="24" t="str">
        <x:v>Buccal/marginal mandibular facial branches</x:v>
      </x:c>
      <x:c r="E283" s="24" t="str">
        <x:v>CN VII; no spinal root</x:v>
      </x:c>
      <x:c r="F283" s="24" t="str">
        <x:v>Maxillary/mandibular perioral fascicles and modiolus</x:v>
      </x:c>
      <x:c r="G283" s="24" t="str">
        <x:v>Dermis upper/lower lips</x:v>
      </x:c>
      <x:c r="H283" s="24" t="str">
        <x:v>Modiolus/fascial fiber attachments</x:v>
      </x:c>
      <x:c r="I283" s="24" t="str">
        <x:v>No independent ligament attachment</x:v>
      </x:c>
      <x:c r="J283" s="24" t="str">
        <x:v>Mixed Type I and Type II; ratio unverified</x:v>
      </x:c>
      <x:c r="K283" s="24" t="str">
        <x:v>EX0328; EX0329; EX0348</x:v>
      </x:c>
      <x:c r="L283" s="24" t="str">
        <x:v>EX0330</x:v>
      </x:c>
      <x:c r="M283" s="24" t="str">
        <x:v>—</x:v>
      </x:c>
      <x:c r="N283" s="24" t="str">
        <x:v>—</x:v>
      </x:c>
      <x:c r="O283" s="24" t="str">
        <x:v>Functional or motor-control activation</x:v>
      </x:c>
      <x:c r="P283" s="24" t="str">
        <x:v>Lip purse / whistle shape (without force); Puff cheeks and release; Cheek / lip light straw sip; Gentle cheek retraction</x:v>
      </x:c>
      <x:c r="Q283" s="24" t="str">
        <x:v>Active/involved status varies with technique, loading, individual anatomy and fatigue.</x:v>
      </x:c>
    </x:row>
    <x:row r="284" ht="54" customHeight="1">
      <x:c r="A284" s="24" t="str">
        <x:v>Depressor anguli oris</x:v>
      </x:c>
      <x:c r="B284" s="24" t="str">
        <x:v>Head &amp; Face</x:v>
      </x:c>
      <x:c r="C284" s="24" t="str">
        <x:v>Lower face</x:v>
      </x:c>
      <x:c r="D284" s="24" t="str">
        <x:v>Marginal mandibular facial branch</x:v>
      </x:c>
      <x:c r="E284" s="24" t="str">
        <x:v>CN VII; no spinal root</x:v>
      </x:c>
      <x:c r="F284" s="24" t="str">
        <x:v>Oblique line mandible</x:v>
      </x:c>
      <x:c r="G284" s="24" t="str">
        <x:v>Modiolus at mouth angle</x:v>
      </x:c>
      <x:c r="H284" s="24" t="str">
        <x:v>Modiolus insertion</x:v>
      </x:c>
      <x:c r="I284" s="24" t="str">
        <x:v>No direct ligament attachment</x:v>
      </x:c>
      <x:c r="J284" s="24" t="str">
        <x:v>Mixed Type I and Type II; ratio unverified</x:v>
      </x:c>
      <x:c r="K284" s="24" t="str">
        <x:v>EX0319</x:v>
      </x:c>
      <x:c r="L284" s="24" t="str">
        <x:v>EX0332</x:v>
      </x:c>
      <x:c r="M284" s="24" t="str">
        <x:v>—</x:v>
      </x:c>
      <x:c r="N284" s="24" t="str">
        <x:v>—</x:v>
      </x:c>
      <x:c r="O284" s="24" t="str">
        <x:v>Functional or motor-control activation</x:v>
      </x:c>
      <x:c r="P284" s="24" t="str">
        <x:v>Lower lip depression / mild pout; Gentle platysma neck skin tension</x:v>
      </x:c>
      <x:c r="Q284" s="24" t="str">
        <x:v>Active/involved status varies with technique, loading, individual anatomy and fatigue.</x:v>
      </x:c>
    </x:row>
    <x:row r="285" ht="54" customHeight="1">
      <x:c r="A285" s="24" t="str">
        <x:v>Depressor labii inferioris</x:v>
      </x:c>
      <x:c r="B285" s="24" t="str">
        <x:v>Head &amp; Face</x:v>
      </x:c>
      <x:c r="C285" s="24" t="str">
        <x:v>Lower face</x:v>
      </x:c>
      <x:c r="D285" s="24" t="str">
        <x:v>Marginal mandibular facial branch</x:v>
      </x:c>
      <x:c r="E285" s="24" t="str">
        <x:v>CN VII; no spinal root</x:v>
      </x:c>
      <x:c r="F285" s="24" t="str">
        <x:v>Oblique line mandible</x:v>
      </x:c>
      <x:c r="G285" s="24" t="str">
        <x:v>Skin lower lip</x:v>
      </x:c>
      <x:c r="H285" s="24" t="str">
        <x:v>Dermal fascicles</x:v>
      </x:c>
      <x:c r="I285" s="24" t="str">
        <x:v>No direct ligament attachment</x:v>
      </x:c>
      <x:c r="J285" s="24" t="str">
        <x:v>Mixed Type I and Type II; ratio unverified</x:v>
      </x:c>
      <x:c r="K285" s="24" t="str">
        <x:v>EX0319</x:v>
      </x:c>
      <x:c r="L285" s="24" t="str">
        <x:v>—</x:v>
      </x:c>
      <x:c r="M285" s="24" t="str">
        <x:v>—</x:v>
      </x:c>
      <x:c r="N285" s="24" t="str">
        <x:v>—</x:v>
      </x:c>
      <x:c r="O285" s="24" t="str">
        <x:v>Functional or motor-control activation</x:v>
      </x:c>
      <x:c r="P285" s="24" t="str">
        <x:v>Lower lip depression / mild pout</x:v>
      </x:c>
      <x:c r="Q285" s="24" t="str">
        <x:v>Active/involved status varies with technique, loading, individual anatomy and fatigue.</x:v>
      </x:c>
    </x:row>
    <x:row r="286" ht="54" customHeight="1">
      <x:c r="A286" s="24" t="str">
        <x:v>Masseter deep portion</x:v>
      </x:c>
      <x:c r="B286" s="24" t="str">
        <x:v>Head &amp; Face</x:v>
      </x:c>
      <x:c r="C286" s="24" t="str">
        <x:v>Mastication</x:v>
      </x:c>
      <x:c r="D286" s="24" t="str">
        <x:v>Masseteric nerve (V3)</x:v>
      </x:c>
      <x:c r="E286" s="24" t="str">
        <x:v>CN V3; no spinal motor root</x:v>
      </x:c>
      <x:c r="F286" s="24" t="str">
        <x:v>Posterior zygomatic arch</x:v>
      </x:c>
      <x:c r="G286" s="24" t="str">
        <x:v>Lateral ramus and coronoid process mandible</x:v>
      </x:c>
      <x:c r="H286" s="24" t="str">
        <x:v>Deep masseter insertion tendon</x:v>
      </x:c>
      <x:c r="I286" s="24" t="str">
        <x:v>TMJ lateral ligament nearby, no direct insertion</x:v>
      </x:c>
      <x:c r="J286" s="24" t="str">
        <x:v>Mixed Type I and Type II; ratio unverified</x:v>
      </x:c>
      <x:c r="K286" s="24" t="str">
        <x:v>EX0334</x:v>
      </x:c>
      <x:c r="L286" s="24" t="str">
        <x:v>EX0333; EX0335</x:v>
      </x:c>
      <x:c r="M286" s="24" t="str">
        <x:v>—</x:v>
      </x:c>
      <x:c r="N286" s="24" t="str">
        <x:v>EX0333</x:v>
      </x:c>
      <x:c r="O286" s="24" t="str">
        <x:v>Functional or motor-control activation</x:v>
      </x:c>
      <x:c r="P286" s="24" t="str">
        <x:v>Jaw closing gentle isometric on soft food; Jaw open-close controlled ROM; Gentle lateral jaw glide</x:v>
      </x:c>
      <x:c r="Q286" s="24" t="str">
        <x:v>Active/involved status varies with technique, loading, individual anatomy and fatigue.</x:v>
      </x:c>
    </x:row>
    <x:row r="287" ht="54" customHeight="1">
      <x:c r="A287" s="24" t="str">
        <x:v>Masseter superficial portion</x:v>
      </x:c>
      <x:c r="B287" s="24" t="str">
        <x:v>Head &amp; Face</x:v>
      </x:c>
      <x:c r="C287" s="24" t="str">
        <x:v>Mastication</x:v>
      </x:c>
      <x:c r="D287" s="24" t="str">
        <x:v>Masseteric nerve (V3)</x:v>
      </x:c>
      <x:c r="E287" s="24" t="str">
        <x:v>CN V3; no spinal motor root</x:v>
      </x:c>
      <x:c r="F287" s="24" t="str">
        <x:v>Zygomatic process maxilla; anterior zygomatic arch</x:v>
      </x:c>
      <x:c r="G287" s="24" t="str">
        <x:v>Lateral angle and inferior ramus mandible</x:v>
      </x:c>
      <x:c r="H287" s="24" t="str">
        <x:v>Masseteric aponeurosis</x:v>
      </x:c>
      <x:c r="I287" s="24" t="str">
        <x:v>Sphenomandibular ligament medial to ramus, not direct muscle attachment</x:v>
      </x:c>
      <x:c r="J287" s="24" t="str">
        <x:v>Mixed Type I and Type II; ratio unverified</x:v>
      </x:c>
      <x:c r="K287" s="24" t="str">
        <x:v>EX0334</x:v>
      </x:c>
      <x:c r="L287" s="24" t="str">
        <x:v>EX0333; EX0335</x:v>
      </x:c>
      <x:c r="M287" s="24" t="str">
        <x:v>—</x:v>
      </x:c>
      <x:c r="N287" s="24" t="str">
        <x:v>EX0333</x:v>
      </x:c>
      <x:c r="O287" s="24" t="str">
        <x:v>Functional or motor-control activation</x:v>
      </x:c>
      <x:c r="P287" s="24" t="str">
        <x:v>Jaw closing gentle isometric on soft food; Jaw open-close controlled ROM; Gentle lateral jaw glide</x:v>
      </x:c>
      <x:c r="Q287" s="24" t="str">
        <x:v>Active/involved status varies with technique, loading, individual anatomy and fatigue.</x:v>
      </x:c>
    </x:row>
    <x:row r="288" ht="54" customHeight="1">
      <x:c r="A288" s="24" t="str">
        <x:v>Medial pterygoid deep head</x:v>
      </x:c>
      <x:c r="B288" s="24" t="str">
        <x:v>Head &amp; Face</x:v>
      </x:c>
      <x:c r="C288" s="24" t="str">
        <x:v>Mastication</x:v>
      </x:c>
      <x:c r="D288" s="24" t="str">
        <x:v>Nerve to medial pterygoid (V3)</x:v>
      </x:c>
      <x:c r="E288" s="24" t="str">
        <x:v>CN V3; no spinal motor root</x:v>
      </x:c>
      <x:c r="F288" s="24" t="str">
        <x:v>Medial surface lateral pterygoid plate and pyramidal palatine process</x:v>
      </x:c>
      <x:c r="G288" s="24" t="str">
        <x:v>Medial mandibular angle/ramus</x:v>
      </x:c>
      <x:c r="H288" s="24" t="str">
        <x:v>Pterygoid insertion tendon</x:v>
      </x:c>
      <x:c r="I288" s="24" t="str">
        <x:v>Sphenomandibular ligament lies nearby</x:v>
      </x:c>
      <x:c r="J288" s="24" t="str">
        <x:v>Mixed Type I and Type II; ratio unverified</x:v>
      </x:c>
      <x:c r="K288" s="24" t="str">
        <x:v>EX0334; EX0335; EX0336</x:v>
      </x:c>
      <x:c r="L288" s="24" t="str">
        <x:v>EX0333</x:v>
      </x:c>
      <x:c r="M288" s="24" t="str">
        <x:v>—</x:v>
      </x:c>
      <x:c r="N288" s="24" t="str">
        <x:v>EX0333</x:v>
      </x:c>
      <x:c r="O288" s="24" t="str">
        <x:v>Functional or motor-control activation</x:v>
      </x:c>
      <x:c r="P288" s="24" t="str">
        <x:v>Jaw closing gentle isometric on soft food; Gentle lateral jaw glide; Jaw protrusion / retrusion control; Jaw open-close controlled ROM</x:v>
      </x:c>
      <x:c r="Q288" s="24" t="str">
        <x:v>Active/involved status varies with technique, loading, individual anatomy and fatigue.</x:v>
      </x:c>
    </x:row>
    <x:row r="289" ht="54" customHeight="1">
      <x:c r="A289" s="24" t="str">
        <x:v>Medial pterygoid superficial head</x:v>
      </x:c>
      <x:c r="B289" s="24" t="str">
        <x:v>Head &amp; Face</x:v>
      </x:c>
      <x:c r="C289" s="24" t="str">
        <x:v>Mastication</x:v>
      </x:c>
      <x:c r="D289" s="24" t="str">
        <x:v>Nerve to medial pterygoid (V3)</x:v>
      </x:c>
      <x:c r="E289" s="24" t="str">
        <x:v>CN V3; no spinal motor root</x:v>
      </x:c>
      <x:c r="F289" s="24" t="str">
        <x:v>Maxillary tuberosity</x:v>
      </x:c>
      <x:c r="G289" s="24" t="str">
        <x:v>Medial mandibular angle/ramus</x:v>
      </x:c>
      <x:c r="H289" s="24" t="str">
        <x:v>Fibrous insertion tendon</x:v>
      </x:c>
      <x:c r="I289" s="24" t="str">
        <x:v>Sphenomandibular ligament nearby</x:v>
      </x:c>
      <x:c r="J289" s="24" t="str">
        <x:v>Mixed Type I and Type II; ratio unverified</x:v>
      </x:c>
      <x:c r="K289" s="24" t="str">
        <x:v>EX0334; EX0335; EX0336</x:v>
      </x:c>
      <x:c r="L289" s="24" t="str">
        <x:v>EX0333</x:v>
      </x:c>
      <x:c r="M289" s="24" t="str">
        <x:v>—</x:v>
      </x:c>
      <x:c r="N289" s="24" t="str">
        <x:v>EX0333</x:v>
      </x:c>
      <x:c r="O289" s="24" t="str">
        <x:v>Functional or motor-control activation</x:v>
      </x:c>
      <x:c r="P289" s="24" t="str">
        <x:v>Jaw closing gentle isometric on soft food; Gentle lateral jaw glide; Jaw protrusion / retrusion control; Jaw open-close controlled ROM</x:v>
      </x:c>
      <x:c r="Q289" s="24" t="str">
        <x:v>Active/involved status varies with technique, loading, individual anatomy and fatigue.</x:v>
      </x:c>
    </x:row>
    <x:row r="290" ht="54" customHeight="1">
      <x:c r="A290" s="24" t="str">
        <x:v>Temporalis anterior fibers</x:v>
      </x:c>
      <x:c r="B290" s="24" t="str">
        <x:v>Head &amp; Face</x:v>
      </x:c>
      <x:c r="C290" s="24" t="str">
        <x:v>Mastication</x:v>
      </x:c>
      <x:c r="D290" s="24" t="str">
        <x:v>Deep temporal nerves (V3)</x:v>
      </x:c>
      <x:c r="E290" s="24" t="str">
        <x:v>CN V3; no spinal motor root</x:v>
      </x:c>
      <x:c r="F290" s="24" t="str">
        <x:v>Anterior temporal fossa; temporal fascia</x:v>
      </x:c>
      <x:c r="G290" s="24" t="str">
        <x:v>Coronoid process/anterior mandibular ramus</x:v>
      </x:c>
      <x:c r="H290" s="24" t="str">
        <x:v>Temporalis tendon</x:v>
      </x:c>
      <x:c r="I290" s="24" t="str">
        <x:v>Temporal fascia direct origin; TMJ ligament nearby</x:v>
      </x:c>
      <x:c r="J290" s="24" t="str">
        <x:v>Mixed Type I and Type II; ratio unverified</x:v>
      </x:c>
      <x:c r="K290" s="24" t="str">
        <x:v>EX0334; EX0335</x:v>
      </x:c>
      <x:c r="L290" s="24" t="str">
        <x:v>EX0333; EX0336</x:v>
      </x:c>
      <x:c r="M290" s="24" t="str">
        <x:v>—</x:v>
      </x:c>
      <x:c r="N290" s="24" t="str">
        <x:v>EX0333</x:v>
      </x:c>
      <x:c r="O290" s="24" t="str">
        <x:v>Functional or motor-control activation</x:v>
      </x:c>
      <x:c r="P290" s="24" t="str">
        <x:v>Jaw closing gentle isometric on soft food; Gentle lateral jaw glide; Jaw open-close controlled ROM; Jaw protrusion / retrusion control</x:v>
      </x:c>
      <x:c r="Q290" s="24" t="str">
        <x:v>Active/involved status varies with technique, loading, individual anatomy and fatigue.</x:v>
      </x:c>
    </x:row>
    <x:row r="291" ht="54" customHeight="1">
      <x:c r="A291" s="24" t="str">
        <x:v>Temporalis posterior fibers</x:v>
      </x:c>
      <x:c r="B291" s="24" t="str">
        <x:v>Head &amp; Face</x:v>
      </x:c>
      <x:c r="C291" s="24" t="str">
        <x:v>Mastication</x:v>
      </x:c>
      <x:c r="D291" s="24" t="str">
        <x:v>Deep temporal nerves (V3)</x:v>
      </x:c>
      <x:c r="E291" s="24" t="str">
        <x:v>CN V3; no spinal motor root</x:v>
      </x:c>
      <x:c r="F291" s="24" t="str">
        <x:v>Posterior temporal fossa; temporal fascia</x:v>
      </x:c>
      <x:c r="G291" s="24" t="str">
        <x:v>Coronoid process of mandible</x:v>
      </x:c>
      <x:c r="H291" s="24" t="str">
        <x:v>Temporalis tendon</x:v>
      </x:c>
      <x:c r="I291" s="24" t="str">
        <x:v>Temporal fascia origin</x:v>
      </x:c>
      <x:c r="J291" s="24" t="str">
        <x:v>Mixed Type I and Type II; ratio unverified</x:v>
      </x:c>
      <x:c r="K291" s="24" t="str">
        <x:v>EX0334; EX0335</x:v>
      </x:c>
      <x:c r="L291" s="24" t="str">
        <x:v>EX0333; EX0336</x:v>
      </x:c>
      <x:c r="M291" s="24" t="str">
        <x:v>—</x:v>
      </x:c>
      <x:c r="N291" s="24" t="str">
        <x:v>EX0333</x:v>
      </x:c>
      <x:c r="O291" s="24" t="str">
        <x:v>Functional or motor-control activation</x:v>
      </x:c>
      <x:c r="P291" s="24" t="str">
        <x:v>Jaw closing gentle isometric on soft food; Gentle lateral jaw glide; Jaw open-close controlled ROM; Jaw protrusion / retrusion control</x:v>
      </x:c>
      <x:c r="Q291" s="24" t="str">
        <x:v>Active/involved status varies with technique, loading, individual anatomy and fatigue.</x:v>
      </x:c>
    </x:row>
    <x:row r="292" ht="54" customHeight="1">
      <x:c r="A292" s="24" t="str">
        <x:v>Lateral pterygoid inferior head</x:v>
      </x:c>
      <x:c r="B292" s="24" t="str">
        <x:v>Head &amp; Face</x:v>
      </x:c>
      <x:c r="C292" s="24" t="str">
        <x:v>Mastication / TMJ</x:v>
      </x:c>
      <x:c r="D292" s="24" t="str">
        <x:v>Nerve to lateral pterygoid (V3)</x:v>
      </x:c>
      <x:c r="E292" s="24" t="str">
        <x:v>CN V3; no spinal motor root</x:v>
      </x:c>
      <x:c r="F292" s="24" t="str">
        <x:v>Lateral surface lateral pterygoid plate</x:v>
      </x:c>
      <x:c r="G292" s="24" t="str">
        <x:v>Pterygoid fovea of mandibular neck</x:v>
      </x:c>
      <x:c r="H292" s="24" t="str">
        <x:v>Pterygoid fovea insertion tendon</x:v>
      </x:c>
      <x:c r="I292" s="24" t="str">
        <x:v>TMJ capsular ligament complex nearby</x:v>
      </x:c>
      <x:c r="J292" s="24" t="str">
        <x:v>Mixed Type I and Type II; ratio unverified</x:v>
      </x:c>
      <x:c r="K292" s="24" t="str">
        <x:v>EX0333; EX0335; EX0336</x:v>
      </x:c>
      <x:c r="L292" s="24" t="str">
        <x:v>—</x:v>
      </x:c>
      <x:c r="M292" s="24" t="str">
        <x:v>—</x:v>
      </x:c>
      <x:c r="N292" s="24" t="str">
        <x:v>EX0333</x:v>
      </x:c>
      <x:c r="O292" s="24" t="str">
        <x:v>Functional or motor-control activation</x:v>
      </x:c>
      <x:c r="P292" s="24" t="str">
        <x:v>Jaw open-close controlled ROM; Gentle lateral jaw glide; Jaw protrusion / retrusion control</x:v>
      </x:c>
      <x:c r="Q292" s="24" t="str">
        <x:v>Active/involved status varies with technique, loading, individual anatomy and fatigue.</x:v>
      </x:c>
    </x:row>
    <x:row r="293" ht="54" customHeight="1">
      <x:c r="A293" s="24" t="str">
        <x:v>Lateral pterygoid superior head</x:v>
      </x:c>
      <x:c r="B293" s="24" t="str">
        <x:v>Head &amp; Face</x:v>
      </x:c>
      <x:c r="C293" s="24" t="str">
        <x:v>Mastication / TMJ</x:v>
      </x:c>
      <x:c r="D293" s="24" t="str">
        <x:v>Nerve to lateral pterygoid (V3)</x:v>
      </x:c>
      <x:c r="E293" s="24" t="str">
        <x:v>CN V3; no spinal motor root</x:v>
      </x:c>
      <x:c r="F293" s="24" t="str">
        <x:v>Infratemporal surface/crest greater wing sphenoid</x:v>
      </x:c>
      <x:c r="G293" s="24" t="str">
        <x:v>TMJ articular disc/capsule and pterygoid fovea mandibular neck</x:v>
      </x:c>
      <x:c r="H293" s="24" t="str">
        <x:v>Capsulodiscal fibrous attachment</x:v>
      </x:c>
      <x:c r="I293" s="24" t="str">
        <x:v>TMJ capsule and lateral ligament adjacent</x:v>
      </x:c>
      <x:c r="J293" s="24" t="str">
        <x:v>Mixed Type I and Type II; ratio unverified</x:v>
      </x:c>
      <x:c r="K293" s="24" t="str">
        <x:v>EX0333; EX0335; EX0336</x:v>
      </x:c>
      <x:c r="L293" s="24" t="str">
        <x:v>—</x:v>
      </x:c>
      <x:c r="M293" s="24" t="str">
        <x:v>—</x:v>
      </x:c>
      <x:c r="N293" s="24" t="str">
        <x:v>EX0333</x:v>
      </x:c>
      <x:c r="O293" s="24" t="str">
        <x:v>Functional or motor-control activation</x:v>
      </x:c>
      <x:c r="P293" s="24" t="str">
        <x:v>Jaw open-close controlled ROM; Gentle lateral jaw glide; Jaw protrusion / retrusion control</x:v>
      </x:c>
      <x:c r="Q293" s="24" t="str">
        <x:v>Active/involved status varies with technique, loading, individual anatomy and fatigue.</x:v>
      </x:c>
    </x:row>
    <x:row r="294" ht="54" customHeight="1">
      <x:c r="A294" s="24" t="str">
        <x:v>Orbicularis oculi lacrimal part (Horner muscle)</x:v>
      </x:c>
      <x:c r="B294" s="24" t="str">
        <x:v>Head &amp; Face</x:v>
      </x:c>
      <x:c r="C294" s="24" t="str">
        <x:v>Medial eyelid</x:v>
      </x:c>
      <x:c r="D294" s="24" t="str">
        <x:v>Zygomatic branch facial nerve</x:v>
      </x:c>
      <x:c r="E294" s="24" t="str">
        <x:v>CN VII; no spinal root</x:v>
      </x:c>
      <x:c r="F294" s="24" t="str">
        <x:v>Posterior lacrimal crest/lacrimal fascia</x:v>
      </x:c>
      <x:c r="G294" s="24" t="str">
        <x:v>Medial tarsal plates</x:v>
      </x:c>
      <x:c r="H294" s="24" t="str">
        <x:v>Tarsal tendon/fibrous slips</x:v>
      </x:c>
      <x:c r="I294" s="24" t="str">
        <x:v>Medial canthal tendon/lacrimal fascia</x:v>
      </x:c>
      <x:c r="J294" s="24" t="str">
        <x:v>Mixed Type I and Type II; ratio unverified</x:v>
      </x:c>
      <x:c r="K294" s="24" t="str">
        <x:v>EX0323; EX0359</x:v>
      </x:c>
      <x:c r="L294" s="24" t="str">
        <x:v>—</x:v>
      </x:c>
      <x:c r="M294" s="24" t="str">
        <x:v>—</x:v>
      </x:c>
      <x:c r="N294" s="24" t="str">
        <x:v>—</x:v>
      </x:c>
      <x:c r="O294" s="24" t="str">
        <x:v>Functional or motor-control activation</x:v>
      </x:c>
      <x:c r="P294" s="24" t="str">
        <x:v>Gentle eye closure and blink; Blink rest break (eyelid comfort)</x:v>
      </x:c>
      <x:c r="Q294" s="24" t="str">
        <x:v>Active/involved status varies with technique, loading, individual anatomy and fatigue.</x:v>
      </x:c>
    </x:row>
    <x:row r="295" ht="54" customHeight="1">
      <x:c r="A295" s="24" t="str">
        <x:v>Procerus</x:v>
      </x:c>
      <x:c r="B295" s="24" t="str">
        <x:v>Head &amp; Face</x:v>
      </x:c>
      <x:c r="C295" s="24" t="str">
        <x:v>Nasal bridge</x:v>
      </x:c>
      <x:c r="D295" s="24" t="str">
        <x:v>Temporal/buccal facial branches</x:v>
      </x:c>
      <x:c r="E295" s="24" t="str">
        <x:v>CN VII; no spinal root</x:v>
      </x:c>
      <x:c r="F295" s="24" t="str">
        <x:v>Nasal bone and upper lateral nasal cartilage</x:v>
      </x:c>
      <x:c r="G295" s="24" t="str">
        <x:v>Skin between eyebrows</x:v>
      </x:c>
      <x:c r="H295" s="24" t="str">
        <x:v>Fibrous dermal insertion</x:v>
      </x:c>
      <x:c r="I295" s="24" t="str">
        <x:v>No specific direct ligament attachment</x:v>
      </x:c>
      <x:c r="J295" s="24" t="str">
        <x:v>Mixed Type I and Type II; ratio unverified</x:v>
      </x:c>
      <x:c r="K295" s="24" t="str">
        <x:v>EX0320; EX0325</x:v>
      </x:c>
      <x:c r="L295" s="24" t="str">
        <x:v>—</x:v>
      </x:c>
      <x:c r="M295" s="24" t="str">
        <x:v>—</x:v>
      </x:c>
      <x:c r="N295" s="24" t="str">
        <x:v>—</x:v>
      </x:c>
      <x:c r="O295" s="24" t="str">
        <x:v>Functional or motor-control activation</x:v>
      </x:c>
      <x:c r="P295" s="24" t="str">
        <x:v>Eyebrow frown and release; Nose wrinkle / nasal compression</x:v>
      </x:c>
      <x:c r="Q295" s="24" t="str">
        <x:v>Active/involved status varies with technique, loading, individual anatomy and fatigue.</x:v>
      </x:c>
    </x:row>
    <x:row r="296" ht="54" customHeight="1">
      <x:c r="A296" s="24" t="str">
        <x:v>Depressor septi nasi</x:v>
      </x:c>
      <x:c r="B296" s="24" t="str">
        <x:v>Head &amp; Face</x:v>
      </x:c>
      <x:c r="C296" s="24" t="str">
        <x:v>Nose</x:v>
      </x:c>
      <x:c r="D296" s="24" t="str">
        <x:v>Buccal facial branches</x:v>
      </x:c>
      <x:c r="E296" s="24" t="str">
        <x:v>CN VII; no spinal root</x:v>
      </x:c>
      <x:c r="F296" s="24" t="str">
        <x:v>Incisive fossa of maxilla</x:v>
      </x:c>
      <x:c r="G296" s="24" t="str">
        <x:v>Mobile nasal septum/columella</x:v>
      </x:c>
      <x:c r="H296" s="24" t="str">
        <x:v>Fibrous septal insertion</x:v>
      </x:c>
      <x:c r="I296" s="24" t="str">
        <x:v>Nasal septal cartilage connective tissue</x:v>
      </x:c>
      <x:c r="J296" s="24" t="str">
        <x:v>Mixed Type I and Type II; ratio unverified</x:v>
      </x:c>
      <x:c r="K296" s="24" t="str">
        <x:v>EX0327</x:v>
      </x:c>
      <x:c r="L296" s="24" t="str">
        <x:v>—</x:v>
      </x:c>
      <x:c r="M296" s="24" t="str">
        <x:v>—</x:v>
      </x:c>
      <x:c r="N296" s="24" t="str">
        <x:v>—</x:v>
      </x:c>
      <x:c r="O296" s="24" t="str">
        <x:v>Functional or motor-control activation</x:v>
      </x:c>
      <x:c r="P296" s="24" t="str">
        <x:v>Lower nasal septum lip movement</x:v>
      </x:c>
      <x:c r="Q296" s="24" t="str">
        <x:v>Active/involved status varies with technique, loading, individual anatomy and fatigue.</x:v>
      </x:c>
    </x:row>
    <x:row r="297" ht="54" customHeight="1">
      <x:c r="A297" s="24" t="str">
        <x:v>Nasalis alar part (dilator naris)</x:v>
      </x:c>
      <x:c r="B297" s="24" t="str">
        <x:v>Head &amp; Face</x:v>
      </x:c>
      <x:c r="C297" s="24" t="str">
        <x:v>Nose</x:v>
      </x:c>
      <x:c r="D297" s="24" t="str">
        <x:v>Buccal facial branches</x:v>
      </x:c>
      <x:c r="E297" s="24" t="str">
        <x:v>CN VII; no spinal root</x:v>
      </x:c>
      <x:c r="F297" s="24" t="str">
        <x:v>Maxilla near lateral incisor</x:v>
      </x:c>
      <x:c r="G297" s="24" t="str">
        <x:v>Greater alar cartilage/skin of nostril</x:v>
      </x:c>
      <x:c r="H297" s="24" t="str">
        <x:v>Dermal/cartilage fascicles</x:v>
      </x:c>
      <x:c r="I297" s="24" t="str">
        <x:v>Alar cartilaginous connective tissue</x:v>
      </x:c>
      <x:c r="J297" s="24" t="str">
        <x:v>Mixed Type I and Type II; ratio unverified</x:v>
      </x:c>
      <x:c r="K297" s="24" t="str">
        <x:v>EX0326</x:v>
      </x:c>
      <x:c r="L297" s="24" t="str">
        <x:v>—</x:v>
      </x:c>
      <x:c r="M297" s="24" t="str">
        <x:v>—</x:v>
      </x:c>
      <x:c r="N297" s="24" t="str">
        <x:v>—</x:v>
      </x:c>
      <x:c r="O297" s="24" t="str">
        <x:v>Functional or motor-control activation</x:v>
      </x:c>
      <x:c r="P297" s="24" t="str">
        <x:v>Nostril flare</x:v>
      </x:c>
      <x:c r="Q297" s="24" t="str">
        <x:v>Active/involved status varies with technique, loading, individual anatomy and fatigue.</x:v>
      </x:c>
    </x:row>
    <x:row r="298" ht="54" customHeight="1">
      <x:c r="A298" s="24" t="str">
        <x:v>Nasalis transverse part (compressor naris)</x:v>
      </x:c>
      <x:c r="B298" s="24" t="str">
        <x:v>Head &amp; Face</x:v>
      </x:c>
      <x:c r="C298" s="24" t="str">
        <x:v>Nose</x:v>
      </x:c>
      <x:c r="D298" s="24" t="str">
        <x:v>Buccal facial branches</x:v>
      </x:c>
      <x:c r="E298" s="24" t="str">
        <x:v>CN VII; no spinal root</x:v>
      </x:c>
      <x:c r="F298" s="24" t="str">
        <x:v>Maxilla lateral to nose</x:v>
      </x:c>
      <x:c r="G298" s="24" t="str">
        <x:v>Aponeurosis bridge of nose</x:v>
      </x:c>
      <x:c r="H298" s="24" t="str">
        <x:v>Dorsal nasal aponeurosis</x:v>
      </x:c>
      <x:c r="I298" s="24" t="str">
        <x:v>Nasal cartilage fibrous attachments</x:v>
      </x:c>
      <x:c r="J298" s="24" t="str">
        <x:v>Mixed Type I and Type II; ratio unverified</x:v>
      </x:c>
      <x:c r="K298" s="24" t="str">
        <x:v>EX0325</x:v>
      </x:c>
      <x:c r="L298" s="24" t="str">
        <x:v>—</x:v>
      </x:c>
      <x:c r="M298" s="24" t="str">
        <x:v>—</x:v>
      </x:c>
      <x:c r="N298" s="24" t="str">
        <x:v>—</x:v>
      </x:c>
      <x:c r="O298" s="24" t="str">
        <x:v>Functional or motor-control activation</x:v>
      </x:c>
      <x:c r="P298" s="24" t="str">
        <x:v>Nose wrinkle / nasal compression</x:v>
      </x:c>
      <x:c r="Q298" s="24" t="str">
        <x:v>Active/involved status varies with technique, loading, individual anatomy and fatigue.</x:v>
      </x:c>
    </x:row>
    <x:row r="299" ht="54" customHeight="1">
      <x:c r="A299" s="24" t="str">
        <x:v>Levator labii superioris alaeque nasi</x:v>
      </x:c>
      <x:c r="B299" s="24" t="str">
        <x:v>Head &amp; Face</x:v>
      </x:c>
      <x:c r="C299" s="24" t="str">
        <x:v>Nose upper lip</x:v>
      </x:c>
      <x:c r="D299" s="24" t="str">
        <x:v>Buccal facial branches</x:v>
      </x:c>
      <x:c r="E299" s="24" t="str">
        <x:v>CN VII; no spinal root</x:v>
      </x:c>
      <x:c r="F299" s="24" t="str">
        <x:v>Frontal process of maxilla</x:v>
      </x:c>
      <x:c r="G299" s="24" t="str">
        <x:v>Alar cartilage and upper lip skin</x:v>
      </x:c>
      <x:c r="H299" s="24" t="str">
        <x:v>Dermal insertions</x:v>
      </x:c>
      <x:c r="I299" s="24" t="str">
        <x:v>No specific ligament attachment</x:v>
      </x:c>
      <x:c r="J299" s="24" t="str">
        <x:v>Mixed Type I and Type II; ratio unverified</x:v>
      </x:c>
      <x:c r="K299" s="24" t="str">
        <x:v>EX0318; EX0326</x:v>
      </x:c>
      <x:c r="L299" s="24" t="str">
        <x:v>—</x:v>
      </x:c>
      <x:c r="M299" s="24" t="str">
        <x:v>—</x:v>
      </x:c>
      <x:c r="N299" s="24" t="str">
        <x:v>—</x:v>
      </x:c>
      <x:c r="O299" s="24" t="str">
        <x:v>Functional or motor-control activation</x:v>
      </x:c>
      <x:c r="P299" s="24" t="str">
        <x:v>Upper lip lift; Nostril flare</x:v>
      </x:c>
      <x:c r="Q299" s="24" t="str">
        <x:v>Active/involved status varies with technique, loading, individual anatomy and fatigue.</x:v>
      </x:c>
    </x:row>
    <x:row r="300" ht="54" customHeight="1">
      <x:c r="A300" s="24" t="str">
        <x:v>Orbicularis oculi orbital part</x:v>
      </x:c>
      <x:c r="B300" s="24" t="str">
        <x:v>Head &amp; Face</x:v>
      </x:c>
      <x:c r="C300" s="24" t="str">
        <x:v>Periorbital</x:v>
      </x:c>
      <x:c r="D300" s="24" t="str">
        <x:v>Temporal and zygomatic branches facial nerve</x:v>
      </x:c>
      <x:c r="E300" s="24" t="str">
        <x:v>CN VII; no spinal root</x:v>
      </x:c>
      <x:c r="F300" s="24" t="str">
        <x:v>Medial orbital margin; medial palpebral ligament</x:v>
      </x:c>
      <x:c r="G300" s="24" t="str">
        <x:v>Skin around orbital rim</x:v>
      </x:c>
      <x:c r="H300" s="24" t="str">
        <x:v>Medial canthal tendon/medial palpebral ligament</x:v>
      </x:c>
      <x:c r="I300" s="24" t="str">
        <x:v>Medial palpebral ligament direct origin</x:v>
      </x:c>
      <x:c r="J300" s="24" t="str">
        <x:v>Mixed Type I and Type II; ratio unverified</x:v>
      </x:c>
      <x:c r="K300" s="24" t="str">
        <x:v>EX0324; EX0359</x:v>
      </x:c>
      <x:c r="L300" s="24" t="str">
        <x:v>—</x:v>
      </x:c>
      <x:c r="M300" s="24" t="str">
        <x:v>—</x:v>
      </x:c>
      <x:c r="N300" s="24" t="str">
        <x:v>—</x:v>
      </x:c>
      <x:c r="O300" s="24" t="str">
        <x:v>Functional or motor-control activation</x:v>
      </x:c>
      <x:c r="P300" s="24" t="str">
        <x:v>Intentional stronger eye closure (brief); Blink rest break (eyelid comfort)</x:v>
      </x:c>
      <x:c r="Q300" s="24" t="str">
        <x:v>Active/involved status varies with technique, loading, individual anatomy and fatigue.</x:v>
      </x:c>
    </x:row>
    <x:row r="301" ht="54" customHeight="1">
      <x:c r="A301" s="24" t="str">
        <x:v>Frontalis (occipitofrontalis frontal belly)</x:v>
      </x:c>
      <x:c r="B301" s="24" t="str">
        <x:v>Head &amp; Face</x:v>
      </x:c>
      <x:c r="C301" s="24" t="str">
        <x:v>Scalp</x:v>
      </x:c>
      <x:c r="D301" s="24" t="str">
        <x:v>Temporal branches facial nerve</x:v>
      </x:c>
      <x:c r="E301" s="24" t="str">
        <x:v>CN VII; no spinal root</x:v>
      </x:c>
      <x:c r="F301" s="24" t="str">
        <x:v>Epicranial aponeurosis</x:v>
      </x:c>
      <x:c r="G301" s="24" t="str">
        <x:v>Skin eyebrows/root nose</x:v>
      </x:c>
      <x:c r="H301" s="24" t="str">
        <x:v>Epicranial aponeurosis</x:v>
      </x:c>
      <x:c r="I301" s="24" t="str">
        <x:v>No direct ligament attachment</x:v>
      </x:c>
      <x:c r="J301" s="24" t="str">
        <x:v>Mixed Type I and Type II; ratio unverified</x:v>
      </x:c>
      <x:c r="K301" s="24" t="str">
        <x:v>EX0321</x:v>
      </x:c>
      <x:c r="L301" s="24" t="str">
        <x:v>EX0322</x:v>
      </x:c>
      <x:c r="M301" s="24" t="str">
        <x:v>—</x:v>
      </x:c>
      <x:c r="N301" s="24" t="str">
        <x:v>—</x:v>
      </x:c>
      <x:c r="O301" s="24" t="str">
        <x:v>Functional or motor-control activation</x:v>
      </x:c>
      <x:c r="P301" s="24" t="str">
        <x:v>Raise eyebrows / forehead wrinkle; Scalp retraction cue (if voluntarily controlled)</x:v>
      </x:c>
      <x:c r="Q301" s="24" t="str">
        <x:v>Active/involved status varies with technique, loading, individual anatomy and fatigue.</x:v>
      </x:c>
    </x:row>
    <x:row r="302" ht="54" customHeight="1">
      <x:c r="A302" s="24" t="str">
        <x:v>Occipitalis (occipitofrontalis occipital belly)</x:v>
      </x:c>
      <x:c r="B302" s="24" t="str">
        <x:v>Head &amp; Face</x:v>
      </x:c>
      <x:c r="C302" s="24" t="str">
        <x:v>Scalp</x:v>
      </x:c>
      <x:c r="D302" s="24" t="str">
        <x:v>Posterior auricular branch facial nerve</x:v>
      </x:c>
      <x:c r="E302" s="24" t="str">
        <x:v>CN VII; no spinal root</x:v>
      </x:c>
      <x:c r="F302" s="24" t="str">
        <x:v>Lateral superior nuchal line; mastoid part temporal bone</x:v>
      </x:c>
      <x:c r="G302" s="24" t="str">
        <x:v>Epicranial aponeurosis</x:v>
      </x:c>
      <x:c r="H302" s="24" t="str">
        <x:v>Galea aponeurotica (epicranial aponeurosis)</x:v>
      </x:c>
      <x:c r="I302" s="24" t="str">
        <x:v>Nuchal ligament nearby, no direct attachment</x:v>
      </x:c>
      <x:c r="J302" s="24" t="str">
        <x:v>Mixed Type I and Type II; ratio unverified</x:v>
      </x:c>
      <x:c r="K302" s="24" t="str">
        <x:v>EX0322</x:v>
      </x:c>
      <x:c r="L302" s="24" t="str">
        <x:v>EX0321</x:v>
      </x:c>
      <x:c r="M302" s="24" t="str">
        <x:v>—</x:v>
      </x:c>
      <x:c r="N302" s="24" t="str">
        <x:v>—</x:v>
      </x:c>
      <x:c r="O302" s="24" t="str">
        <x:v>Functional or motor-control activation</x:v>
      </x:c>
      <x:c r="P302" s="24" t="str">
        <x:v>Scalp retraction cue (if voluntarily controlled); Raise eyebrows / forehead wrinkle</x:v>
      </x:c>
      <x:c r="Q302" s="24" t="str">
        <x:v>Active/involved status varies with technique, loading, individual anatomy and fatigue.</x:v>
      </x:c>
    </x:row>
    <x:row r="303" ht="54" customHeight="1">
      <x:c r="A303" s="24" t="str">
        <x:v>Temporoparietalis</x:v>
      </x:c>
      <x:c r="B303" s="24" t="str">
        <x:v>Head &amp; Face</x:v>
      </x:c>
      <x:c r="C303" s="24" t="str">
        <x:v>Scalp</x:v>
      </x:c>
      <x:c r="D303" s="24" t="str">
        <x:v>Temporal branches facial nerve</x:v>
      </x:c>
      <x:c r="E303" s="24" t="str">
        <x:v>CN VII; no spinal root</x:v>
      </x:c>
      <x:c r="F303" s="24" t="str">
        <x:v>Fascia above auricle</x:v>
      </x:c>
      <x:c r="G303" s="24" t="str">
        <x:v>Epicranial aponeurosis</x:v>
      </x:c>
      <x:c r="H303" s="24" t="str">
        <x:v>Epicranial aponeurosis</x:v>
      </x:c>
      <x:c r="I303" s="24" t="str">
        <x:v>Auricular fascia, no known direct ligament</x:v>
      </x:c>
      <x:c r="J303" s="24" t="str">
        <x:v>Mixed Type I and Type II; ratio unverified</x:v>
      </x:c>
      <x:c r="K303" s="24" t="str">
        <x:v>EX0322; EX0344</x:v>
      </x:c>
      <x:c r="L303" s="24" t="str">
        <x:v>—</x:v>
      </x:c>
      <x:c r="M303" s="24" t="str">
        <x:v>—</x:v>
      </x:c>
      <x:c r="N303" s="24" t="str">
        <x:v>—</x:v>
      </x:c>
      <x:c r="O303" s="24" t="str">
        <x:v>Functional or motor-control activation</x:v>
      </x:c>
      <x:c r="P303" s="24" t="str">
        <x:v>Scalp retraction cue (if voluntarily controlled); Gentle ear wiggle attempt</x:v>
      </x:c>
      <x:c r="Q303" s="24" t="str">
        <x:v>Active/involved status varies with technique, loading, individual anatomy and fatigue.</x:v>
      </x:c>
    </x:row>
    <x:row r="304" ht="54" customHeight="1">
      <x:c r="A304" s="24" t="str">
        <x:v>Levator labii superioris</x:v>
      </x:c>
      <x:c r="B304" s="24" t="str">
        <x:v>Head &amp; Face</x:v>
      </x:c>
      <x:c r="C304" s="24" t="str">
        <x:v>Upper lip</x:v>
      </x:c>
      <x:c r="D304" s="24" t="str">
        <x:v>Zygomatic/buccal facial branches</x:v>
      </x:c>
      <x:c r="E304" s="24" t="str">
        <x:v>CN VII; no spinal root</x:v>
      </x:c>
      <x:c r="F304" s="24" t="str">
        <x:v>Infraorbital margin maxilla</x:v>
      </x:c>
      <x:c r="G304" s="24" t="str">
        <x:v>Skin/muscle upper lip</x:v>
      </x:c>
      <x:c r="H304" s="24" t="str">
        <x:v>Dermal fibers</x:v>
      </x:c>
      <x:c r="I304" s="24" t="str">
        <x:v>No specific ligament attachment</x:v>
      </x:c>
      <x:c r="J304" s="24" t="str">
        <x:v>Mixed Type I and Type II; ratio unverified</x:v>
      </x:c>
      <x:c r="K304" s="24" t="str">
        <x:v>EX0316; EX0318</x:v>
      </x:c>
      <x:c r="L304" s="24" t="str">
        <x:v>—</x:v>
      </x:c>
      <x:c r="M304" s="24" t="str">
        <x:v>—</x:v>
      </x:c>
      <x:c r="N304" s="24" t="str">
        <x:v>—</x:v>
      </x:c>
      <x:c r="O304" s="24" t="str">
        <x:v>Functional or motor-control activation</x:v>
      </x:c>
      <x:c r="P304" s="24" t="str">
        <x:v>Gentle smile then relax; Upper lip lift</x:v>
      </x:c>
      <x:c r="Q304" s="24" t="str">
        <x:v>Active/involved status varies with technique, loading, individual anatomy and fatigue.</x:v>
      </x:c>
    </x:row>
    <x:row r="305" ht="54" customHeight="1">
      <x:c r="A305" s="24" t="str">
        <x:v>Zygomaticus minor</x:v>
      </x:c>
      <x:c r="B305" s="24" t="str">
        <x:v>Head &amp; Face</x:v>
      </x:c>
      <x:c r="C305" s="24" t="str">
        <x:v>Upper lip</x:v>
      </x:c>
      <x:c r="D305" s="24" t="str">
        <x:v>Zygomatic/buccal facial branches</x:v>
      </x:c>
      <x:c r="E305" s="24" t="str">
        <x:v>CN VII; no spinal root</x:v>
      </x:c>
      <x:c r="F305" s="24" t="str">
        <x:v>Zygomatic bone lateral malar region</x:v>
      </x:c>
      <x:c r="G305" s="24" t="str">
        <x:v>Upper lip skin/orbicularis oris</x:v>
      </x:c>
      <x:c r="H305" s="24" t="str">
        <x:v>Dermal musculofascial insertion</x:v>
      </x:c>
      <x:c r="I305" s="24" t="str">
        <x:v>No specific ligament attachment</x:v>
      </x:c>
      <x:c r="J305" s="24" t="str">
        <x:v>Mixed Type I and Type II; ratio unverified</x:v>
      </x:c>
      <x:c r="K305" s="24" t="str">
        <x:v>EX0316; EX0318</x:v>
      </x:c>
      <x:c r="L305" s="24" t="str">
        <x:v>—</x:v>
      </x:c>
      <x:c r="M305" s="24" t="str">
        <x:v>—</x:v>
      </x:c>
      <x:c r="N305" s="24" t="str">
        <x:v>—</x:v>
      </x:c>
      <x:c r="O305" s="24" t="str">
        <x:v>Functional or motor-control activation</x:v>
      </x:c>
      <x:c r="P305" s="24" t="str">
        <x:v>Gentle smile then relax; Upper lip lift</x:v>
      </x:c>
      <x:c r="Q305" s="24" t="str">
        <x:v>Active/involved status varies with technique, loading, individual anatomy and fatigue.</x:v>
      </x:c>
    </x:row>
    <x:row r="306" ht="54" customHeight="1">
      <x:c r="A306" s="24" t="str">
        <x:v>Aryepiglottic muscle</x:v>
      </x:c>
      <x:c r="B306" s="24" t="str">
        <x:v>Pharynx &amp; Larynx</x:v>
      </x:c>
      <x:c r="C306" s="24" t="str">
        <x:v>Intrinsic laryngeal</x:v>
      </x:c>
      <x:c r="D306" s="24" t="str">
        <x:v>Recurrent laryngeal nerve</x:v>
      </x:c>
      <x:c r="E306" s="24" t="str">
        <x:v>CN X; no spinal root</x:v>
      </x:c>
      <x:c r="F306" s="24" t="str">
        <x:v>Apex arytenoid via oblique arytenoid continuation</x:v>
      </x:c>
      <x:c r="G306" s="24" t="str">
        <x:v>Lateral edge epiglottis</x:v>
      </x:c>
      <x:c r="H306" s="24" t="str">
        <x:v>Aryepiglottic fold fibrous insertion</x:v>
      </x:c>
      <x:c r="I306" s="24" t="str">
        <x:v>Quadrangular membrane under aryepiglottic fold</x:v>
      </x:c>
      <x:c r="J306" s="24" t="str">
        <x:v>Mixed/specialized; not quantified</x:v>
      </x:c>
      <x:c r="K306" s="24" t="str">
        <x:v>EX0349; EX0351</x:v>
      </x:c>
      <x:c r="L306" s="24" t="str">
        <x:v>EX0352; EX0353</x:v>
      </x:c>
      <x:c r="M306" s="24" t="str">
        <x:v>—</x:v>
      </x:c>
      <x:c r="N306" s="24" t="str">
        <x:v>—</x:v>
      </x:c>
      <x:c r="O306" s="24" t="str">
        <x:v>Functional or motor-control activation</x:v>
      </x:c>
      <x:c r="P306" s="24" t="str">
        <x:v>Conversational phonation gentle vowel; Soft humming with comfortable breath; Ordinary voluntary swallow (function only); Controlled soft-palate phonation (gentle nasal/oral contrast)</x:v>
      </x:c>
      <x:c r="Q306" s="24" t="str">
        <x:v>Normal voice tasks are low-load coordination, not evidence of selective hypertrophy.</x:v>
      </x:c>
    </x:row>
    <x:row r="307" ht="54" customHeight="1">
      <x:c r="A307" s="24" t="str">
        <x:v>Cricothyroid oblique part</x:v>
      </x:c>
      <x:c r="B307" s="24" t="str">
        <x:v>Pharynx &amp; Larynx</x:v>
      </x:c>
      <x:c r="C307" s="24" t="str">
        <x:v>Intrinsic laryngeal</x:v>
      </x:c>
      <x:c r="D307" s="24" t="str">
        <x:v>External branch superior laryngeal nerve</x:v>
      </x:c>
      <x:c r="E307" s="24" t="str">
        <x:v>CN X; no spinal root</x:v>
      </x:c>
      <x:c r="F307" s="24" t="str">
        <x:v>Cricoid cartilage lateral arch</x:v>
      </x:c>
      <x:c r="G307" s="24" t="str">
        <x:v>Inferior horn thyroid cartilage</x:v>
      </x:c>
      <x:c r="H307" s="24" t="str">
        <x:v>Short oblique tendon</x:v>
      </x:c>
      <x:c r="I307" s="24" t="str">
        <x:v>Cricothyroid joint ligament complex adjacent</x:v>
      </x:c>
      <x:c r="J307" s="24" t="str">
        <x:v>Mixed/specialized; not quantified</x:v>
      </x:c>
      <x:c r="K307" s="24" t="str">
        <x:v>EX0349; EX0350; EX0351</x:v>
      </x:c>
      <x:c r="L307" s="24" t="str">
        <x:v>EX0352; EX0353</x:v>
      </x:c>
      <x:c r="M307" s="24" t="str">
        <x:v>—</x:v>
      </x:c>
      <x:c r="N307" s="24" t="str">
        <x:v>—</x:v>
      </x:c>
      <x:c r="O307" s="24" t="str">
        <x:v>Functional or motor-control activation</x:v>
      </x:c>
      <x:c r="P307" s="24" t="str">
        <x:v>Conversational phonation gentle vowel; Gentle pitch glide ('mmm' to higher/lower); Soft humming with comfortable breath; Ordinary voluntary swallow (function only); Controlled soft-palate phonation (gentle nasal/oral contrast)</x:v>
      </x:c>
      <x:c r="Q307" s="24" t="str">
        <x:v>Normal voice tasks are low-load coordination, not evidence of selective hypertrophy.</x:v>
      </x:c>
    </x:row>
    <x:row r="308" ht="54" customHeight="1">
      <x:c r="A308" s="24" t="str">
        <x:v>Cricothyroid straight part</x:v>
      </x:c>
      <x:c r="B308" s="24" t="str">
        <x:v>Pharynx &amp; Larynx</x:v>
      </x:c>
      <x:c r="C308" s="24" t="str">
        <x:v>Intrinsic laryngeal</x:v>
      </x:c>
      <x:c r="D308" s="24" t="str">
        <x:v>External branch superior laryngeal nerve</x:v>
      </x:c>
      <x:c r="E308" s="24" t="str">
        <x:v>CN X; no spinal root</x:v>
      </x:c>
      <x:c r="F308" s="24" t="str">
        <x:v>Anterolateral arch cricoid cartilage</x:v>
      </x:c>
      <x:c r="G308" s="24" t="str">
        <x:v>Inferior border lamina thyroid cartilage</x:v>
      </x:c>
      <x:c r="H308" s="24" t="str">
        <x:v>Short cartilage-to-cartilage tendon</x:v>
      </x:c>
      <x:c r="I308" s="24" t="str">
        <x:v>Cricothyroid ligament/membrane adjacent</x:v>
      </x:c>
      <x:c r="J308" s="24" t="str">
        <x:v>Mixed/specialized; not quantified</x:v>
      </x:c>
      <x:c r="K308" s="24" t="str">
        <x:v>EX0349; EX0350; EX0351</x:v>
      </x:c>
      <x:c r="L308" s="24" t="str">
        <x:v>EX0352; EX0353</x:v>
      </x:c>
      <x:c r="M308" s="24" t="str">
        <x:v>—</x:v>
      </x:c>
      <x:c r="N308" s="24" t="str">
        <x:v>—</x:v>
      </x:c>
      <x:c r="O308" s="24" t="str">
        <x:v>Functional or motor-control activation</x:v>
      </x:c>
      <x:c r="P308" s="24" t="str">
        <x:v>Conversational phonation gentle vowel; Gentle pitch glide ('mmm' to higher/lower); Soft humming with comfortable breath; Ordinary voluntary swallow (function only); Controlled soft-palate phonation (gentle nasal/oral contrast)</x:v>
      </x:c>
      <x:c r="Q308" s="24" t="str">
        <x:v>Normal voice tasks are low-load coordination, not evidence of selective hypertrophy.</x:v>
      </x:c>
    </x:row>
    <x:row r="309" ht="54" customHeight="1">
      <x:c r="A309" s="24" t="str">
        <x:v>Lateral cricoarytenoid</x:v>
      </x:c>
      <x:c r="B309" s="24" t="str">
        <x:v>Pharynx &amp; Larynx</x:v>
      </x:c>
      <x:c r="C309" s="24" t="str">
        <x:v>Intrinsic laryngeal</x:v>
      </x:c>
      <x:c r="D309" s="24" t="str">
        <x:v>Recurrent laryngeal nerve</x:v>
      </x:c>
      <x:c r="E309" s="24" t="str">
        <x:v>CN X; no spinal root</x:v>
      </x:c>
      <x:c r="F309" s="24" t="str">
        <x:v>Superior/lateral arch cricoid cartilage</x:v>
      </x:c>
      <x:c r="G309" s="24" t="str">
        <x:v>Muscular process arytenoid cartilage</x:v>
      </x:c>
      <x:c r="H309" s="24" t="str">
        <x:v>Arytenoid muscular process tendon</x:v>
      </x:c>
      <x:c r="I309" s="24" t="str">
        <x:v>Cricoarytenoid capsule nearby</x:v>
      </x:c>
      <x:c r="J309" s="24" t="str">
        <x:v>Mixed/specialized; not quantified</x:v>
      </x:c>
      <x:c r="K309" s="24" t="str">
        <x:v>EX0349; EX0351</x:v>
      </x:c>
      <x:c r="L309" s="24" t="str">
        <x:v>EX0352; EX0353</x:v>
      </x:c>
      <x:c r="M309" s="24" t="str">
        <x:v>—</x:v>
      </x:c>
      <x:c r="N309" s="24" t="str">
        <x:v>—</x:v>
      </x:c>
      <x:c r="O309" s="24" t="str">
        <x:v>Functional or motor-control activation</x:v>
      </x:c>
      <x:c r="P309" s="24" t="str">
        <x:v>Conversational phonation gentle vowel; Soft humming with comfortable breath; Ordinary voluntary swallow (function only); Controlled soft-palate phonation (gentle nasal/oral contrast)</x:v>
      </x:c>
      <x:c r="Q309" s="24" t="str">
        <x:v>Normal voice tasks are low-load coordination, not evidence of selective hypertrophy.</x:v>
      </x:c>
    </x:row>
    <x:row r="310" ht="54" customHeight="1">
      <x:c r="A310" s="24" t="str">
        <x:v>Oblique arytenoid</x:v>
      </x:c>
      <x:c r="B310" s="24" t="str">
        <x:v>Pharynx &amp; Larynx</x:v>
      </x:c>
      <x:c r="C310" s="24" t="str">
        <x:v>Intrinsic laryngeal</x:v>
      </x:c>
      <x:c r="D310" s="24" t="str">
        <x:v>Recurrent laryngeal nerve</x:v>
      </x:c>
      <x:c r="E310" s="24" t="str">
        <x:v>CN X; no spinal root</x:v>
      </x:c>
      <x:c r="F310" s="24" t="str">
        <x:v>Muscular process of one arytenoid</x:v>
      </x:c>
      <x:c r="G310" s="24" t="str">
        <x:v>Apex of opposite arytenoid</x:v>
      </x:c>
      <x:c r="H310" s="24" t="str">
        <x:v>Short arytenoid aponeurosis</x:v>
      </x:c>
      <x:c r="I310" s="24" t="str">
        <x:v>Quadrangular membrane continuation near apex</x:v>
      </x:c>
      <x:c r="J310" s="24" t="str">
        <x:v>Mixed/specialized; not quantified</x:v>
      </x:c>
      <x:c r="K310" s="24" t="str">
        <x:v>EX0349; EX0351</x:v>
      </x:c>
      <x:c r="L310" s="24" t="str">
        <x:v>EX0352; EX0353</x:v>
      </x:c>
      <x:c r="M310" s="24" t="str">
        <x:v>—</x:v>
      </x:c>
      <x:c r="N310" s="24" t="str">
        <x:v>—</x:v>
      </x:c>
      <x:c r="O310" s="24" t="str">
        <x:v>Functional or motor-control activation</x:v>
      </x:c>
      <x:c r="P310" s="24" t="str">
        <x:v>Conversational phonation gentle vowel; Soft humming with comfortable breath; Ordinary voluntary swallow (function only); Controlled soft-palate phonation (gentle nasal/oral contrast)</x:v>
      </x:c>
      <x:c r="Q310" s="24" t="str">
        <x:v>Normal voice tasks are low-load coordination, not evidence of selective hypertrophy.</x:v>
      </x:c>
    </x:row>
    <x:row r="311" ht="54" customHeight="1">
      <x:c r="A311" s="24" t="str">
        <x:v>Posterior cricoarytenoid</x:v>
      </x:c>
      <x:c r="B311" s="24" t="str">
        <x:v>Pharynx &amp; Larynx</x:v>
      </x:c>
      <x:c r="C311" s="24" t="str">
        <x:v>Intrinsic laryngeal</x:v>
      </x:c>
      <x:c r="D311" s="24" t="str">
        <x:v>Recurrent laryngeal nerve</x:v>
      </x:c>
      <x:c r="E311" s="24" t="str">
        <x:v>CN X; no spinal root</x:v>
      </x:c>
      <x:c r="F311" s="24" t="str">
        <x:v>Posterior lamina of cricoid cartilage</x:v>
      </x:c>
      <x:c r="G311" s="24" t="str">
        <x:v>Muscular process arytenoid cartilage</x:v>
      </x:c>
      <x:c r="H311" s="24" t="str">
        <x:v>Short arytenoid tendon</x:v>
      </x:c>
      <x:c r="I311" s="24" t="str">
        <x:v>Cricoarytenoid joint capsule/ligaments adjacent</x:v>
      </x:c>
      <x:c r="J311" s="24" t="str">
        <x:v>Mixed/specialized; not quantified</x:v>
      </x:c>
      <x:c r="K311" s="24" t="str">
        <x:v>EX0349; EX0350; EX0351</x:v>
      </x:c>
      <x:c r="L311" s="24" t="str">
        <x:v>EX0352; EX0353</x:v>
      </x:c>
      <x:c r="M311" s="24" t="str">
        <x:v>—</x:v>
      </x:c>
      <x:c r="N311" s="24" t="str">
        <x:v>—</x:v>
      </x:c>
      <x:c r="O311" s="24" t="str">
        <x:v>Functional or motor-control activation</x:v>
      </x:c>
      <x:c r="P311" s="24" t="str">
        <x:v>Conversational phonation gentle vowel; Gentle pitch glide ('mmm' to higher/lower); Soft humming with comfortable breath; Ordinary voluntary swallow (function only); Controlled soft-palate phonation (gentle nasal/oral contrast)</x:v>
      </x:c>
      <x:c r="Q311" s="24" t="str">
        <x:v>Normal voice tasks are low-load coordination, not evidence of selective hypertrophy.</x:v>
      </x:c>
    </x:row>
    <x:row r="312" ht="54" customHeight="1">
      <x:c r="A312" s="24" t="str">
        <x:v>Thyroarytenoid</x:v>
      </x:c>
      <x:c r="B312" s="24" t="str">
        <x:v>Pharynx &amp; Larynx</x:v>
      </x:c>
      <x:c r="C312" s="24" t="str">
        <x:v>Intrinsic laryngeal</x:v>
      </x:c>
      <x:c r="D312" s="24" t="str">
        <x:v>Recurrent laryngeal nerve</x:v>
      </x:c>
      <x:c r="E312" s="24" t="str">
        <x:v>CN X; no spinal root</x:v>
      </x:c>
      <x:c r="F312" s="24" t="str">
        <x:v>Inner thyroid angle anteriorly</x:v>
      </x:c>
      <x:c r="G312" s="24" t="str">
        <x:v>Anterolateral arytenoid cartilage</x:v>
      </x:c>
      <x:c r="H312" s="24" t="str">
        <x:v>Vocal ligament-connected muscle fibers</x:v>
      </x:c>
      <x:c r="I312" s="24" t="str">
        <x:v>Vocal ligament lies medial to thyroarytenoid</x:v>
      </x:c>
      <x:c r="J312" s="24" t="str">
        <x:v>Mixed/specialized; not quantified</x:v>
      </x:c>
      <x:c r="K312" s="24" t="str">
        <x:v>EX0349; EX0350; EX0351</x:v>
      </x:c>
      <x:c r="L312" s="24" t="str">
        <x:v>EX0352; EX0353</x:v>
      </x:c>
      <x:c r="M312" s="24" t="str">
        <x:v>—</x:v>
      </x:c>
      <x:c r="N312" s="24" t="str">
        <x:v>—</x:v>
      </x:c>
      <x:c r="O312" s="24" t="str">
        <x:v>Functional or motor-control activation</x:v>
      </x:c>
      <x:c r="P312" s="24" t="str">
        <x:v>Conversational phonation gentle vowel; Gentle pitch glide ('mmm' to higher/lower); Soft humming with comfortable breath; Ordinary voluntary swallow (function only); Controlled soft-palate phonation (gentle nasal/oral contrast)</x:v>
      </x:c>
      <x:c r="Q312" s="24" t="str">
        <x:v>Normal voice tasks are low-load coordination, not evidence of selective hypertrophy.</x:v>
      </x:c>
    </x:row>
    <x:row r="313" ht="54" customHeight="1">
      <x:c r="A313" s="24" t="str">
        <x:v>Thyroepiglottic muscle</x:v>
      </x:c>
      <x:c r="B313" s="24" t="str">
        <x:v>Pharynx &amp; Larynx</x:v>
      </x:c>
      <x:c r="C313" s="24" t="str">
        <x:v>Intrinsic laryngeal</x:v>
      </x:c>
      <x:c r="D313" s="24" t="str">
        <x:v>Recurrent laryngeal nerve</x:v>
      </x:c>
      <x:c r="E313" s="24" t="str">
        <x:v>CN X; no spinal root</x:v>
      </x:c>
      <x:c r="F313" s="24" t="str">
        <x:v>Inner thyroid angle, continuation thyroarytenoid</x:v>
      </x:c>
      <x:c r="G313" s="24" t="str">
        <x:v>Lateral edge epiglottis</x:v>
      </x:c>
      <x:c r="H313" s="24" t="str">
        <x:v>Aryepiglottic fold fibers</x:v>
      </x:c>
      <x:c r="I313" s="24" t="str">
        <x:v>Quadrangular membrane adjacent</x:v>
      </x:c>
      <x:c r="J313" s="24" t="str">
        <x:v>Mixed/specialized; not quantified</x:v>
      </x:c>
      <x:c r="K313" s="24" t="str">
        <x:v>EX0349; EX0351</x:v>
      </x:c>
      <x:c r="L313" s="24" t="str">
        <x:v>EX0352; EX0353</x:v>
      </x:c>
      <x:c r="M313" s="24" t="str">
        <x:v>—</x:v>
      </x:c>
      <x:c r="N313" s="24" t="str">
        <x:v>—</x:v>
      </x:c>
      <x:c r="O313" s="24" t="str">
        <x:v>Functional or motor-control activation</x:v>
      </x:c>
      <x:c r="P313" s="24" t="str">
        <x:v>Conversational phonation gentle vowel; Soft humming with comfortable breath; Ordinary voluntary swallow (function only); Controlled soft-palate phonation (gentle nasal/oral contrast)</x:v>
      </x:c>
      <x:c r="Q313" s="24" t="str">
        <x:v>Normal voice tasks are low-load coordination, not evidence of selective hypertrophy.</x:v>
      </x:c>
    </x:row>
    <x:row r="314" ht="54" customHeight="1">
      <x:c r="A314" s="24" t="str">
        <x:v>Transverse arytenoid</x:v>
      </x:c>
      <x:c r="B314" s="24" t="str">
        <x:v>Pharynx &amp; Larynx</x:v>
      </x:c>
      <x:c r="C314" s="24" t="str">
        <x:v>Intrinsic laryngeal</x:v>
      </x:c>
      <x:c r="D314" s="24" t="str">
        <x:v>Recurrent laryngeal nerve</x:v>
      </x:c>
      <x:c r="E314" s="24" t="str">
        <x:v>CN X; no spinal root</x:v>
      </x:c>
      <x:c r="F314" s="24" t="str">
        <x:v>Posterior surface one arytenoid cartilage</x:v>
      </x:c>
      <x:c r="G314" s="24" t="str">
        <x:v>Posterior surface opposite arytenoid</x:v>
      </x:c>
      <x:c r="H314" s="24" t="str">
        <x:v>Transverse interarytenoid fibers</x:v>
      </x:c>
      <x:c r="I314" s="24" t="str">
        <x:v>Cricoarytenoid ligament complex nearby</x:v>
      </x:c>
      <x:c r="J314" s="24" t="str">
        <x:v>Mixed/specialized; not quantified</x:v>
      </x:c>
      <x:c r="K314" s="24" t="str">
        <x:v>EX0349; EX0351</x:v>
      </x:c>
      <x:c r="L314" s="24" t="str">
        <x:v>EX0352; EX0353</x:v>
      </x:c>
      <x:c r="M314" s="24" t="str">
        <x:v>—</x:v>
      </x:c>
      <x:c r="N314" s="24" t="str">
        <x:v>—</x:v>
      </x:c>
      <x:c r="O314" s="24" t="str">
        <x:v>Functional or motor-control activation</x:v>
      </x:c>
      <x:c r="P314" s="24" t="str">
        <x:v>Conversational phonation gentle vowel; Soft humming with comfortable breath; Ordinary voluntary swallow (function only); Controlled soft-palate phonation (gentle nasal/oral contrast)</x:v>
      </x:c>
      <x:c r="Q314" s="24" t="str">
        <x:v>Normal voice tasks are low-load coordination, not evidence of selective hypertrophy.</x:v>
      </x:c>
    </x:row>
    <x:row r="315" ht="54" customHeight="1">
      <x:c r="A315" s="24" t="str">
        <x:v>Vocalis</x:v>
      </x:c>
      <x:c r="B315" s="24" t="str">
        <x:v>Pharynx &amp; Larynx</x:v>
      </x:c>
      <x:c r="C315" s="24" t="str">
        <x:v>Intrinsic laryngeal</x:v>
      </x:c>
      <x:c r="D315" s="24" t="str">
        <x:v>Recurrent laryngeal nerve</x:v>
      </x:c>
      <x:c r="E315" s="24" t="str">
        <x:v>CN X; no spinal root</x:v>
      </x:c>
      <x:c r="F315" s="24" t="str">
        <x:v>Anterior thyroid cartilage and vocal ligament</x:v>
      </x:c>
      <x:c r="G315" s="24" t="str">
        <x:v>Vocal process arytenoid and vocal ligament</x:v>
      </x:c>
      <x:c r="H315" s="24" t="str">
        <x:v>Fibers directly adjacent/attach vocal ligament</x:v>
      </x:c>
      <x:c r="I315" s="24" t="str">
        <x:v>Vocal ligament direct intimate muscular relationship</x:v>
      </x:c>
      <x:c r="J315" s="24" t="str">
        <x:v>Mixed/specialized; not quantified</x:v>
      </x:c>
      <x:c r="K315" s="24" t="str">
        <x:v>EX0349; EX0350; EX0351</x:v>
      </x:c>
      <x:c r="L315" s="24" t="str">
        <x:v>EX0352; EX0353</x:v>
      </x:c>
      <x:c r="M315" s="24" t="str">
        <x:v>—</x:v>
      </x:c>
      <x:c r="N315" s="24" t="str">
        <x:v>—</x:v>
      </x:c>
      <x:c r="O315" s="24" t="str">
        <x:v>Functional or motor-control activation</x:v>
      </x:c>
      <x:c r="P315" s="24" t="str">
        <x:v>Conversational phonation gentle vowel; Gentle pitch glide ('mmm' to higher/lower); Soft humming with comfortable breath; Ordinary voluntary swallow (function only); Controlled soft-palate phonation (gentle nasal/oral contrast)</x:v>
      </x:c>
      <x:c r="Q315" s="24" t="str">
        <x:v>Normal voice tasks are low-load coordination, not evidence of selective hypertrophy.</x:v>
      </x:c>
    </x:row>
    <x:row r="316" ht="54" customHeight="1">
      <x:c r="A316" s="24" t="str">
        <x:v>Inferior pharyngeal constrictor thyropharyngeus</x:v>
      </x:c>
      <x:c r="B316" s="24" t="str">
        <x:v>Pharynx &amp; Larynx</x:v>
      </x:c>
      <x:c r="C316" s="24" t="str">
        <x:v>Pharyngeal circular</x:v>
      </x:c>
      <x:c r="D316" s="24" t="str">
        <x:v>Pharyngeal plexus via vagus nerve</x:v>
      </x:c>
      <x:c r="E316" s="24" t="str">
        <x:v>CN X; no spinal root</x:v>
      </x:c>
      <x:c r="F316" s="24" t="str">
        <x:v>Oblique line thyroid cartilage</x:v>
      </x:c>
      <x:c r="G316" s="24" t="str">
        <x:v>Median pharyngeal raphe</x:v>
      </x:c>
      <x:c r="H316" s="24" t="str">
        <x:v>Pharyngeal raphe</x:v>
      </x:c>
      <x:c r="I316" s="24" t="str">
        <x:v>Thyrohyoid membrane adjacent</x:v>
      </x:c>
      <x:c r="J316" s="24" t="str">
        <x:v>Mixed/specialized; not quantified</x:v>
      </x:c>
      <x:c r="K316" s="24" t="str">
        <x:v>EX0352</x:v>
      </x:c>
      <x:c r="L316" s="24" t="str">
        <x:v>—</x:v>
      </x:c>
      <x:c r="M316" s="24" t="str">
        <x:v>—</x:v>
      </x:c>
      <x:c r="N316" s="24" t="str">
        <x:v>—</x:v>
      </x:c>
      <x:c r="O316" s="24" t="str">
        <x:v>Functional or motor-control activation</x:v>
      </x:c>
      <x:c r="P316" s="24" t="str">
        <x:v>Ordinary voluntary swallow (function only)</x:v>
      </x:c>
      <x:c r="Q316" s="24" t="str">
        <x:v>Active/involved status varies with technique, loading, individual anatomy and fatigue.</x:v>
      </x:c>
    </x:row>
    <x:row r="317" ht="54" customHeight="1">
      <x:c r="A317" s="24" t="str">
        <x:v>Middle pharyngeal constrictor</x:v>
      </x:c>
      <x:c r="B317" s="24" t="str">
        <x:v>Pharynx &amp; Larynx</x:v>
      </x:c>
      <x:c r="C317" s="24" t="str">
        <x:v>Pharyngeal circular</x:v>
      </x:c>
      <x:c r="D317" s="24" t="str">
        <x:v>Pharyngeal plexus via vagus nerve</x:v>
      </x:c>
      <x:c r="E317" s="24" t="str">
        <x:v>CN X; no spinal root</x:v>
      </x:c>
      <x:c r="F317" s="24" t="str">
        <x:v>Greater and lesser hyoid horns; stylohyoid ligament</x:v>
      </x:c>
      <x:c r="G317" s="24" t="str">
        <x:v>Median pharyngeal raphe</x:v>
      </x:c>
      <x:c r="H317" s="24" t="str">
        <x:v>Pharyngeal raphe</x:v>
      </x:c>
      <x:c r="I317" s="24" t="str">
        <x:v>Stylohyoid ligament direct origin</x:v>
      </x:c>
      <x:c r="J317" s="24" t="str">
        <x:v>Mixed/specialized; not quantified</x:v>
      </x:c>
      <x:c r="K317" s="24" t="str">
        <x:v>EX0352</x:v>
      </x:c>
      <x:c r="L317" s="24" t="str">
        <x:v>—</x:v>
      </x:c>
      <x:c r="M317" s="24" t="str">
        <x:v>—</x:v>
      </x:c>
      <x:c r="N317" s="24" t="str">
        <x:v>—</x:v>
      </x:c>
      <x:c r="O317" s="24" t="str">
        <x:v>Functional or motor-control activation</x:v>
      </x:c>
      <x:c r="P317" s="24" t="str">
        <x:v>Ordinary voluntary swallow (function only)</x:v>
      </x:c>
      <x:c r="Q317" s="24" t="str">
        <x:v>Active/involved status varies with technique, loading, individual anatomy and fatigue.</x:v>
      </x:c>
    </x:row>
    <x:row r="318" ht="54" customHeight="1">
      <x:c r="A318" s="24" t="str">
        <x:v>Superior pharyngeal constrictor</x:v>
      </x:c>
      <x:c r="B318" s="24" t="str">
        <x:v>Pharynx &amp; Larynx</x:v>
      </x:c>
      <x:c r="C318" s="24" t="str">
        <x:v>Pharyngeal circular</x:v>
      </x:c>
      <x:c r="D318" s="24" t="str">
        <x:v>Pharyngeal plexus via vagus nerve</x:v>
      </x:c>
      <x:c r="E318" s="24" t="str">
        <x:v>CN X; no spinal root</x:v>
      </x:c>
      <x:c r="F318" s="24" t="str">
        <x:v>Pterygoid hamulus; pterygomandibular raphe; mylohyoid line; tongue</x:v>
      </x:c>
      <x:c r="G318" s="24" t="str">
        <x:v>Median pharyngeal raphe and pharyngeal tubercle</x:v>
      </x:c>
      <x:c r="H318" s="24" t="str">
        <x:v>Pharyngeal raphe fibrous insertion</x:v>
      </x:c>
      <x:c r="I318" s="24" t="str">
        <x:v>Pterygomandibular raphe direct origin</x:v>
      </x:c>
      <x:c r="J318" s="24" t="str">
        <x:v>Mixed/specialized; not quantified</x:v>
      </x:c>
      <x:c r="K318" s="24" t="str">
        <x:v>EX0352</x:v>
      </x:c>
      <x:c r="L318" s="24" t="str">
        <x:v>—</x:v>
      </x:c>
      <x:c r="M318" s="24" t="str">
        <x:v>—</x:v>
      </x:c>
      <x:c r="N318" s="24" t="str">
        <x:v>—</x:v>
      </x:c>
      <x:c r="O318" s="24" t="str">
        <x:v>Functional or motor-control activation</x:v>
      </x:c>
      <x:c r="P318" s="24" t="str">
        <x:v>Ordinary voluntary swallow (function only)</x:v>
      </x:c>
      <x:c r="Q318" s="24" t="str">
        <x:v>Active/involved status varies with technique, loading, individual anatomy and fatigue.</x:v>
      </x:c>
    </x:row>
    <x:row r="319" ht="54" customHeight="1">
      <x:c r="A319" s="24" t="str">
        <x:v>Salpingopharyngeus</x:v>
      </x:c>
      <x:c r="B319" s="24" t="str">
        <x:v>Pharynx &amp; Larynx</x:v>
      </x:c>
      <x:c r="C319" s="24" t="str">
        <x:v>Pharyngeal longitudinal</x:v>
      </x:c>
      <x:c r="D319" s="24" t="str">
        <x:v>Pharyngeal plexus via vagus nerve</x:v>
      </x:c>
      <x:c r="E319" s="24" t="str">
        <x:v>CN X; no spinal root</x:v>
      </x:c>
      <x:c r="F319" s="24" t="str">
        <x:v>Cartilage auditory tube</x:v>
      </x:c>
      <x:c r="G319" s="24" t="str">
        <x:v>Blends into palatopharyngeus and pharyngeal wall</x:v>
      </x:c>
      <x:c r="H319" s="24" t="str">
        <x:v>Pharyngeal fascial insertion</x:v>
      </x:c>
      <x:c r="I319" s="24" t="str">
        <x:v>Pharyngobasilar fascia adjacent</x:v>
      </x:c>
      <x:c r="J319" s="24" t="str">
        <x:v>Mixed/specialized; not quantified</x:v>
      </x:c>
      <x:c r="K319" s="24" t="str">
        <x:v>EX0352</x:v>
      </x:c>
      <x:c r="L319" s="24" t="str">
        <x:v>—</x:v>
      </x:c>
      <x:c r="M319" s="24" t="str">
        <x:v>—</x:v>
      </x:c>
      <x:c r="N319" s="24" t="str">
        <x:v>—</x:v>
      </x:c>
      <x:c r="O319" s="24" t="str">
        <x:v>Functional or motor-control activation</x:v>
      </x:c>
      <x:c r="P319" s="24" t="str">
        <x:v>Ordinary voluntary swallow (function only)</x:v>
      </x:c>
      <x:c r="Q319" s="24" t="str">
        <x:v>Active/involved status varies with technique, loading, individual anatomy and fatigue.</x:v>
      </x:c>
    </x:row>
    <x:row r="320" ht="54" customHeight="1">
      <x:c r="A320" s="24" t="str">
        <x:v>Stylopharyngeus</x:v>
      </x:c>
      <x:c r="B320" s="24" t="str">
        <x:v>Pharynx &amp; Larynx</x:v>
      </x:c>
      <x:c r="C320" s="24" t="str">
        <x:v>Pharyngeal longitudinal</x:v>
      </x:c>
      <x:c r="D320" s="24" t="str">
        <x:v>Glossopharyngeal nerve</x:v>
      </x:c>
      <x:c r="E320" s="24" t="str">
        <x:v>CN IX; no spinal root</x:v>
      </x:c>
      <x:c r="F320" s="24" t="str">
        <x:v>Medial side of styloid process</x:v>
      </x:c>
      <x:c r="G320" s="24" t="str">
        <x:v>Pharyngeal wall and superior thyroid cartilage</x:v>
      </x:c>
      <x:c r="H320" s="24" t="str">
        <x:v>Fibers into pharyngeal wall</x:v>
      </x:c>
      <x:c r="I320" s="24" t="str">
        <x:v>Stylohyoid ligament nearby</x:v>
      </x:c>
      <x:c r="J320" s="24" t="str">
        <x:v>Mixed/specialized; not quantified</x:v>
      </x:c>
      <x:c r="K320" s="24" t="str">
        <x:v>EX0352</x:v>
      </x:c>
      <x:c r="L320" s="24" t="str">
        <x:v>—</x:v>
      </x:c>
      <x:c r="M320" s="24" t="str">
        <x:v>—</x:v>
      </x:c>
      <x:c r="N320" s="24" t="str">
        <x:v>—</x:v>
      </x:c>
      <x:c r="O320" s="24" t="str">
        <x:v>Functional or motor-control activation</x:v>
      </x:c>
      <x:c r="P320" s="24" t="str">
        <x:v>Ordinary voluntary swallow (function only)</x:v>
      </x:c>
      <x:c r="Q320" s="24" t="str">
        <x:v>Active/involved status varies with technique, loading, individual anatomy and fatigue.</x:v>
      </x:c>
    </x:row>
    <x:row r="321" ht="54" customHeight="1">
      <x:c r="A321" s="24" t="str">
        <x:v>Levator veli palatini</x:v>
      </x:c>
      <x:c r="B321" s="24" t="str">
        <x:v>Pharynx &amp; Larynx</x:v>
      </x:c>
      <x:c r="C321" s="24" t="str">
        <x:v>Soft palate</x:v>
      </x:c>
      <x:c r="D321" s="24" t="str">
        <x:v>Pharyngeal plexus via vagus nerve</x:v>
      </x:c>
      <x:c r="E321" s="24" t="str">
        <x:v>CN X; no spinal root</x:v>
      </x:c>
      <x:c r="F321" s="24" t="str">
        <x:v>Petrous temporal bone; cartilaginous auditory tube</x:v>
      </x:c>
      <x:c r="G321" s="24" t="str">
        <x:v>Palatine aponeurosis</x:v>
      </x:c>
      <x:c r="H321" s="24" t="str">
        <x:v>Fibrous palatal insertion</x:v>
      </x:c>
      <x:c r="I321" s="24" t="str">
        <x:v>Palatine aponeurosis</x:v>
      </x:c>
      <x:c r="J321" s="24" t="str">
        <x:v>Mixed/specialized; not quantified</x:v>
      </x:c>
      <x:c r="K321" s="24" t="str">
        <x:v>EX0345; EX0346; EX0352; EX0353</x:v>
      </x:c>
      <x:c r="L321" s="24" t="str">
        <x:v>EX0347</x:v>
      </x:c>
      <x:c r="M321" s="24" t="str">
        <x:v>—</x:v>
      </x:c>
      <x:c r="N321" s="24" t="str">
        <x:v>—</x:v>
      </x:c>
      <x:c r="O321" s="24" t="str">
        <x:v>Functional or motor-control activation</x:v>
      </x:c>
      <x:c r="P321" s="24" t="str">
        <x:v>Soft palate lift by sustained 'ah' (ordinary voice); Controlled yawning / palate movement; Ordinary voluntary swallow (function only); Controlled soft-palate phonation (gentle nasal/oral contrast); Speech articulation: pa-ta-ka softly</x:v>
      </x:c>
      <x:c r="Q321" s="24" t="str">
        <x:v>Active/involved status varies with technique, loading, individual anatomy and fatigue.</x:v>
      </x:c>
    </x:row>
    <x:row r="322" ht="54" customHeight="1">
      <x:c r="A322" s="24" t="str">
        <x:v>Musculus uvulae</x:v>
      </x:c>
      <x:c r="B322" s="24" t="str">
        <x:v>Pharynx &amp; Larynx</x:v>
      </x:c>
      <x:c r="C322" s="24" t="str">
        <x:v>Soft palate</x:v>
      </x:c>
      <x:c r="D322" s="24" t="str">
        <x:v>Pharyngeal plexus via vagus nerve</x:v>
      </x:c>
      <x:c r="E322" s="24" t="str">
        <x:v>CN X; no spinal root</x:v>
      </x:c>
      <x:c r="F322" s="24" t="str">
        <x:v>Posterior nasal spine; palatine aponeurosis</x:v>
      </x:c>
      <x:c r="G322" s="24" t="str">
        <x:v>Mucosa of uvula</x:v>
      </x:c>
      <x:c r="H322" s="24" t="str">
        <x:v>Palatine aponeurotic origin</x:v>
      </x:c>
      <x:c r="I322" s="24" t="str">
        <x:v>Palatine aponeurosis direct origin</x:v>
      </x:c>
      <x:c r="J322" s="24" t="str">
        <x:v>Mixed/specialized; not quantified</x:v>
      </x:c>
      <x:c r="K322" s="24" t="str">
        <x:v>EX0345; EX0352; EX0353</x:v>
      </x:c>
      <x:c r="L322" s="24" t="str">
        <x:v>—</x:v>
      </x:c>
      <x:c r="M322" s="24" t="str">
        <x:v>—</x:v>
      </x:c>
      <x:c r="N322" s="24" t="str">
        <x:v>—</x:v>
      </x:c>
      <x:c r="O322" s="24" t="str">
        <x:v>Functional or motor-control activation</x:v>
      </x:c>
      <x:c r="P322" s="24" t="str">
        <x:v>Soft palate lift by sustained 'ah' (ordinary voice); Ordinary voluntary swallow (function only); Controlled soft-palate phonation (gentle nasal/oral contrast)</x:v>
      </x:c>
      <x:c r="Q322" s="24" t="str">
        <x:v>Active/involved status varies with technique, loading, individual anatomy and fatigue.</x:v>
      </x:c>
    </x:row>
    <x:row r="323" ht="54" customHeight="1">
      <x:c r="A323" s="24" t="str">
        <x:v>Tensor veli palatini</x:v>
      </x:c>
      <x:c r="B323" s="24" t="str">
        <x:v>Pharynx &amp; Larynx</x:v>
      </x:c>
      <x:c r="C323" s="24" t="str">
        <x:v>Soft palate</x:v>
      </x:c>
      <x:c r="D323" s="24" t="str">
        <x:v>Nerve to medial pterygoid (V3)</x:v>
      </x:c>
      <x:c r="E323" s="24" t="str">
        <x:v>CN V3; no spinal root</x:v>
      </x:c>
      <x:c r="F323" s="24" t="str">
        <x:v>Scaphoid fossa sphenoid; spine sphenoid; cartilaginous auditory tube</x:v>
      </x:c>
      <x:c r="G323" s="24" t="str">
        <x:v>Palatine aponeurosis after tendon around hamulus</x:v>
      </x:c>
      <x:c r="H323" s="24" t="str">
        <x:v>Tendon loops around pterygoid hamulus</x:v>
      </x:c>
      <x:c r="I323" s="24" t="str">
        <x:v>Palatine aponeurosis insertion</x:v>
      </x:c>
      <x:c r="J323" s="24" t="str">
        <x:v>Mixed/specialized; not quantified</x:v>
      </x:c>
      <x:c r="K323" s="24" t="str">
        <x:v>EX0345; EX0346; EX0352</x:v>
      </x:c>
      <x:c r="L323" s="24" t="str">
        <x:v>—</x:v>
      </x:c>
      <x:c r="M323" s="24" t="str">
        <x:v>—</x:v>
      </x:c>
      <x:c r="N323" s="24" t="str">
        <x:v>—</x:v>
      </x:c>
      <x:c r="O323" s="24" t="str">
        <x:v>Functional or motor-control activation</x:v>
      </x:c>
      <x:c r="P323" s="24" t="str">
        <x:v>Soft palate lift by sustained 'ah' (ordinary voice); Controlled yawning / palate movement; Ordinary voluntary swallow (function only)</x:v>
      </x:c>
      <x:c r="Q323" s="24" t="str">
        <x:v>Active/involved status varies with technique, loading, individual anatomy and fatigue.</x:v>
      </x:c>
    </x:row>
    <x:row r="324" ht="54" customHeight="1">
      <x:c r="A324" s="24" t="str">
        <x:v>Palatopharyngeus</x:v>
      </x:c>
      <x:c r="B324" s="24" t="str">
        <x:v>Pharynx &amp; Larynx</x:v>
      </x:c>
      <x:c r="C324" s="24" t="str">
        <x:v>Soft palate / pharyngeal longitudinal</x:v>
      </x:c>
      <x:c r="D324" s="24" t="str">
        <x:v>Pharyngeal plexus via vagus nerve</x:v>
      </x:c>
      <x:c r="E324" s="24" t="str">
        <x:v>CN X; no spinal root</x:v>
      </x:c>
      <x:c r="F324" s="24" t="str">
        <x:v>Hard palate and palatine aponeurosis</x:v>
      </x:c>
      <x:c r="G324" s="24" t="str">
        <x:v>Pharyngeal wall and posterior thyroid cartilage</x:v>
      </x:c>
      <x:c r="H324" s="24" t="str">
        <x:v>Palatine aponeurosis origin</x:v>
      </x:c>
      <x:c r="I324" s="24" t="str">
        <x:v>Palatine aponeurosis direct origin</x:v>
      </x:c>
      <x:c r="J324" s="24" t="str">
        <x:v>Mixed/specialized; not quantified</x:v>
      </x:c>
      <x:c r="K324" s="24" t="str">
        <x:v>EX0352; EX0353</x:v>
      </x:c>
      <x:c r="L324" s="24" t="str">
        <x:v>—</x:v>
      </x:c>
      <x:c r="M324" s="24" t="str">
        <x:v>—</x:v>
      </x:c>
      <x:c r="N324" s="24" t="str">
        <x:v>—</x:v>
      </x:c>
      <x:c r="O324" s="24" t="str">
        <x:v>Functional or motor-control activation</x:v>
      </x:c>
      <x:c r="P324" s="24" t="str">
        <x:v>Ordinary voluntary swallow (function only); Controlled soft-palate phonation (gentle nasal/oral contrast)</x:v>
      </x:c>
      <x:c r="Q324" s="24" t="str">
        <x:v>Active/involved status varies with technique, loading, individual anatomy and fatigue.</x:v>
      </x:c>
    </x:row>
    <x:row r="325" ht="54" customHeight="1">
      <x:c r="A325" s="24" t="str">
        <x:v>Inferior pharyngeal constrictor cricopharyngeus</x:v>
      </x:c>
      <x:c r="B325" s="24" t="str">
        <x:v>Pharynx &amp; Larynx</x:v>
      </x:c>
      <x:c r="C325" s="24" t="str">
        <x:v>Upper esophageal sphincter</x:v>
      </x:c>
      <x:c r="D325" s="24" t="str">
        <x:v>Vagus via pharyngeal plexus/recurrent laryngeal contributions</x:v>
      </x:c>
      <x:c r="E325" s="24" t="str">
        <x:v>CN X; no spinal root</x:v>
      </x:c>
      <x:c r="F325" s="24" t="str">
        <x:v>Lateral cricoid cartilage</x:v>
      </x:c>
      <x:c r="G325" s="24" t="str">
        <x:v>Circumferential sphincter around pharyngoesophageal junction</x:v>
      </x:c>
      <x:c r="H325" s="24" t="str">
        <x:v>Circular fibromuscular attachment</x:v>
      </x:c>
      <x:c r="I325" s="24" t="str">
        <x:v>Cricopharyngeal region contiguous with pharyngeal fascia</x:v>
      </x:c>
      <x:c r="J325" s="24" t="str">
        <x:v>Mixed/specialized; not quantified</x:v>
      </x:c>
      <x:c r="K325" s="24" t="str">
        <x:v>EX0352</x:v>
      </x:c>
      <x:c r="L325" s="24" t="str">
        <x:v>—</x:v>
      </x:c>
      <x:c r="M325" s="24" t="str">
        <x:v>—</x:v>
      </x:c>
      <x:c r="N325" s="24" t="str">
        <x:v>—</x:v>
      </x:c>
      <x:c r="O325" s="24" t="str">
        <x:v>Functional or motor-control activation</x:v>
      </x:c>
      <x:c r="P325" s="24" t="str">
        <x:v>Ordinary voluntary swallow (function only)</x:v>
      </x:c>
      <x:c r="Q325" s="24" t="str">
        <x:v>Active/involved status varies with technique, loading, individual anatomy and fatigue.</x:v>
      </x:c>
    </x:row>
    <x:row r="326" ht="54" customHeight="1">
      <x:c r="A326" s="24" t="str">
        <x:v>Inferior oblique (eye)</x:v>
      </x:c>
      <x:c r="B326" s="24" t="str">
        <x:v>Eye &amp; Ear</x:v>
      </x:c>
      <x:c r="C326" s="24" t="str">
        <x:v>Extraocular</x:v>
      </x:c>
      <x:c r="D326" s="24" t="str">
        <x:v>Oculomotor nerve inferior division</x:v>
      </x:c>
      <x:c r="E326" s="24" t="str">
        <x:v>CN III; no spinal root</x:v>
      </x:c>
      <x:c r="F326" s="24" t="str">
        <x:v>Anteromedial orbital floor maxilla</x:v>
      </x:c>
      <x:c r="G326" s="24" t="str">
        <x:v>Posterolateral inferior sclera</x:v>
      </x:c>
      <x:c r="H326" s="24" t="str">
        <x:v>Inferior oblique distal tendon</x:v>
      </x:c>
      <x:c r="I326" s="24" t="str">
        <x:v>Lockwood suspensory fascial complex adjacent</x:v>
      </x:c>
      <x:c r="J326" s="24" t="str">
        <x:v>Highly specialized fast + tonic fiber populations</x:v>
      </x:c>
      <x:c r="K326" s="24" t="str">
        <x:v>EX0355; EX0357</x:v>
      </x:c>
      <x:c r="L326" s="24" t="str">
        <x:v>—</x:v>
      </x:c>
      <x:c r="M326" s="24" t="str">
        <x:v>—</x:v>
      </x:c>
      <x:c r="N326" s="24" t="str">
        <x:v>—</x:v>
      </x:c>
      <x:c r="O326" s="24" t="str">
        <x:v>Functional or motor-control activation</x:v>
      </x:c>
      <x:c r="P326" s="24" t="str">
        <x:v>Vertical gaze shifting (coordination); Smooth pursuit finger tracking (coordination)</x:v>
      </x:c>
      <x:c r="Q326" s="24" t="str">
        <x:v>Eye drills are coordination/comfort only; no established correction of refractive errors.</x:v>
      </x:c>
    </x:row>
    <x:row r="327" ht="54" customHeight="1">
      <x:c r="A327" s="24" t="str">
        <x:v>Inferior rectus (eye)</x:v>
      </x:c>
      <x:c r="B327" s="24" t="str">
        <x:v>Eye &amp; Ear</x:v>
      </x:c>
      <x:c r="C327" s="24" t="str">
        <x:v>Extraocular</x:v>
      </x:c>
      <x:c r="D327" s="24" t="str">
        <x:v>Oculomotor nerve inferior division</x:v>
      </x:c>
      <x:c r="E327" s="24" t="str">
        <x:v>CN III; no spinal root</x:v>
      </x:c>
      <x:c r="F327" s="24" t="str">
        <x:v>Common tendinous ring at orbital apex</x:v>
      </x:c>
      <x:c r="G327" s="24" t="str">
        <x:v>Inferior anterior sclera</x:v>
      </x:c>
      <x:c r="H327" s="24" t="str">
        <x:v>Inferior rectus insertion tendon</x:v>
      </x:c>
      <x:c r="I327" s="24" t="str">
        <x:v>Inferior suspensory ligament of eyeball (Lockwood) fascial relation</x:v>
      </x:c>
      <x:c r="J327" s="24" t="str">
        <x:v>Highly specialized fast + tonic fiber populations</x:v>
      </x:c>
      <x:c r="K327" s="24" t="str">
        <x:v>EX0355; EX0357</x:v>
      </x:c>
      <x:c r="L327" s="24" t="str">
        <x:v>—</x:v>
      </x:c>
      <x:c r="M327" s="24" t="str">
        <x:v>—</x:v>
      </x:c>
      <x:c r="N327" s="24" t="str">
        <x:v>—</x:v>
      </x:c>
      <x:c r="O327" s="24" t="str">
        <x:v>Functional or motor-control activation</x:v>
      </x:c>
      <x:c r="P327" s="24" t="str">
        <x:v>Vertical gaze shifting (coordination); Smooth pursuit finger tracking (coordination)</x:v>
      </x:c>
      <x:c r="Q327" s="24" t="str">
        <x:v>Eye drills are coordination/comfort only; no established correction of refractive errors.</x:v>
      </x:c>
    </x:row>
    <x:row r="328" ht="54" customHeight="1">
      <x:c r="A328" s="24" t="str">
        <x:v>Lateral rectus (eye)</x:v>
      </x:c>
      <x:c r="B328" s="24" t="str">
        <x:v>Eye &amp; Ear</x:v>
      </x:c>
      <x:c r="C328" s="24" t="str">
        <x:v>Extraocular</x:v>
      </x:c>
      <x:c r="D328" s="24" t="str">
        <x:v>Abducens nerve</x:v>
      </x:c>
      <x:c r="E328" s="24" t="str">
        <x:v>CN VI; no spinal root</x:v>
      </x:c>
      <x:c r="F328" s="24" t="str">
        <x:v>Common tendinous ring at orbital apex</x:v>
      </x:c>
      <x:c r="G328" s="24" t="str">
        <x:v>Lateral anterior sclera</x:v>
      </x:c>
      <x:c r="H328" s="24" t="str">
        <x:v>Lateral rectus insertion tendon</x:v>
      </x:c>
      <x:c r="I328" s="24" t="str">
        <x:v>Lateral check ligament fascial relationship</x:v>
      </x:c>
      <x:c r="J328" s="24" t="str">
        <x:v>Highly specialized fast + tonic fiber populations</x:v>
      </x:c>
      <x:c r="K328" s="24" t="str">
        <x:v>EX0354; EX0356; EX0357</x:v>
      </x:c>
      <x:c r="L328" s="24" t="str">
        <x:v>—</x:v>
      </x:c>
      <x:c r="M328" s="24" t="str">
        <x:v>—</x:v>
      </x:c>
      <x:c r="N328" s="24" t="str">
        <x:v>—</x:v>
      </x:c>
      <x:c r="O328" s="24" t="str">
        <x:v>Functional or motor-control activation</x:v>
      </x:c>
      <x:c r="P328" s="24" t="str">
        <x:v>Horizontal gaze shifting (coordination); Near-far focus changing (comfort/coordination); Smooth pursuit finger tracking (coordination)</x:v>
      </x:c>
      <x:c r="Q328" s="24" t="str">
        <x:v>Eye drills are coordination/comfort only; no established correction of refractive errors.</x:v>
      </x:c>
    </x:row>
    <x:row r="329" ht="54" customHeight="1">
      <x:c r="A329" s="24" t="str">
        <x:v>Medial rectus (eye)</x:v>
      </x:c>
      <x:c r="B329" s="24" t="str">
        <x:v>Eye &amp; Ear</x:v>
      </x:c>
      <x:c r="C329" s="24" t="str">
        <x:v>Extraocular</x:v>
      </x:c>
      <x:c r="D329" s="24" t="str">
        <x:v>Oculomotor nerve inferior division</x:v>
      </x:c>
      <x:c r="E329" s="24" t="str">
        <x:v>CN III; no spinal root</x:v>
      </x:c>
      <x:c r="F329" s="24" t="str">
        <x:v>Common tendinous ring at orbital apex</x:v>
      </x:c>
      <x:c r="G329" s="24" t="str">
        <x:v>Medial anterior sclera</x:v>
      </x:c>
      <x:c r="H329" s="24" t="str">
        <x:v>Medial rectus insertion tendon</x:v>
      </x:c>
      <x:c r="I329" s="24" t="str">
        <x:v>Medial check ligament fascial relationship</x:v>
      </x:c>
      <x:c r="J329" s="24" t="str">
        <x:v>Highly specialized fast + tonic fiber populations</x:v>
      </x:c>
      <x:c r="K329" s="24" t="str">
        <x:v>EX0354; EX0356; EX0357</x:v>
      </x:c>
      <x:c r="L329" s="24" t="str">
        <x:v>—</x:v>
      </x:c>
      <x:c r="M329" s="24" t="str">
        <x:v>—</x:v>
      </x:c>
      <x:c r="N329" s="24" t="str">
        <x:v>—</x:v>
      </x:c>
      <x:c r="O329" s="24" t="str">
        <x:v>Functional or motor-control activation</x:v>
      </x:c>
      <x:c r="P329" s="24" t="str">
        <x:v>Horizontal gaze shifting (coordination); Near-far focus changing (comfort/coordination); Smooth pursuit finger tracking (coordination)</x:v>
      </x:c>
      <x:c r="Q329" s="24" t="str">
        <x:v>Eye drills are coordination/comfort only; no established correction of refractive errors.</x:v>
      </x:c>
    </x:row>
    <x:row r="330" ht="54" customHeight="1">
      <x:c r="A330" s="24" t="str">
        <x:v>Superior oblique (eye)</x:v>
      </x:c>
      <x:c r="B330" s="24" t="str">
        <x:v>Eye &amp; Ear</x:v>
      </x:c>
      <x:c r="C330" s="24" t="str">
        <x:v>Extraocular</x:v>
      </x:c>
      <x:c r="D330" s="24" t="str">
        <x:v>Trochlear nerve</x:v>
      </x:c>
      <x:c r="E330" s="24" t="str">
        <x:v>CN IV; no spinal root</x:v>
      </x:c>
      <x:c r="F330" s="24" t="str">
        <x:v>Body sphenoid superomedial to optic canal</x:v>
      </x:c>
      <x:c r="G330" s="24" t="str">
        <x:v>Posterolateral superior sclera after trochlea</x:v>
      </x:c>
      <x:c r="H330" s="24" t="str">
        <x:v>Superior oblique tendon through trochlea</x:v>
      </x:c>
      <x:c r="I330" s="24" t="str">
        <x:v>Trochlear pulley is fibrocartilaginous ring attached to frontal bone</x:v>
      </x:c>
      <x:c r="J330" s="24" t="str">
        <x:v>Highly specialized fast + tonic fiber populations</x:v>
      </x:c>
      <x:c r="K330" s="24" t="str">
        <x:v>EX0355; EX0357</x:v>
      </x:c>
      <x:c r="L330" s="24" t="str">
        <x:v>—</x:v>
      </x:c>
      <x:c r="M330" s="24" t="str">
        <x:v>—</x:v>
      </x:c>
      <x:c r="N330" s="24" t="str">
        <x:v>—</x:v>
      </x:c>
      <x:c r="O330" s="24" t="str">
        <x:v>Functional or motor-control activation</x:v>
      </x:c>
      <x:c r="P330" s="24" t="str">
        <x:v>Vertical gaze shifting (coordination); Smooth pursuit finger tracking (coordination)</x:v>
      </x:c>
      <x:c r="Q330" s="24" t="str">
        <x:v>Eye drills are coordination/comfort only; no established correction of refractive errors.</x:v>
      </x:c>
    </x:row>
    <x:row r="331" ht="54" customHeight="1">
      <x:c r="A331" s="24" t="str">
        <x:v>Superior rectus (eye)</x:v>
      </x:c>
      <x:c r="B331" s="24" t="str">
        <x:v>Eye &amp; Ear</x:v>
      </x:c>
      <x:c r="C331" s="24" t="str">
        <x:v>Extraocular</x:v>
      </x:c>
      <x:c r="D331" s="24" t="str">
        <x:v>Oculomotor nerve superior division</x:v>
      </x:c>
      <x:c r="E331" s="24" t="str">
        <x:v>CN III; no spinal root</x:v>
      </x:c>
      <x:c r="F331" s="24" t="str">
        <x:v>Common tendinous ring at orbital apex</x:v>
      </x:c>
      <x:c r="G331" s="24" t="str">
        <x:v>Superior anterior sclera</x:v>
      </x:c>
      <x:c r="H331" s="24" t="str">
        <x:v>Superior rectus insertion tendon</x:v>
      </x:c>
      <x:c r="I331" s="24" t="str">
        <x:v>Check ligaments/fascial sheath near globe</x:v>
      </x:c>
      <x:c r="J331" s="24" t="str">
        <x:v>Highly specialized fast + tonic fiber populations</x:v>
      </x:c>
      <x:c r="K331" s="24" t="str">
        <x:v>EX0355; EX0357</x:v>
      </x:c>
      <x:c r="L331" s="24" t="str">
        <x:v>—</x:v>
      </x:c>
      <x:c r="M331" s="24" t="str">
        <x:v>—</x:v>
      </x:c>
      <x:c r="N331" s="24" t="str">
        <x:v>—</x:v>
      </x:c>
      <x:c r="O331" s="24" t="str">
        <x:v>Functional or motor-control activation</x:v>
      </x:c>
      <x:c r="P331" s="24" t="str">
        <x:v>Vertical gaze shifting (coordination); Smooth pursuit finger tracking (coordination)</x:v>
      </x:c>
      <x:c r="Q331" s="24" t="str">
        <x:v>Eye drills are coordination/comfort only; no established correction of refractive errors.</x:v>
      </x:c>
    </x:row>
    <x:row r="332" ht="54" customHeight="1">
      <x:c r="A332" s="24" t="str">
        <x:v>Levator palpebrae superioris</x:v>
      </x:c>
      <x:c r="B332" s="24" t="str">
        <x:v>Eye &amp; Ear</x:v>
      </x:c>
      <x:c r="C332" s="24" t="str">
        <x:v>Extraocular / upper lid</x:v>
      </x:c>
      <x:c r="D332" s="24" t="str">
        <x:v>Oculomotor nerve superior division</x:v>
      </x:c>
      <x:c r="E332" s="24" t="str">
        <x:v>CN III; no spinal root</x:v>
      </x:c>
      <x:c r="F332" s="24" t="str">
        <x:v>Lesser wing sphenoid above optic canal</x:v>
      </x:c>
      <x:c r="G332" s="24" t="str">
        <x:v>Superior tarsal plate and upper lid skin via aponeurosis</x:v>
      </x:c>
      <x:c r="H332" s="24" t="str">
        <x:v>Levator palpebrae aponeurosis</x:v>
      </x:c>
      <x:c r="I332" s="24" t="str">
        <x:v>Whitnall superior transverse ligament supports levator tendon</x:v>
      </x:c>
      <x:c r="J332" s="24" t="str">
        <x:v>Highly specialized fast + tonic fiber populations</x:v>
      </x:c>
      <x:c r="K332" s="24" t="str">
        <x:v>EX0358; EX0359</x:v>
      </x:c>
      <x:c r="L332" s="24" t="str">
        <x:v>—</x:v>
      </x:c>
      <x:c r="M332" s="24" t="str">
        <x:v>—</x:v>
      </x:c>
      <x:c r="N332" s="24" t="str">
        <x:v>—</x:v>
      </x:c>
      <x:c r="O332" s="24" t="str">
        <x:v>Functional or motor-control activation</x:v>
      </x:c>
      <x:c r="P332" s="24" t="str">
        <x:v>Voluntary eyelid raise and relax; Blink rest break (eyelid comfort)</x:v>
      </x:c>
      <x:c r="Q332" s="24" t="str">
        <x:v>Eye drills are coordination/comfort only; no established correction of refractive errors.</x:v>
      </x:c>
    </x:row>
    <x:row r="333" ht="54" customHeight="1">
      <x:c r="A333" s="24" t="str">
        <x:v>Stapedius</x:v>
      </x:c>
      <x:c r="B333" s="24" t="str">
        <x:v>Eye &amp; Ear</x:v>
      </x:c>
      <x:c r="C333" s="24" t="str">
        <x:v>Middle ear</x:v>
      </x:c>
      <x:c r="D333" s="24" t="str">
        <x:v>Nerve to stapedius from facial nerve</x:v>
      </x:c>
      <x:c r="E333" s="24" t="str">
        <x:v>CN VII; no spinal root</x:v>
      </x:c>
      <x:c r="F333" s="24" t="str">
        <x:v>Pyramidal eminence of posterior tympanic cavity</x:v>
      </x:c>
      <x:c r="G333" s="24" t="str">
        <x:v>Neck of stapes</x:v>
      </x:c>
      <x:c r="H333" s="24" t="str">
        <x:v>Stapedius tiny tendon</x:v>
      </x:c>
      <x:c r="I333" s="24" t="str">
        <x:v>Annular ligament of stapes adjacent but not attachment</x:v>
      </x:c>
      <x:c r="J333" s="24" t="str">
        <x:v>Mixed Type I and Type II; ratio unverified</x:v>
      </x:c>
      <x:c r="K333" s="24" t="str">
        <x:v>—</x:v>
      </x:c>
      <x:c r="L333" s="24" t="str">
        <x:v>—</x:v>
      </x:c>
      <x:c r="M333" s="24" t="str">
        <x:v>—</x:v>
      </x:c>
      <x:c r="N333" s="24" t="str">
        <x:v>—</x:v>
      </x:c>
      <x:c r="O333" s="24" t="str">
        <x:v>No suitable self-directed exercise</x:v>
      </x:c>
      <x:c r="P333" s="24" t="str">
        <x:v>—</x:v>
      </x:c>
      <x:c r="Q333" s="24" t="str">
        <x:v>Acoustic reflex/motor control; deliberate stretching or strengthening is neither practical nor recommended.</x:v>
      </x:c>
    </x:row>
    <x:row r="334" ht="54" customHeight="1">
      <x:c r="A334" s="24" t="str">
        <x:v>Tensor tympani</x:v>
      </x:c>
      <x:c r="B334" s="24" t="str">
        <x:v>Eye &amp; Ear</x:v>
      </x:c>
      <x:c r="C334" s="24" t="str">
        <x:v>Middle ear</x:v>
      </x:c>
      <x:c r="D334" s="24" t="str">
        <x:v>Mandibular division trigeminal nerve (nerve to medial pterygoid)</x:v>
      </x:c>
      <x:c r="E334" s="24" t="str">
        <x:v>CN V3; no spinal root</x:v>
      </x:c>
      <x:c r="F334" s="24" t="str">
        <x:v>Cartilaginous auditory tube and adjacent sphenoid canal</x:v>
      </x:c>
      <x:c r="G334" s="24" t="str">
        <x:v>Manubrium of malleus</x:v>
      </x:c>
      <x:c r="H334" s="24" t="str">
        <x:v>Tensor tympani tendon bends around processus cochleariformis</x:v>
      </x:c>
      <x:c r="I334" s="24" t="str">
        <x:v>Ossicular suspensory ligaments nearby, not direct tendon attachment</x:v>
      </x:c>
      <x:c r="J334" s="24" t="str">
        <x:v>Mixed Type I and Type II; ratio unverified</x:v>
      </x:c>
      <x:c r="K334" s="24" t="str">
        <x:v>—</x:v>
      </x:c>
      <x:c r="L334" s="24" t="str">
        <x:v>—</x:v>
      </x:c>
      <x:c r="M334" s="24" t="str">
        <x:v>—</x:v>
      </x:c>
      <x:c r="N334" s="24" t="str">
        <x:v>—</x:v>
      </x:c>
      <x:c r="O334" s="24" t="str">
        <x:v>No suitable self-directed exercise</x:v>
      </x:c>
      <x:c r="P334" s="24" t="str">
        <x:v>—</x:v>
      </x:c>
      <x:c r="Q334" s="24" t="str">
        <x:v>Middle-ear protective/sensory function; no standard validated exercise; avoid ear pressure maneuvers.</x:v>
      </x:c>
    </x:row>
    <x:row r="335" ht="54" customHeight="1">
      <x:c r="A335" s="24" t="str">
        <x:v>Compressor urethrae (female)</x:v>
      </x:c>
      <x:c r="B335" s="24" t="str">
        <x:v>Pelvis &amp; Perineum</x:v>
      </x:c>
      <x:c r="C335" s="24" t="str">
        <x:v>Deep perineal pouch female</x:v>
      </x:c>
      <x:c r="D335" s="24" t="str">
        <x:v>Deep perineal branch pudendal nerve</x:v>
      </x:c>
      <x:c r="E335" s="24" t="str">
        <x:v>S2-S4</x:v>
      </x:c>
      <x:c r="F335" s="24" t="str">
        <x:v>Ischiopubic rami</x:v>
      </x:c>
      <x:c r="G335" s="24" t="str">
        <x:v>Crosses anterior urethra to opposite side</x:v>
      </x:c>
      <x:c r="H335" s="24" t="str">
        <x:v>Transverse muscular/fascial attachment</x:v>
      </x:c>
      <x:c r="I335" s="24" t="str">
        <x:v>Perineal membrane adjacent</x:v>
      </x:c>
      <x:c r="J335" s="24" t="str">
        <x:v>Mixed Type I and Type II; ratio unverified</x:v>
      </x:c>
      <x:c r="K335" s="24" t="str">
        <x:v>EX0360; EX0361; EX0362; EX0368; EX0370; EX0371; EX0373; EX0374</x:v>
      </x:c>
      <x:c r="L335" s="24" t="str">
        <x:v>EX0369</x:v>
      </x:c>
      <x:c r="M335" s="24" t="str">
        <x:v>EX0252; EX0253; EX0304; EX0311; EX0313</x:v>
      </x:c>
      <x:c r="N335" s="24" t="str">
        <x:v>EX0363; EX0364; EX0365; EX0366; EX0367; EX0372</x:v>
      </x:c>
      <x:c r="O335" s="24" t="str">
        <x:v>Active strength target (group or direct)</x:v>
      </x:c>
      <x:c r="P335" s="24" t="str">
        <x:v>Pelvic floor slow squeeze and full release; Pelvic floor quick contraction and release; Pelvic floor coordinated exhale lift; Seated pelvic tilt coordination; Glute bridge coordinated pelvic floor lift; Abdominal brace with breathing</x:v>
      </x:c>
      <x:c r="Q335" s="24" t="str">
        <x:v>Active/involved status varies with technique, loading, individual anatomy and fatigue.</x:v>
      </x:c>
    </x:row>
    <x:row r="336" ht="54" customHeight="1">
      <x:c r="A336" s="24" t="str">
        <x:v>Urethrovaginal sphincter (female)</x:v>
      </x:c>
      <x:c r="B336" s="24" t="str">
        <x:v>Pelvis &amp; Perineum</x:v>
      </x:c>
      <x:c r="C336" s="24" t="str">
        <x:v>Deep perineal pouch female</x:v>
      </x:c>
      <x:c r="D336" s="24" t="str">
        <x:v>Deep perineal branch pudendal nerve</x:v>
      </x:c>
      <x:c r="E336" s="24" t="str">
        <x:v>S2-S4</x:v>
      </x:c>
      <x:c r="F336" s="24" t="str">
        <x:v>Fibers around urethra/vaginal wall</x:v>
      </x:c>
      <x:c r="G336" s="24" t="str">
        <x:v>Loop encircling urethra/vagina</x:v>
      </x:c>
      <x:c r="H336" s="24" t="str">
        <x:v>Fibromuscular vaginal insertions</x:v>
      </x:c>
      <x:c r="I336" s="24" t="str">
        <x:v>Perineal membrane nearby</x:v>
      </x:c>
      <x:c r="J336" s="24" t="str">
        <x:v>Mixed Type I and Type II; ratio unverified</x:v>
      </x:c>
      <x:c r="K336" s="24" t="str">
        <x:v>EX0360; EX0361; EX0362; EX0368; EX0370; EX0371; EX0373; EX0374</x:v>
      </x:c>
      <x:c r="L336" s="24" t="str">
        <x:v>EX0369</x:v>
      </x:c>
      <x:c r="M336" s="24" t="str">
        <x:v>EX0252; EX0253; EX0304; EX0311; EX0313</x:v>
      </x:c>
      <x:c r="N336" s="24" t="str">
        <x:v>EX0363; EX0364; EX0365; EX0366; EX0367; EX0372</x:v>
      </x:c>
      <x:c r="O336" s="24" t="str">
        <x:v>Active strength target (group or direct)</x:v>
      </x:c>
      <x:c r="P336" s="24" t="str">
        <x:v>Pelvic floor slow squeeze and full release; Pelvic floor quick contraction and release; Pelvic floor coordinated exhale lift; Seated pelvic tilt coordination; Glute bridge coordinated pelvic floor lift; Abdominal brace with breathing</x:v>
      </x:c>
      <x:c r="Q336" s="24" t="str">
        <x:v>Active/involved status varies with technique, loading, individual anatomy and fatigue.</x:v>
      </x:c>
    </x:row>
    <x:row r="337" ht="54" customHeight="1">
      <x:c r="A337" s="24" t="str">
        <x:v>Deep transverse perineal muscle</x:v>
      </x:c>
      <x:c r="B337" s="24" t="str">
        <x:v>Pelvis &amp; Perineum</x:v>
      </x:c>
      <x:c r="C337" s="24" t="str">
        <x:v>Deep perineal pouch variable</x:v>
      </x:c>
      <x:c r="D337" s="24" t="str">
        <x:v>Deep perineal branch pudendal nerve</x:v>
      </x:c>
      <x:c r="E337" s="24" t="str">
        <x:v>S2-S4</x:v>
      </x:c>
      <x:c r="F337" s="24" t="str">
        <x:v>Ischiopubic ramus and perineal membrane</x:v>
      </x:c>
      <x:c r="G337" s="24" t="str">
        <x:v>Perineal body / midline</x:v>
      </x:c>
      <x:c r="H337" s="24" t="str">
        <x:v>Perineal body fibrous insertion</x:v>
      </x:c>
      <x:c r="I337" s="24" t="str">
        <x:v>Perineal membrane and transverse perineal ligament complex nearby</x:v>
      </x:c>
      <x:c r="J337" s="24" t="str">
        <x:v>Mixed Type I and Type II; ratio unverified</x:v>
      </x:c>
      <x:c r="K337" s="24" t="str">
        <x:v>EX0371; EX0373</x:v>
      </x:c>
      <x:c r="L337" s="24" t="str">
        <x:v>EX0360; EX0361</x:v>
      </x:c>
      <x:c r="M337" s="24" t="str">
        <x:v>—</x:v>
      </x:c>
      <x:c r="N337" s="24" t="str">
        <x:v>EX0364; EX0366; EX0372</x:v>
      </x:c>
      <x:c r="O337" s="24" t="str">
        <x:v>Active strength target (group or direct)</x:v>
      </x:c>
      <x:c r="P337" s="24" t="str">
        <x:v>Perineal body awareness exercise (gentle contraction); Pelvic floor sitting isometric hold; Pelvic floor slow squeeze and full release; Pelvic floor quick contraction and release; Side-lying pelvic floor relaxation; Child's pose pelvic-floor relaxation</x:v>
      </x:c>
      <x:c r="Q337" s="24" t="str">
        <x:v>Active/involved status varies with technique, loading, individual anatomy and fatigue.</x:v>
      </x:c>
    </x:row>
    <x:row r="338" ht="54" customHeight="1">
      <x:c r="A338" s="24" t="str">
        <x:v>Puboprostaticus (male-specific subdivision)</x:v>
      </x:c>
      <x:c r="B338" s="24" t="str">
        <x:v>Pelvis &amp; Perineum</x:v>
      </x:c>
      <x:c r="C338" s="24" t="str">
        <x:v>Levator ani sex-specific</x:v>
      </x:c>
      <x:c r="D338" s="24" t="str">
        <x:v>Nerve to levator ani; pudendal variable</x:v>
      </x:c>
      <x:c r="E338" s="24" t="str">
        <x:v>S3-S4</x:v>
      </x:c>
      <x:c r="F338" s="24" t="str">
        <x:v>Posterior pubic body</x:v>
      </x:c>
      <x:c r="G338" s="24" t="str">
        <x:v>Prostatic capsule and perineal body</x:v>
      </x:c>
      <x:c r="H338" s="24" t="str">
        <x:v>Prostatic fascial attachments</x:v>
      </x:c>
      <x:c r="I338" s="24" t="str">
        <x:v>Puboprostatic fascial complex (not a single tendon)</x:v>
      </x:c>
      <x:c r="J338" s="24" t="str">
        <x:v>Type I-rich / tonic pelvic support</x:v>
      </x:c>
      <x:c r="K338" s="24" t="str">
        <x:v>EX0360; EX0361; EX0362; EX0368; EX0370; EX0371; EX0373; EX0374</x:v>
      </x:c>
      <x:c r="L338" s="24" t="str">
        <x:v>EX0369</x:v>
      </x:c>
      <x:c r="M338" s="24" t="str">
        <x:v>EX0252; EX0253; EX0304; EX0311; EX0313</x:v>
      </x:c>
      <x:c r="N338" s="24" t="str">
        <x:v>EX0363; EX0364; EX0365; EX0366; EX0367; EX0372</x:v>
      </x:c>
      <x:c r="O338" s="24" t="str">
        <x:v>Active strength target (group or direct)</x:v>
      </x:c>
      <x:c r="P338" s="24" t="str">
        <x:v>Pelvic floor slow squeeze and full release; Pelvic floor quick contraction and release; Pelvic floor coordinated exhale lift; Seated pelvic tilt coordination; Glute bridge coordinated pelvic floor lift; Abdominal brace with breathing</x:v>
      </x:c>
      <x:c r="Q338" s="24" t="str">
        <x:v>Active/involved status varies with technique, loading, individual anatomy and fatigue.</x:v>
      </x:c>
    </x:row>
    <x:row r="339" ht="54" customHeight="1">
      <x:c r="A339" s="24" t="str">
        <x:v>Pubovaginalis (female-specific subdivision)</x:v>
      </x:c>
      <x:c r="B339" s="24" t="str">
        <x:v>Pelvis &amp; Perineum</x:v>
      </x:c>
      <x:c r="C339" s="24" t="str">
        <x:v>Levator ani sex-specific</x:v>
      </x:c>
      <x:c r="D339" s="24" t="str">
        <x:v>Nerve to levator ani; pudendal variable</x:v>
      </x:c>
      <x:c r="E339" s="24" t="str">
        <x:v>S3-S4</x:v>
      </x:c>
      <x:c r="F339" s="24" t="str">
        <x:v>Posterior pubic body</x:v>
      </x:c>
      <x:c r="G339" s="24" t="str">
        <x:v>Vaginal wall and perineal body</x:v>
      </x:c>
      <x:c r="H339" s="24" t="str">
        <x:v>Pelvic fascial slips</x:v>
      </x:c>
      <x:c r="I339" s="24" t="str">
        <x:v>Perineal body connective complex</x:v>
      </x:c>
      <x:c r="J339" s="24" t="str">
        <x:v>Type I-rich / tonic pelvic support</x:v>
      </x:c>
      <x:c r="K339" s="24" t="str">
        <x:v>EX0360; EX0361; EX0362; EX0368; EX0370; EX0371; EX0373; EX0374</x:v>
      </x:c>
      <x:c r="L339" s="24" t="str">
        <x:v>EX0369</x:v>
      </x:c>
      <x:c r="M339" s="24" t="str">
        <x:v>EX0252; EX0253; EX0304; EX0311; EX0313</x:v>
      </x:c>
      <x:c r="N339" s="24" t="str">
        <x:v>EX0363; EX0364; EX0365; EX0366; EX0367; EX0372</x:v>
      </x:c>
      <x:c r="O339" s="24" t="str">
        <x:v>Active strength target (group or direct)</x:v>
      </x:c>
      <x:c r="P339" s="24" t="str">
        <x:v>Pelvic floor slow squeeze and full release; Pelvic floor quick contraction and release; Pelvic floor coordinated exhale lift; Seated pelvic tilt coordination; Glute bridge coordinated pelvic floor lift; Abdominal brace with breathing</x:v>
      </x:c>
      <x:c r="Q339" s="24" t="str">
        <x:v>Active/involved status varies with technique, loading, individual anatomy and fatigue.</x:v>
      </x:c>
    </x:row>
    <x:row r="340" ht="54" customHeight="1">
      <x:c r="A340" s="24" t="str">
        <x:v>Iliococcygeus</x:v>
      </x:c>
      <x:c r="B340" s="24" t="str">
        <x:v>Pelvis &amp; Perineum</x:v>
      </x:c>
      <x:c r="C340" s="24" t="str">
        <x:v>Pelvic diaphragm levator ani</x:v>
      </x:c>
      <x:c r="D340" s="24" t="str">
        <x:v>Nerve to levator ani</x:v>
      </x:c>
      <x:c r="E340" s="24" t="str">
        <x:v>S3-S4</x:v>
      </x:c>
      <x:c r="F340" s="24" t="str">
        <x:v>Ischial spine and tendinous arch of levator ani</x:v>
      </x:c>
      <x:c r="G340" s="24" t="str">
        <x:v>Anococcygeal body and coccyx</x:v>
      </x:c>
      <x:c r="H340" s="24" t="str">
        <x:v>Fibrous sheet into anococcygeal raphe</x:v>
      </x:c>
      <x:c r="I340" s="24" t="str">
        <x:v>Tendinous arch levator ani direct origin</x:v>
      </x:c>
      <x:c r="J340" s="24" t="str">
        <x:v>Type I-rich / tonic pelvic support</x:v>
      </x:c>
      <x:c r="K340" s="24" t="str">
        <x:v>EX0360; EX0361; EX0362; EX0368; EX0370; EX0371; EX0373; EX0374</x:v>
      </x:c>
      <x:c r="L340" s="24" t="str">
        <x:v>EX0369</x:v>
      </x:c>
      <x:c r="M340" s="24" t="str">
        <x:v>EX0252; EX0253; EX0304; EX0311; EX0313</x:v>
      </x:c>
      <x:c r="N340" s="24" t="str">
        <x:v>EX0363; EX0364; EX0365; EX0366; EX0367; EX0372</x:v>
      </x:c>
      <x:c r="O340" s="24" t="str">
        <x:v>Active strength target (group or direct)</x:v>
      </x:c>
      <x:c r="P340" s="24" t="str">
        <x:v>Pelvic floor slow squeeze and full release; Pelvic floor quick contraction and release; Pelvic floor coordinated exhale lift; Seated pelvic tilt coordination; Glute bridge coordinated pelvic floor lift; Abdominal brace with breathing</x:v>
      </x:c>
      <x:c r="Q340" s="24" t="str">
        <x:v>Active/involved status varies with technique, loading, individual anatomy and fatigue.</x:v>
      </x:c>
    </x:row>
    <x:row r="341" ht="54" customHeight="1">
      <x:c r="A341" s="24" t="str">
        <x:v>Pubococcygeus</x:v>
      </x:c>
      <x:c r="B341" s="24" t="str">
        <x:v>Pelvis &amp; Perineum</x:v>
      </x:c>
      <x:c r="C341" s="24" t="str">
        <x:v>Pelvic diaphragm levator ani</x:v>
      </x:c>
      <x:c r="D341" s="24" t="str">
        <x:v>Nerve to levator ani; pudendal variable</x:v>
      </x:c>
      <x:c r="E341" s="24" t="str">
        <x:v>S3-S4 (sometimes S2)</x:v>
      </x:c>
      <x:c r="F341" s="24" t="str">
        <x:v>Posterior pubis and tendinous arch levator ani</x:v>
      </x:c>
      <x:c r="G341" s="24" t="str">
        <x:v>Anococcygeal body; coccyx; perineal body</x:v>
      </x:c>
      <x:c r="H341" s="24" t="str">
        <x:v>Fibrous insertions to anococcygeal body</x:v>
      </x:c>
      <x:c r="I341" s="24" t="str">
        <x:v>Tendinous arch of levator ani direct origin (fascial condensation)</x:v>
      </x:c>
      <x:c r="J341" s="24" t="str">
        <x:v>Type I-rich / tonic pelvic support</x:v>
      </x:c>
      <x:c r="K341" s="24" t="str">
        <x:v>EX0360; EX0361; EX0362; EX0368; EX0370; EX0371; EX0373; EX0374</x:v>
      </x:c>
      <x:c r="L341" s="24" t="str">
        <x:v>EX0369</x:v>
      </x:c>
      <x:c r="M341" s="24" t="str">
        <x:v>EX0252; EX0253; EX0304; EX0311; EX0313</x:v>
      </x:c>
      <x:c r="N341" s="24" t="str">
        <x:v>EX0363; EX0364; EX0365; EX0366; EX0367; EX0372</x:v>
      </x:c>
      <x:c r="O341" s="24" t="str">
        <x:v>Active strength target (group or direct)</x:v>
      </x:c>
      <x:c r="P341" s="24" t="str">
        <x:v>Pelvic floor slow squeeze and full release; Pelvic floor quick contraction and release; Pelvic floor coordinated exhale lift; Seated pelvic tilt coordination; Glute bridge coordinated pelvic floor lift; Abdominal brace with breathing</x:v>
      </x:c>
      <x:c r="Q341" s="24" t="str">
        <x:v>Active/involved status varies with technique, loading, individual anatomy and fatigue.</x:v>
      </x:c>
    </x:row>
    <x:row r="342" ht="54" customHeight="1">
      <x:c r="A342" s="24" t="str">
        <x:v>Puborectalis</x:v>
      </x:c>
      <x:c r="B342" s="24" t="str">
        <x:v>Pelvis &amp; Perineum</x:v>
      </x:c>
      <x:c r="C342" s="24" t="str">
        <x:v>Pelvic diaphragm levator ani</x:v>
      </x:c>
      <x:c r="D342" s="24" t="str">
        <x:v>Nerve to levator ani; pudendal contributions variable</x:v>
      </x:c>
      <x:c r="E342" s="24" t="str">
        <x:v>S3-S4 (often S2-S4)</x:v>
      </x:c>
      <x:c r="F342" s="24" t="str">
        <x:v>Posterior body pubis bilaterally</x:v>
      </x:c>
      <x:c r="G342" s="24" t="str">
        <x:v>Muscle sling around anorectal junction</x:v>
      </x:c>
      <x:c r="H342" s="24" t="str">
        <x:v>Muscular sling no separate tendon</x:v>
      </x:c>
      <x:c r="I342" s="24" t="str">
        <x:v>Perineal body/fascial support near pubic region</x:v>
      </x:c>
      <x:c r="J342" s="24" t="str">
        <x:v>Type I-rich / tonic pelvic support</x:v>
      </x:c>
      <x:c r="K342" s="24" t="str">
        <x:v>EX0360; EX0361; EX0362; EX0368; EX0370; EX0371; EX0373; EX0374</x:v>
      </x:c>
      <x:c r="L342" s="24" t="str">
        <x:v>EX0369</x:v>
      </x:c>
      <x:c r="M342" s="24" t="str">
        <x:v>EX0252; EX0253; EX0304; EX0311; EX0313</x:v>
      </x:c>
      <x:c r="N342" s="24" t="str">
        <x:v>EX0363; EX0364; EX0365; EX0366; EX0367; EX0372</x:v>
      </x:c>
      <x:c r="O342" s="24" t="str">
        <x:v>Active strength target (group or direct)</x:v>
      </x:c>
      <x:c r="P342" s="24" t="str">
        <x:v>Pelvic floor slow squeeze and full release; Pelvic floor quick contraction and release; Pelvic floor coordinated exhale lift; Seated pelvic tilt coordination; Glute bridge coordinated pelvic floor lift; Abdominal brace with breathing</x:v>
      </x:c>
      <x:c r="Q342" s="24" t="str">
        <x:v>Active/involved status varies with technique, loading, individual anatomy and fatigue.</x:v>
      </x:c>
    </x:row>
    <x:row r="343" ht="54" customHeight="1">
      <x:c r="A343" s="24" t="str">
        <x:v>Coccygeus (ischiococcygeus)</x:v>
      </x:c>
      <x:c r="B343" s="24" t="str">
        <x:v>Pelvis &amp; Perineum</x:v>
      </x:c>
      <x:c r="C343" s="24" t="str">
        <x:v>Pelvic diaphragm posterior</x:v>
      </x:c>
      <x:c r="D343" s="24" t="str">
        <x:v>Anterior rami sacral nerves</x:v>
      </x:c>
      <x:c r="E343" s="24" t="str">
        <x:v>S4-S5</x:v>
      </x:c>
      <x:c r="F343" s="24" t="str">
        <x:v>Ischial spine</x:v>
      </x:c>
      <x:c r="G343" s="24" t="str">
        <x:v>Lateral lower sacrum and coccyx</x:v>
      </x:c>
      <x:c r="H343" s="24" t="str">
        <x:v>Broad sacrococcygeal fibrous attachment</x:v>
      </x:c>
      <x:c r="I343" s="24" t="str">
        <x:v>Sacrospinous ligament directly blends with muscle</x:v>
      </x:c>
      <x:c r="J343" s="24" t="str">
        <x:v>Type I-rich / tonic pelvic support</x:v>
      </x:c>
      <x:c r="K343" s="24" t="str">
        <x:v>EX0360; EX0361; EX0362; EX0368; EX0370; EX0371; EX0373; EX0374</x:v>
      </x:c>
      <x:c r="L343" s="24" t="str">
        <x:v>EX0369</x:v>
      </x:c>
      <x:c r="M343" s="24" t="str">
        <x:v>EX0252; EX0253; EX0304; EX0311; EX0313</x:v>
      </x:c>
      <x:c r="N343" s="24" t="str">
        <x:v>EX0363; EX0364; EX0365; EX0366; EX0367; EX0372</x:v>
      </x:c>
      <x:c r="O343" s="24" t="str">
        <x:v>Active strength target (group or direct)</x:v>
      </x:c>
      <x:c r="P343" s="24" t="str">
        <x:v>Pelvic floor slow squeeze and full release; Pelvic floor quick contraction and release; Pelvic floor coordinated exhale lift; Seated pelvic tilt coordination; Glute bridge coordinated pelvic floor lift; Abdominal brace with breathing</x:v>
      </x:c>
      <x:c r="Q343" s="24" t="str">
        <x:v>Active/involved status varies with technique, loading, individual anatomy and fatigue.</x:v>
      </x:c>
    </x:row>
    <x:row r="344" ht="54" customHeight="1">
      <x:c r="A344" s="24" t="str">
        <x:v>External anal sphincter deep part</x:v>
      </x:c>
      <x:c r="B344" s="24" t="str">
        <x:v>Pelvis &amp; Perineum</x:v>
      </x:c>
      <x:c r="C344" s="24" t="str">
        <x:v>Perineum anal triangle</x:v>
      </x:c>
      <x:c r="D344" s="24" t="str">
        <x:v>Inferior rectal nerves (pudendal); S4 contributions</x:v>
      </x:c>
      <x:c r="E344" s="24" t="str">
        <x:v>S2-S4</x:v>
      </x:c>
      <x:c r="F344" s="24" t="str">
        <x:v>Circumferential fibers integrated with puborectalis</x:v>
      </x:c>
      <x:c r="G344" s="24" t="str">
        <x:v>Ring around superior anal canal</x:v>
      </x:c>
      <x:c r="H344" s="24" t="str">
        <x:v>Circular fibers without long tendons</x:v>
      </x:c>
      <x:c r="I344" s="24" t="str">
        <x:v>Adjacent puborectalis sling, not ligament</x:v>
      </x:c>
      <x:c r="J344" s="24" t="str">
        <x:v>Mixed Type I and Type II; ratio unverified</x:v>
      </x:c>
      <x:c r="K344" s="24" t="str">
        <x:v>EX0360; EX0361; EX0362; EX0368; EX0370; EX0371; EX0373; EX0374</x:v>
      </x:c>
      <x:c r="L344" s="24" t="str">
        <x:v>EX0369</x:v>
      </x:c>
      <x:c r="M344" s="24" t="str">
        <x:v>EX0252; EX0253; EX0304; EX0311; EX0313</x:v>
      </x:c>
      <x:c r="N344" s="24" t="str">
        <x:v>EX0363; EX0364; EX0365; EX0366; EX0367; EX0372</x:v>
      </x:c>
      <x:c r="O344" s="24" t="str">
        <x:v>Active strength target (group or direct)</x:v>
      </x:c>
      <x:c r="P344" s="24" t="str">
        <x:v>Pelvic floor slow squeeze and full release; Pelvic floor quick contraction and release; Pelvic floor coordinated exhale lift; Seated pelvic tilt coordination; Glute bridge coordinated pelvic floor lift; Abdominal brace with breathing</x:v>
      </x:c>
      <x:c r="Q344" s="24" t="str">
        <x:v>Active/involved status varies with technique, loading, individual anatomy and fatigue.</x:v>
      </x:c>
    </x:row>
    <x:row r="345" ht="54" customHeight="1">
      <x:c r="A345" s="24" t="str">
        <x:v>External anal sphincter subcutaneous part</x:v>
      </x:c>
      <x:c r="B345" s="24" t="str">
        <x:v>Pelvis &amp; Perineum</x:v>
      </x:c>
      <x:c r="C345" s="24" t="str">
        <x:v>Perineum anal triangle</x:v>
      </x:c>
      <x:c r="D345" s="24" t="str">
        <x:v>Inferior rectal nerves (pudendal)</x:v>
      </x:c>
      <x:c r="E345" s="24" t="str">
        <x:v>S2-S4</x:v>
      </x:c>
      <x:c r="F345" s="24" t="str">
        <x:v>Ring of tissue around anal canal</x:v>
      </x:c>
      <x:c r="G345" s="24" t="str">
        <x:v>Circular fibers around anal canal</x:v>
      </x:c>
      <x:c r="H345" s="24" t="str">
        <x:v>Fibrous subcutaneous ring</x:v>
      </x:c>
      <x:c r="I345" s="24" t="str">
        <x:v>Perineal body nearby</x:v>
      </x:c>
      <x:c r="J345" s="24" t="str">
        <x:v>Mixed Type I and Type II; ratio unverified</x:v>
      </x:c>
      <x:c r="K345" s="24" t="str">
        <x:v>EX0360; EX0361; EX0362; EX0368; EX0370; EX0371; EX0373; EX0374</x:v>
      </x:c>
      <x:c r="L345" s="24" t="str">
        <x:v>EX0369</x:v>
      </x:c>
      <x:c r="M345" s="24" t="str">
        <x:v>EX0252; EX0253; EX0304; EX0311; EX0313</x:v>
      </x:c>
      <x:c r="N345" s="24" t="str">
        <x:v>EX0363; EX0364; EX0365; EX0366; EX0367; EX0372</x:v>
      </x:c>
      <x:c r="O345" s="24" t="str">
        <x:v>Active strength target (group or direct)</x:v>
      </x:c>
      <x:c r="P345" s="24" t="str">
        <x:v>Pelvic floor slow squeeze and full release; Pelvic floor quick contraction and release; Pelvic floor coordinated exhale lift; Seated pelvic tilt coordination; Glute bridge coordinated pelvic floor lift; Abdominal brace with breathing</x:v>
      </x:c>
      <x:c r="Q345" s="24" t="str">
        <x:v>Active/involved status varies with technique, loading, individual anatomy and fatigue.</x:v>
      </x:c>
    </x:row>
    <x:row r="346" ht="54" customHeight="1">
      <x:c r="A346" s="24" t="str">
        <x:v>External anal sphincter superficial part</x:v>
      </x:c>
      <x:c r="B346" s="24" t="str">
        <x:v>Pelvis &amp; Perineum</x:v>
      </x:c>
      <x:c r="C346" s="24" t="str">
        <x:v>Perineum anal triangle</x:v>
      </x:c>
      <x:c r="D346" s="24" t="str">
        <x:v>Inferior rectal nerves (pudendal)</x:v>
      </x:c>
      <x:c r="E346" s="24" t="str">
        <x:v>S2-S4</x:v>
      </x:c>
      <x:c r="F346" s="24" t="str">
        <x:v>Perineal body</x:v>
      </x:c>
      <x:c r="G346" s="24" t="str">
        <x:v>Anococcygeal ligament/body posteriorly</x:v>
      </x:c>
      <x:c r="H346" s="24" t="str">
        <x:v>Anterior/posterior fibrous attachments</x:v>
      </x:c>
      <x:c r="I346" s="24" t="str">
        <x:v>Anococcygeal ligament direct posterior attachment</x:v>
      </x:c>
      <x:c r="J346" s="24" t="str">
        <x:v>Mixed Type I and Type II; ratio unverified</x:v>
      </x:c>
      <x:c r="K346" s="24" t="str">
        <x:v>EX0360; EX0361; EX0362; EX0368; EX0370; EX0371; EX0373; EX0374</x:v>
      </x:c>
      <x:c r="L346" s="24" t="str">
        <x:v>EX0369</x:v>
      </x:c>
      <x:c r="M346" s="24" t="str">
        <x:v>EX0252; EX0253; EX0304; EX0311; EX0313</x:v>
      </x:c>
      <x:c r="N346" s="24" t="str">
        <x:v>EX0363; EX0364; EX0365; EX0366; EX0367; EX0372</x:v>
      </x:c>
      <x:c r="O346" s="24" t="str">
        <x:v>Active strength target (group or direct)</x:v>
      </x:c>
      <x:c r="P346" s="24" t="str">
        <x:v>Pelvic floor slow squeeze and full release; Pelvic floor quick contraction and release; Pelvic floor coordinated exhale lift; Seated pelvic tilt coordination; Glute bridge coordinated pelvic floor lift; Abdominal brace with breathing</x:v>
      </x:c>
      <x:c r="Q346" s="24" t="str">
        <x:v>Active/involved status varies with technique, loading, individual anatomy and fatigue.</x:v>
      </x:c>
    </x:row>
    <x:row r="347" ht="54" customHeight="1">
      <x:c r="A347" s="24" t="str">
        <x:v>External urethral sphincter (rhabdosphincter)</x:v>
      </x:c>
      <x:c r="B347" s="24" t="str">
        <x:v>Pelvis &amp; Perineum</x:v>
      </x:c>
      <x:c r="C347" s="24" t="str">
        <x:v>Perineum urogenital triangle</x:v>
      </x:c>
      <x:c r="D347" s="24" t="str">
        <x:v>Deep perineal branch pudendal nerve</x:v>
      </x:c>
      <x:c r="E347" s="24" t="str">
        <x:v>S2-S4</x:v>
      </x:c>
      <x:c r="F347" s="24" t="str">
        <x:v>Perineal membrane / surrounding pubic attachments</x:v>
      </x:c>
      <x:c r="G347" s="24" t="str">
        <x:v>Encircles membranous urethra</x:v>
      </x:c>
      <x:c r="H347" s="24" t="str">
        <x:v>Circumferential fibers</x:v>
      </x:c>
      <x:c r="I347" s="24" t="str">
        <x:v>Perineal membrane associated</x:v>
      </x:c>
      <x:c r="J347" s="24" t="str">
        <x:v>Mixed Type I and Type II; ratio unverified</x:v>
      </x:c>
      <x:c r="K347" s="24" t="str">
        <x:v>EX0360; EX0361; EX0362; EX0368; EX0370; EX0371; EX0373; EX0374</x:v>
      </x:c>
      <x:c r="L347" s="24" t="str">
        <x:v>EX0369</x:v>
      </x:c>
      <x:c r="M347" s="24" t="str">
        <x:v>EX0252; EX0253; EX0304; EX0311; EX0313</x:v>
      </x:c>
      <x:c r="N347" s="24" t="str">
        <x:v>EX0363; EX0364; EX0365; EX0366; EX0367; EX0372</x:v>
      </x:c>
      <x:c r="O347" s="24" t="str">
        <x:v>Active strength target (group or direct)</x:v>
      </x:c>
      <x:c r="P347" s="24" t="str">
        <x:v>Pelvic floor slow squeeze and full release; Pelvic floor quick contraction and release; Pelvic floor coordinated exhale lift; Seated pelvic tilt coordination; Glute bridge coordinated pelvic floor lift; Abdominal brace with breathing</x:v>
      </x:c>
      <x:c r="Q347" s="24" t="str">
        <x:v>Active/involved status varies with technique, loading, individual anatomy and fatigue.</x:v>
      </x:c>
    </x:row>
    <x:row r="348" ht="54" customHeight="1">
      <x:c r="A348" s="24" t="str">
        <x:v>Superficial transverse perineal muscle</x:v>
      </x:c>
      <x:c r="B348" s="24" t="str">
        <x:v>Pelvis &amp; Perineum</x:v>
      </x:c>
      <x:c r="C348" s="24" t="str">
        <x:v>Superficial perineal pouch</x:v>
      </x:c>
      <x:c r="D348" s="24" t="str">
        <x:v>Perineal branch pudendal nerve</x:v>
      </x:c>
      <x:c r="E348" s="24" t="str">
        <x:v>S2-S4</x:v>
      </x:c>
      <x:c r="F348" s="24" t="str">
        <x:v>Ischial tuberosity/ramus</x:v>
      </x:c>
      <x:c r="G348" s="24" t="str">
        <x:v>Perineal body</x:v>
      </x:c>
      <x:c r="H348" s="24" t="str">
        <x:v>Short perineal body insertion tendon</x:v>
      </x:c>
      <x:c r="I348" s="24" t="str">
        <x:v>Perineal membrane nearby</x:v>
      </x:c>
      <x:c r="J348" s="24" t="str">
        <x:v>Mixed Type I and Type II; ratio unverified</x:v>
      </x:c>
      <x:c r="K348" s="24" t="str">
        <x:v>EX0371; EX0373</x:v>
      </x:c>
      <x:c r="L348" s="24" t="str">
        <x:v>EX0360; EX0361</x:v>
      </x:c>
      <x:c r="M348" s="24" t="str">
        <x:v>—</x:v>
      </x:c>
      <x:c r="N348" s="24" t="str">
        <x:v>EX0364; EX0366; EX0372</x:v>
      </x:c>
      <x:c r="O348" s="24" t="str">
        <x:v>Active strength target (group or direct)</x:v>
      </x:c>
      <x:c r="P348" s="24" t="str">
        <x:v>Perineal body awareness exercise (gentle contraction); Pelvic floor sitting isometric hold; Pelvic floor slow squeeze and full release; Pelvic floor quick contraction and release; Side-lying pelvic floor relaxation; Child's pose pelvic-floor relaxation</x:v>
      </x:c>
      <x:c r="Q348" s="24" t="str">
        <x:v>Active/involved status varies with technique, loading, individual anatomy and fatigue.</x:v>
      </x:c>
    </x:row>
    <x:row r="349" ht="54" customHeight="1">
      <x:c r="A349" s="24" t="str">
        <x:v>Bulbospongiosus (female)</x:v>
      </x:c>
      <x:c r="B349" s="24" t="str">
        <x:v>Pelvis &amp; Perineum</x:v>
      </x:c>
      <x:c r="C349" s="24" t="str">
        <x:v>Superficial perineal pouch female</x:v>
      </x:c>
      <x:c r="D349" s="24" t="str">
        <x:v>Perineal branch pudendal nerve</x:v>
      </x:c>
      <x:c r="E349" s="24" t="str">
        <x:v>S2-S4</x:v>
      </x:c>
      <x:c r="F349" s="24" t="str">
        <x:v>Perineal body</x:v>
      </x:c>
      <x:c r="G349" s="24" t="str">
        <x:v>Bulb of vestibule; clitoral fascia</x:v>
      </x:c>
      <x:c r="H349" s="24" t="str">
        <x:v>Clitoral fascial fibers</x:v>
      </x:c>
      <x:c r="I349" s="24" t="str">
        <x:v>Perineal membrane adjacent</x:v>
      </x:c>
      <x:c r="J349" s="24" t="str">
        <x:v>Mixed Type I and Type II; ratio unverified</x:v>
      </x:c>
      <x:c r="K349" s="24" t="str">
        <x:v>EX0371; EX0373</x:v>
      </x:c>
      <x:c r="L349" s="24" t="str">
        <x:v>EX0360; EX0361</x:v>
      </x:c>
      <x:c r="M349" s="24" t="str">
        <x:v>—</x:v>
      </x:c>
      <x:c r="N349" s="24" t="str">
        <x:v>EX0364; EX0366</x:v>
      </x:c>
      <x:c r="O349" s="24" t="str">
        <x:v>Active strength target (group or direct)</x:v>
      </x:c>
      <x:c r="P349" s="24" t="str">
        <x:v>Perineal body awareness exercise (gentle contraction); Pelvic floor sitting isometric hold; Pelvic floor slow squeeze and full release; Pelvic floor quick contraction and release; Side-lying pelvic floor relaxation; Child's pose pelvic-floor relaxation</x:v>
      </x:c>
      <x:c r="Q349" s="24" t="str">
        <x:v>Active/involved status varies with technique, loading, individual anatomy and fatigue.</x:v>
      </x:c>
    </x:row>
    <x:row r="350" ht="54" customHeight="1">
      <x:c r="A350" s="24" t="str">
        <x:v>Ischiocavernosus (female)</x:v>
      </x:c>
      <x:c r="B350" s="24" t="str">
        <x:v>Pelvis &amp; Perineum</x:v>
      </x:c>
      <x:c r="C350" s="24" t="str">
        <x:v>Superficial perineal pouch female</x:v>
      </x:c>
      <x:c r="D350" s="24" t="str">
        <x:v>Perineal branch pudendal nerve</x:v>
      </x:c>
      <x:c r="E350" s="24" t="str">
        <x:v>S2-S4</x:v>
      </x:c>
      <x:c r="F350" s="24" t="str">
        <x:v>Ischial tuberosity and ischiopubic ramus</x:v>
      </x:c>
      <x:c r="G350" s="24" t="str">
        <x:v>Crus clitoris and tunica albuginea</x:v>
      </x:c>
      <x:c r="H350" s="24" t="str">
        <x:v>Crural insertion</x:v>
      </x:c>
      <x:c r="I350" s="24" t="str">
        <x:v>Suspensory ligament of clitoris nearby</x:v>
      </x:c>
      <x:c r="J350" s="24" t="str">
        <x:v>Mixed Type I and Type II; ratio unverified</x:v>
      </x:c>
      <x:c r="K350" s="24" t="str">
        <x:v>EX0371; EX0373</x:v>
      </x:c>
      <x:c r="L350" s="24" t="str">
        <x:v>EX0360; EX0361</x:v>
      </x:c>
      <x:c r="M350" s="24" t="str">
        <x:v>—</x:v>
      </x:c>
      <x:c r="N350" s="24" t="str">
        <x:v>EX0364; EX0366</x:v>
      </x:c>
      <x:c r="O350" s="24" t="str">
        <x:v>Active strength target (group or direct)</x:v>
      </x:c>
      <x:c r="P350" s="24" t="str">
        <x:v>Perineal body awareness exercise (gentle contraction); Pelvic floor sitting isometric hold; Pelvic floor slow squeeze and full release; Pelvic floor quick contraction and release; Side-lying pelvic floor relaxation; Child's pose pelvic-floor relaxation</x:v>
      </x:c>
      <x:c r="Q350" s="24" t="str">
        <x:v>Active/involved status varies with technique, loading, individual anatomy and fatigue.</x:v>
      </x:c>
    </x:row>
    <x:row r="351" ht="54" customHeight="1">
      <x:c r="A351" s="24" t="str">
        <x:v>Bulbospongiosus (male)</x:v>
      </x:c>
      <x:c r="B351" s="24" t="str">
        <x:v>Pelvis &amp; Perineum</x:v>
      </x:c>
      <x:c r="C351" s="24" t="str">
        <x:v>Superficial perineal pouch male</x:v>
      </x:c>
      <x:c r="D351" s="24" t="str">
        <x:v>Perineal branch pudendal nerve</x:v>
      </x:c>
      <x:c r="E351" s="24" t="str">
        <x:v>S2-S4</x:v>
      </x:c>
      <x:c r="F351" s="24" t="str">
        <x:v>Perineal body and midline penile raphe</x:v>
      </x:c>
      <x:c r="G351" s="24" t="str">
        <x:v>Perineal membrane; bulb of penis; dorsal penile fascia</x:v>
      </x:c>
      <x:c r="H351" s="24" t="str">
        <x:v>Fibrous penile/perineal fascial insertion</x:v>
      </x:c>
      <x:c r="I351" s="24" t="str">
        <x:v>Perineal membrane attachment</x:v>
      </x:c>
      <x:c r="J351" s="24" t="str">
        <x:v>Mixed Type I and Type II; ratio unverified</x:v>
      </x:c>
      <x:c r="K351" s="24" t="str">
        <x:v>EX0371; EX0373</x:v>
      </x:c>
      <x:c r="L351" s="24" t="str">
        <x:v>EX0360; EX0361</x:v>
      </x:c>
      <x:c r="M351" s="24" t="str">
        <x:v>—</x:v>
      </x:c>
      <x:c r="N351" s="24" t="str">
        <x:v>EX0364; EX0366</x:v>
      </x:c>
      <x:c r="O351" s="24" t="str">
        <x:v>Active strength target (group or direct)</x:v>
      </x:c>
      <x:c r="P351" s="24" t="str">
        <x:v>Perineal body awareness exercise (gentle contraction); Pelvic floor sitting isometric hold; Pelvic floor slow squeeze and full release; Pelvic floor quick contraction and release; Side-lying pelvic floor relaxation; Child's pose pelvic-floor relaxation</x:v>
      </x:c>
      <x:c r="Q351" s="24" t="str">
        <x:v>Active/involved status varies with technique, loading, individual anatomy and fatigue.</x:v>
      </x:c>
    </x:row>
    <x:row r="352" ht="54" customHeight="1">
      <x:c r="A352" s="24" t="str">
        <x:v>Ischiocavernosus (male)</x:v>
      </x:c>
      <x:c r="B352" s="24" t="str">
        <x:v>Pelvis &amp; Perineum</x:v>
      </x:c>
      <x:c r="C352" s="24" t="str">
        <x:v>Superficial perineal pouch male</x:v>
      </x:c>
      <x:c r="D352" s="24" t="str">
        <x:v>Perineal branch pudendal nerve</x:v>
      </x:c>
      <x:c r="E352" s="24" t="str">
        <x:v>S2-S4</x:v>
      </x:c>
      <x:c r="F352" s="24" t="str">
        <x:v>Ischial tuberosity and ischiopubic ramus</x:v>
      </x:c>
      <x:c r="G352" s="24" t="str">
        <x:v>Crus penis and tunica albuginea</x:v>
      </x:c>
      <x:c r="H352" s="24" t="str">
        <x:v>Crural fibrous insertion</x:v>
      </x:c>
      <x:c r="I352" s="24" t="str">
        <x:v>Suspensory ligament of penis nearby, not direct insertion</x:v>
      </x:c>
      <x:c r="J352" s="24" t="str">
        <x:v>Mixed Type I and Type II; ratio unverified</x:v>
      </x:c>
      <x:c r="K352" s="24" t="str">
        <x:v>EX0371; EX0373</x:v>
      </x:c>
      <x:c r="L352" s="24" t="str">
        <x:v>EX0360; EX0361</x:v>
      </x:c>
      <x:c r="M352" s="24" t="str">
        <x:v>—</x:v>
      </x:c>
      <x:c r="N352" s="24" t="str">
        <x:v>EX0364; EX0366</x:v>
      </x:c>
      <x:c r="O352" s="24" t="str">
        <x:v>Active strength target (group or direct)</x:v>
      </x:c>
      <x:c r="P352" s="24" t="str">
        <x:v>Perineal body awareness exercise (gentle contraction); Pelvic floor sitting isometric hold; Pelvic floor slow squeeze and full release; Pelvic floor quick contraction and release; Side-lying pelvic floor relaxation; Child's pose pelvic-floor relaxation</x:v>
      </x:c>
      <x:c r="Q352" s="24" t="str">
        <x:v>Active/involved status varies with technique, loading, individual anatomy and fatigue.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8da15645f2724bd5"/>
  </x:tableParts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27" hidden="0" customWidth="1"/>
    <x:col min="3" max="3" width="27" hidden="0" customWidth="1"/>
    <x:col min="4" max="4" width="48" hidden="0" customWidth="1"/>
    <x:col min="5" max="5" width="44" hidden="0" customWidth="1"/>
    <x:col min="6" max="6" width="55" hidden="0" customWidth="1"/>
    <x:col min="7" max="7" width="62" hidden="0" customWidth="1"/>
  </x:cols>
  <x:sheetData>
    <x:row r="1" ht="36" customHeight="1">
      <x:c r="A1" s="4" t="str">
        <x:v>TENDON, FASCIA &amp; LIGAMENT GUIDE</x:v>
      </x:c>
      <x:c r="B1" s="4"/>
      <x:c r="C1" s="4"/>
      <x:c r="D1" s="4"/>
      <x:c r="E1" s="4"/>
      <x:c r="F1" s="4"/>
      <x:c r="G1" s="4"/>
    </x:row>
    <x:row r="2" ht="25" customHeight="1">
      <x:c r="A2" s="10" t="str">
        <x:v>Tendons transmit muscular force; ligaments stabilize joints and are NOT intended stretch targets</x:v>
      </x:c>
      <x:c r="B2" s="10"/>
      <x:c r="C2" s="10"/>
      <x:c r="D2" s="10"/>
      <x:c r="E2" s="10"/>
      <x:c r="F2" s="10"/>
      <x:c r="G2" s="10"/>
    </x:row>
    <x:row r="3" ht="42" customHeight="1">
      <x:c r="A3" s="17" t="str">
        <x:v>Structure</x:v>
      </x:c>
      <x:c r="B3" s="17" t="str">
        <x:v>Class</x:v>
      </x:c>
      <x:c r="C3" s="17" t="str">
        <x:v>Region</x:v>
      </x:c>
      <x:c r="D3" s="17" t="str">
        <x:v>Anatomical role / supported motion</x:v>
      </x:c>
      <x:c r="E3" s="17" t="str">
        <x:v>Related movement IDs</x:v>
      </x:c>
      <x:c r="F3" s="17" t="str">
        <x:v>Related movement names</x:v>
      </x:c>
      <x:c r="G3" s="17" t="str">
        <x:v>How to interpret support or loading</x:v>
      </x:c>
    </x:row>
    <x:row r="4" ht="54" customHeight="1">
      <x:c r="A4" s="24" t="str">
        <x:v>Achilles (calcaneal) tendon</x:v>
      </x:c>
      <x:c r="B4" s="24" t="str">
        <x:v>Tendon</x:v>
      </x:c>
      <x:c r="C4" s="24" t="str">
        <x:v>Leg &amp; Ankle</x:v>
      </x:c>
      <x:c r="D4" s="24" t="str">
        <x:v>Transmits gastrocnemius and soleus plantar-flexion force</x:v>
      </x:c>
      <x:c r="E4" s="24" t="str">
        <x:v>EX0189; EX0191; EX0194; EX0221</x:v>
      </x:c>
      <x:c r="F4" s="24" t="str">
        <x:v>Double-leg standing calf raise; Seated bent-knee calf raise backpack; Calf eccentric heel drop straight knee; Wall calf stretch (straight knee)</x:v>
      </x:c>
      <x:c r="G4" s="24" t="str">
        <x:v>Progressive loading and gentle calf stretching; tendon is not a ligament.</x:v>
      </x:c>
    </x:row>
    <x:row r="5" ht="54" customHeight="1">
      <x:c r="A5" s="24" t="str">
        <x:v>Quadriceps tendon</x:v>
      </x:c>
      <x:c r="B5" s="24" t="str">
        <x:v>Tendon</x:v>
      </x:c>
      <x:c r="C5" s="24" t="str">
        <x:v>Thigh &amp; Knee</x:v>
      </x:c>
      <x:c r="D5" s="24" t="str">
        <x:v>Quadriceps force into patella</x:v>
      </x:c>
      <x:c r="E5" s="24" t="str">
        <x:v>EX0144; EX0161; EX0159; EX0162</x:v>
      </x:c>
      <x:c r="F5" s="24" t="str">
        <x:v>Bodyweight squat; Leg extension machine; Wall sit; Short-arc quad over rolled towel</x:v>
      </x:c>
      <x:c r="G5" s="24" t="str">
        <x:v>Load through comfortable knee range; avoid sharp anterior knee pain.</x:v>
      </x:c>
    </x:row>
    <x:row r="6" ht="54" customHeight="1">
      <x:c r="A6" s="24" t="str">
        <x:v>Patellar tendon</x:v>
      </x:c>
      <x:c r="B6" s="24" t="str">
        <x:v>Tendon</x:v>
      </x:c>
      <x:c r="C6" s="24" t="str">
        <x:v>Thigh &amp; Knee</x:v>
      </x:c>
      <x:c r="D6" s="24" t="str">
        <x:v>Transmits quadriceps force from patella to tibial tuberosity</x:v>
      </x:c>
      <x:c r="E6" s="24" t="str">
        <x:v>EX0144; EX0159; EX0160; EX0161</x:v>
      </x:c>
      <x:c r="F6" s="24" t="str">
        <x:v>Bodyweight squat; Wall sit; Spanish squat band-supported; Leg extension machine</x:v>
      </x:c>
      <x:c r="G6" s="24" t="str">
        <x:v>A true tendon despite historical name 'patellar ligament'; loaded in knee extension.</x:v>
      </x:c>
    </x:row>
    <x:row r="7" ht="54" customHeight="1">
      <x:c r="A7" s="24" t="str">
        <x:v>Proximal hamstring tendons</x:v>
      </x:c>
      <x:c r="B7" s="24" t="str">
        <x:v>Tendon</x:v>
      </x:c>
      <x:c r="C7" s="24" t="str">
        <x:v>Hip &amp; Gluteal</x:v>
      </x:c>
      <x:c r="D7" s="24" t="str">
        <x:v>Posterior thigh force at ischial origin</x:v>
      </x:c>
      <x:c r="E7" s="24" t="str">
        <x:v>EX0170; EX0165; EX0166</x:v>
      </x:c>
      <x:c r="F7" s="24" t="str">
        <x:v>Dumbbell Romanian deadlift; Nordic hamstring lowering assisted; Slider hamstring curl</x:v>
      </x:c>
      <x:c r="G7" s="24" t="str">
        <x:v>Eccentrics can stress proximal tendon; progress dose.</x:v>
      </x:c>
    </x:row>
    <x:row r="8" ht="54" customHeight="1">
      <x:c r="A8" s="24" t="str">
        <x:v>Distal hamstring tendons</x:v>
      </x:c>
      <x:c r="B8" s="24" t="str">
        <x:v>Tendon</x:v>
      </x:c>
      <x:c r="C8" s="24" t="str">
        <x:v>Thigh &amp; Knee</x:v>
      </x:c>
      <x:c r="D8" s="24" t="str">
        <x:v>Biceps femoris / semitendinosus / semimembranosus insertion tendons</x:v>
      </x:c>
      <x:c r="E8" s="24" t="str">
        <x:v>EX0168; EX0167; EX0166</x:v>
      </x:c>
      <x:c r="F8" s="24" t="str">
        <x:v>Seated leg curl machine; Resistance band prone hamstring curl; Slider hamstring curl</x:v>
      </x:c>
      <x:c r="G8" s="24" t="str">
        <x:v>Load during knee flexion and hip hinge.</x:v>
      </x:c>
    </x:row>
    <x:row r="9" ht="54" customHeight="1">
      <x:c r="A9" s="24" t="str">
        <x:v>Gluteus medius/minimus tendons</x:v>
      </x:c>
      <x:c r="B9" s="24" t="str">
        <x:v>Tendon</x:v>
      </x:c>
      <x:c r="C9" s="24" t="str">
        <x:v>Hip &amp; Gluteal</x:v>
      </x:c>
      <x:c r="D9" s="24" t="str">
        <x:v>Hip abductor insertion at greater trochanter</x:v>
      </x:c>
      <x:c r="E9" s="24" t="str">
        <x:v>EX0108; EX0109; EX0111</x:v>
      </x:c>
      <x:c r="F9" s="24" t="str">
        <x:v>Side-lying hip abduction; Standing band lateral walk; Cable standing hip abduction</x:v>
      </x:c>
      <x:c r="G9" s="24" t="str">
        <x:v>Do not force hip adduction across painful lateral hip.</x:v>
      </x:c>
    </x:row>
    <x:row r="10" ht="54" customHeight="1">
      <x:c r="A10" s="24" t="str">
        <x:v>Iliopsoas tendon</x:v>
      </x:c>
      <x:c r="B10" s="24" t="str">
        <x:v>Tendon</x:v>
      </x:c>
      <x:c r="C10" s="24" t="str">
        <x:v>Hip &amp; Gluteal</x:v>
      </x:c>
      <x:c r="D10" s="24" t="str">
        <x:v>Hip flexion</x:v>
      </x:c>
      <x:c r="E10" s="24" t="str">
        <x:v>EX0119; EX0122; EX0134</x:v>
      </x:c>
      <x:c r="F10" s="24" t="str">
        <x:v>Standing band hip flexion march; Seated resisted hip flexion with band; Half-kneeling iliopsoas stretch</x:v>
      </x:c>
      <x:c r="G10" s="24" t="str">
        <x:v>Avoid aggressive hip-flexor stretching with irritated tendon.</x:v>
      </x:c>
    </x:row>
    <x:row r="11" ht="54" customHeight="1">
      <x:c r="A11" s="24" t="str">
        <x:v>Adductor longus/brevis/magnus origins</x:v>
      </x:c>
      <x:c r="B11" s="24" t="str">
        <x:v>Tendon / enthesis</x:v>
      </x:c>
      <x:c r="C11" s="24" t="str">
        <x:v>Thigh &amp; Knee</x:v>
      </x:c>
      <x:c r="D11" s="24" t="str">
        <x:v>Medial thigh stabilization/adduction</x:v>
      </x:c>
      <x:c r="E11" s="24" t="str">
        <x:v>EX0125; EX0128; EX0127</x:v>
      </x:c>
      <x:c r="F11" s="24" t="str">
        <x:v>Adductor ball squeeze; Copenhagen adduction (short lever); Cable standing hip adduction</x:v>
      </x:c>
      <x:c r="G11" s="24" t="str">
        <x:v>High-force Copenhagen needs graded progression.</x:v>
      </x:c>
    </x:row>
    <x:row r="12" ht="54" customHeight="1">
      <x:c r="A12" s="24" t="str">
        <x:v>Iliotibial tract (IT band)</x:v>
      </x:c>
      <x:c r="B12" s="24" t="str">
        <x:v>Fascial tract (not ligament)</x:v>
      </x:c>
      <x:c r="C12" s="24" t="str">
        <x:v>Hip &amp; Gluteal</x:v>
      </x:c>
      <x:c r="D12" s="24" t="str">
        <x:v>Transmits forces from tensor fasciae latae / gluteus maximus</x:v>
      </x:c>
      <x:c r="E12" s="24" t="str">
        <x:v>EX0109; EX0136</x:v>
      </x:c>
      <x:c r="F12" s="24" t="str">
        <x:v>Standing band lateral walk; Side-lying tensor fascia lata stretch</x:v>
      </x:c>
      <x:c r="G12" s="24" t="str">
        <x:v>Dense fascia; not meaningfully elongated by forceful stretching.</x:v>
      </x:c>
    </x:row>
    <x:row r="13" ht="54" customHeight="1">
      <x:c r="A13" s="24" t="str">
        <x:v>Tibialis posterior tendon</x:v>
      </x:c>
      <x:c r="B13" s="24" t="str">
        <x:v>Tendon</x:v>
      </x:c>
      <x:c r="C13" s="24" t="str">
        <x:v>Leg &amp; Ankle</x:v>
      </x:c>
      <x:c r="D13" s="24" t="str">
        <x:v>Supports medial arch during stance</x:v>
      </x:c>
      <x:c r="E13" s="24" t="str">
        <x:v>EX0200; EX0206; EX0190</x:v>
      </x:c>
      <x:c r="F13" s="24" t="str">
        <x:v>Band inversion (tibialis posterior focus); Short foot / arch doming; Single-leg standing calf raise</x:v>
      </x:c>
      <x:c r="G13" s="24" t="str">
        <x:v>Load gradually especially with medial ankle symptoms.</x:v>
      </x:c>
    </x:row>
    <x:row r="14" ht="54" customHeight="1">
      <x:c r="A14" s="24" t="str">
        <x:v>Fibularis longus / brevis tendons</x:v>
      </x:c>
      <x:c r="B14" s="24" t="str">
        <x:v>Tendon</x:v>
      </x:c>
      <x:c r="C14" s="24" t="str">
        <x:v>Leg &amp; Ankle</x:v>
      </x:c>
      <x:c r="D14" s="24" t="str">
        <x:v>Eversion; lateral ankle dynamic support</x:v>
      </x:c>
      <x:c r="E14" s="24" t="str">
        <x:v>EX0201; EX0218; EX0219</x:v>
      </x:c>
      <x:c r="F14" s="24" t="str">
        <x:v>Band eversion (fibularis focus); Standing balance on foam cushion; Single-leg balance eyes open</x:v>
      </x:c>
      <x:c r="G14" s="24" t="str">
        <x:v>Retromalleolar tendons move through fibular groove/retinacula.</x:v>
      </x:c>
    </x:row>
    <x:row r="15" ht="54" customHeight="1">
      <x:c r="A15" s="24" t="str">
        <x:v>Tibialis anterior tendon</x:v>
      </x:c>
      <x:c r="B15" s="24" t="str">
        <x:v>Tendon</x:v>
      </x:c>
      <x:c r="C15" s="24" t="str">
        <x:v>Leg &amp; Ankle</x:v>
      </x:c>
      <x:c r="D15" s="24" t="str">
        <x:v>Ankle dorsiflexion / inversion</x:v>
      </x:c>
      <x:c r="E15" s="24" t="str">
        <x:v>EX0198; EX0197; EX0229</x:v>
      </x:c>
      <x:c r="F15" s="24" t="str">
        <x:v>Wall tibialis anterior raises; Band ankle dorsiflexion; Heel walk short distance</x:v>
      </x:c>
      <x:c r="G15" s="24" t="str">
        <x:v>Avoid forcing ankle plantarflexion when symptomatic.</x:v>
      </x:c>
    </x:row>
    <x:row r="16" ht="54" customHeight="1">
      <x:c r="A16" s="24" t="str">
        <x:v>Plantar aponeurosis (plantar fascia)</x:v>
      </x:c>
      <x:c r="B16" s="24" t="str">
        <x:v>Fascia (not ligament)</x:v>
      </x:c>
      <x:c r="C16" s="24" t="str">
        <x:v>Foot &amp; Toes</x:v>
      </x:c>
      <x:c r="D16" s="24" t="str">
        <x:v>Foot arch windlass support</x:v>
      </x:c>
      <x:c r="E16" s="24" t="str">
        <x:v>EX0206; EX0207; EX0225</x:v>
      </x:c>
      <x:c r="F16" s="24" t="str">
        <x:v>Short foot / arch doming; Towel toe scrunches; Plantar fascia gentle ball roll</x:v>
      </x:c>
      <x:c r="G16" s="24" t="str">
        <x:v>Not a conventional ligament; avoid overly aggressive direct pressure.</x:v>
      </x:c>
    </x:row>
    <x:row r="17" ht="54" customHeight="1">
      <x:c r="A17" s="24" t="str">
        <x:v>Flexor hallucis longus tendon</x:v>
      </x:c>
      <x:c r="B17" s="24" t="str">
        <x:v>Tendon</x:v>
      </x:c>
      <x:c r="C17" s="24" t="str">
        <x:v>Foot &amp; Toes</x:v>
      </x:c>
      <x:c r="D17" s="24" t="str">
        <x:v>Great toe flexion and push-off</x:v>
      </x:c>
      <x:c r="E17" s="24" t="str">
        <x:v>EX0204; EX0207; EX0230</x:v>
      </x:c>
      <x:c r="F17" s="24" t="str">
        <x:v>Resisted hallux flexion; Towel toe scrunches; Toe walk short distance</x:v>
      </x:c>
      <x:c r="G17" s="24" t="str">
        <x:v>Tendon glides behind medial malleolus and under foot.</x:v>
      </x:c>
    </x:row>
    <x:row r="18" ht="54" customHeight="1">
      <x:c r="A18" s="24" t="str">
        <x:v>Flexor digitorum longus/brevis tendons</x:v>
      </x:c>
      <x:c r="B18" s="24" t="str">
        <x:v>Tendon</x:v>
      </x:c>
      <x:c r="C18" s="24" t="str">
        <x:v>Foot &amp; Toes</x:v>
      </x:c>
      <x:c r="D18" s="24" t="str">
        <x:v>Lesser toe flexion</x:v>
      </x:c>
      <x:c r="E18" s="24" t="str">
        <x:v>EX0205; EX0207; EX0208</x:v>
      </x:c>
      <x:c r="F18" s="24" t="str">
        <x:v>Resisted lesser toe flexion; Towel toe scrunches; Marble pick-up with toes</x:v>
      </x:c>
      <x:c r="G18" s="24" t="str">
        <x:v>No forceful toe curling with cramps/nerve symptoms.</x:v>
      </x:c>
    </x:row>
    <x:row r="19" ht="54" customHeight="1">
      <x:c r="A19" s="24" t="str">
        <x:v>Finger flexor digitorum profundus / superficialis</x:v>
      </x:c>
      <x:c r="B19" s="24" t="str">
        <x:v>Tendon</x:v>
      </x:c>
      <x:c r="C19" s="24" t="str">
        <x:v>Hand &amp; Fingers</x:v>
      </x:c>
      <x:c r="D19" s="24" t="str">
        <x:v>Finger flexion and grip</x:v>
      </x:c>
      <x:c r="E19" s="24" t="str">
        <x:v>EX0075; EX0093; EX0076</x:v>
      </x:c>
      <x:c r="F19" s="24" t="str">
        <x:v>Towel squeeze; Finger flexor tendon glide series; Soft therapy-putty grip</x:v>
      </x:c>
      <x:c r="G19" s="24" t="str">
        <x:v>Gentle tendon glides promote movement; avoid flexor pulley overloading.</x:v>
      </x:c>
    </x:row>
    <x:row r="20" ht="54" customHeight="1">
      <x:c r="A20" s="24" t="str">
        <x:v>Annular flexor pulleys (A1–A5)</x:v>
      </x:c>
      <x:c r="B20" s="24" t="str">
        <x:v>Retinacular pulley (not stretch target)</x:v>
      </x:c>
      <x:c r="C20" s="24" t="str">
        <x:v>Hand &amp; Fingers</x:v>
      </x:c>
      <x:c r="D20" s="24" t="str">
        <x:v>Hold digital flexor tendons near finger bones</x:v>
      </x:c>
      <x:c r="E20" s="24" t="str">
        <x:v>EX0093; EX0075</x:v>
      </x:c>
      <x:c r="F20" s="24" t="str">
        <x:v>Finger flexor tendon glide series; Towel squeeze</x:v>
      </x:c>
      <x:c r="G20" s="24" t="str">
        <x:v>Pulley injuries can occur with high force crimp grips; not intentionally stretched.</x:v>
      </x:c>
    </x:row>
    <x:row r="21" ht="54" customHeight="1">
      <x:c r="A21" s="24" t="str">
        <x:v>Extensor expansion / digital hood</x:v>
      </x:c>
      <x:c r="B21" s="24" t="str">
        <x:v>Tendinous expansion</x:v>
      </x:c>
      <x:c r="C21" s="24" t="str">
        <x:v>Hand &amp; Fingers</x:v>
      </x:c>
      <x:c r="D21" s="24" t="str">
        <x:v>Distributes extensor and intrinsic hand muscle force</x:v>
      </x:c>
      <x:c r="E21" s="24" t="str">
        <x:v>EX0078; EX0096; EX0079</x:v>
      </x:c>
      <x:c r="F21" s="24" t="str">
        <x:v>Tabletop intrinsic-plus hand position; Finger resistance putty extension; Individual finger lift from table</x:v>
      </x:c>
      <x:c r="G21" s="24" t="str">
        <x:v>Supports lumbrical/interosseous MCP/IP coordination.</x:v>
      </x:c>
    </x:row>
    <x:row r="22" ht="54" customHeight="1">
      <x:c r="A22" s="24" t="str">
        <x:v>Common extensor tendon (lateral elbow)</x:v>
      </x:c>
      <x:c r="B22" s="24" t="str">
        <x:v>Tendon</x:v>
      </x:c>
      <x:c r="C22" s="24" t="str">
        <x:v>Arm / Forearm</x:v>
      </x:c>
      <x:c r="D22" s="24" t="str">
        <x:v>Wrist extensor attachment to lateral epicondyle</x:v>
      </x:c>
      <x:c r="E22" s="24" t="str">
        <x:v>EX0073; EX0063; EX0065</x:v>
      </x:c>
      <x:c r="F22" s="24" t="str">
        <x:v>Wrist extensor eccentric lowering; Dumbbell reverse wrist curl; Band wrist extension</x:v>
      </x:c>
      <x:c r="G22" s="24" t="str">
        <x:v>Gradual tendon loading; don't equate soreness with beneficial injury.</x:v>
      </x:c>
    </x:row>
    <x:row r="23" ht="54" customHeight="1">
      <x:c r="A23" s="24" t="str">
        <x:v>Common flexor-pronator tendon (medial elbow)</x:v>
      </x:c>
      <x:c r="B23" s="24" t="str">
        <x:v>Tendon</x:v>
      </x:c>
      <x:c r="C23" s="24" t="str">
        <x:v>Arm / Forearm</x:v>
      </x:c>
      <x:c r="D23" s="24" t="str">
        <x:v>Flexor-pronator origin</x:v>
      </x:c>
      <x:c r="E23" s="24" t="str">
        <x:v>EX0074; EX0058; EX0064</x:v>
      </x:c>
      <x:c r="F23" s="24" t="str">
        <x:v>Wrist flexor eccentric lowering; Forearm rotation: resisted pronation; Band wrist flexion</x:v>
      </x:c>
      <x:c r="G23" s="24" t="str">
        <x:v>Load gently when medial elbow irritated.</x:v>
      </x:c>
    </x:row>
    <x:row r="24" ht="54" customHeight="1">
      <x:c r="A24" s="24" t="str">
        <x:v>Distal biceps brachii tendon</x:v>
      </x:c>
      <x:c r="B24" s="24" t="str">
        <x:v>Tendon</x:v>
      </x:c>
      <x:c r="C24" s="24" t="str">
        <x:v>Arm</x:v>
      </x:c>
      <x:c r="D24" s="24" t="str">
        <x:v>Elbow flexion and supination</x:v>
      </x:c>
      <x:c r="E24" s="24" t="str">
        <x:v>EX0045; EX0059; EX0049</x:v>
      </x:c>
      <x:c r="F24" s="24" t="str">
        <x:v>Door-anchor band biceps curl; Forearm rotation: resisted supination; Hammer curl dumbbells</x:v>
      </x:c>
      <x:c r="G24" s="24" t="str">
        <x:v>Avoid sudden heavy eccentric loading after injury.</x:v>
      </x:c>
    </x:row>
    <x:row r="25" ht="54" customHeight="1">
      <x:c r="A25" s="24" t="str">
        <x:v>Triceps tendon</x:v>
      </x:c>
      <x:c r="B25" s="24" t="str">
        <x:v>Tendon</x:v>
      </x:c>
      <x:c r="C25" s="24" t="str">
        <x:v>Arm</x:v>
      </x:c>
      <x:c r="D25" s="24" t="str">
        <x:v>Elbow extension</x:v>
      </x:c>
      <x:c r="E25" s="24" t="str">
        <x:v>EX0052; EX0004; EX0054</x:v>
      </x:c>
      <x:c r="F25" s="24" t="str">
        <x:v>Band triceps press-down; Close-grip push-up; Cable triceps press-down</x:v>
      </x:c>
      <x:c r="G25" s="24" t="str">
        <x:v>Loaded with pressing and isolated elbow extension.</x:v>
      </x:c>
    </x:row>
    <x:row r="26" ht="54" customHeight="1">
      <x:c r="A26" s="24" t="str">
        <x:v>Supraspinatus tendon</x:v>
      </x:c>
      <x:c r="B26" s="24" t="str">
        <x:v>Tendon</x:v>
      </x:c>
      <x:c r="C26" s="24" t="str">
        <x:v>Shoulder &amp; Chest</x:v>
      </x:c>
      <x:c r="D26" s="24" t="str">
        <x:v>Rotator cuff assists elevation/stabilization</x:v>
      </x:c>
      <x:c r="E26" s="24" t="str">
        <x:v>EX0023; EX0018; EX0028</x:v>
      </x:c>
      <x:c r="F26" s="24" t="str">
        <x:v>Band scaption (full-can raise); Lateral raise with water bottles; Prone Y raise</x:v>
      </x:c>
      <x:c r="G26" s="24" t="str">
        <x:v>Prefer comfortable scapular plane with graded load.</x:v>
      </x:c>
    </x:row>
    <x:row r="27" ht="54" customHeight="1">
      <x:c r="A27" s="24" t="str">
        <x:v>Infraspinatus / teres minor tendons</x:v>
      </x:c>
      <x:c r="B27" s="24" t="str">
        <x:v>Tendon</x:v>
      </x:c>
      <x:c r="C27" s="24" t="str">
        <x:v>Shoulder &amp; Chest</x:v>
      </x:c>
      <x:c r="D27" s="24" t="str">
        <x:v>External rotation and humeral head control</x:v>
      </x:c>
      <x:c r="E27" s="24" t="str">
        <x:v>EX0020; EX0022; EX0024</x:v>
      </x:c>
      <x:c r="F27" s="24" t="str">
        <x:v>Band shoulder external rotation at side; Side-lying dumbbell external rotation; Band face pull</x:v>
      </x:c>
      <x:c r="G27" s="24" t="str">
        <x:v>Gentle rotational loading in safe range.</x:v>
      </x:c>
    </x:row>
    <x:row r="28" ht="54" customHeight="1">
      <x:c r="A28" s="24" t="str">
        <x:v>Subscapularis tendon</x:v>
      </x:c>
      <x:c r="B28" s="24" t="str">
        <x:v>Tendon</x:v>
      </x:c>
      <x:c r="C28" s="24" t="str">
        <x:v>Shoulder &amp; Chest</x:v>
      </x:c>
      <x:c r="D28" s="24" t="str">
        <x:v>Internal rotation and humeral head control</x:v>
      </x:c>
      <x:c r="E28" s="24" t="str">
        <x:v>EX0021; EX0009</x:v>
      </x:c>
      <x:c r="F28" s="24" t="str">
        <x:v>Band shoulder internal rotation at side; Band chest press</x:v>
      </x:c>
      <x:c r="G28" s="24" t="str">
        <x:v>Avoid sharp anterior shoulder pain.</x:v>
      </x:c>
    </x:row>
    <x:row r="29" ht="54" customHeight="1">
      <x:c r="A29" s="24" t="str">
        <x:v>Pectoralis major tendon</x:v>
      </x:c>
      <x:c r="B29" s="24" t="str">
        <x:v>Tendon</x:v>
      </x:c>
      <x:c r="C29" s="24" t="str">
        <x:v>Shoulder &amp; Chest</x:v>
      </x:c>
      <x:c r="D29" s="24" t="str">
        <x:v>Humeral adduction/pressing</x:v>
      </x:c>
      <x:c r="E29" s="24" t="str">
        <x:v>EX0001; EX0011; EX0037</x:v>
      </x:c>
      <x:c r="F29" s="24" t="str">
        <x:v>Standard push-up; Dumbbell flat bench press; Doorway pectoral stretch</x:v>
      </x:c>
      <x:c r="G29" s="24" t="str">
        <x:v>Deep loaded stretch may increase tendon strain.</x:v>
      </x:c>
    </x:row>
    <x:row r="30" ht="54" customHeight="1">
      <x:c r="A30" s="24" t="str">
        <x:v>Latissimus dorsi tendon</x:v>
      </x:c>
      <x:c r="B30" s="24" t="str">
        <x:v>Tendon</x:v>
      </x:c>
      <x:c r="C30" s="24" t="str">
        <x:v>Back &amp; Spine</x:v>
      </x:c>
      <x:c r="D30" s="24" t="str">
        <x:v>Shoulder adduction/extension</x:v>
      </x:c>
      <x:c r="E30" s="24" t="str">
        <x:v>EX0265; EX0031; EX0270</x:v>
      </x:c>
      <x:c r="F30" s="24" t="str">
        <x:v>Assisted pull-up with band; Band straight-arm pulldown; Lat pulldown</x:v>
      </x:c>
      <x:c r="G30" s="24" t="str">
        <x:v>Shoulder elevation also stretches its musculotendinous unit.</x:v>
      </x:c>
    </x:row>
    <x:row r="31" ht="54" customHeight="1">
      <x:c r="A31" s="24" t="str">
        <x:v>Thoracolumbar fascia</x:v>
      </x:c>
      <x:c r="B31" s="24" t="str">
        <x:v>Fascia</x:v>
      </x:c>
      <x:c r="C31" s="24" t="str">
        <x:v>Back &amp; Spine</x:v>
      </x:c>
      <x:c r="D31" s="24" t="str">
        <x:v>Fascial force distribution and trunk support</x:v>
      </x:c>
      <x:c r="E31" s="24" t="str">
        <x:v>EX0258; EX0170; EX0278</x:v>
      </x:c>
      <x:c r="F31" s="24" t="str">
        <x:v>Bird dog; Dumbbell Romanian deadlift; Child's pose lat + erector stretch</x:v>
      </x:c>
      <x:c r="G31" s="24" t="str">
        <x:v>Not a ligament to forcefully stretch.</x:v>
      </x:c>
    </x:row>
    <x:row r="32" ht="54" customHeight="1">
      <x:c r="A32" s="24" t="str">
        <x:v>Anterior cruciate ligament (ACL)</x:v>
      </x:c>
      <x:c r="B32" s="24" t="str">
        <x:v>Ligament</x:v>
      </x:c>
      <x:c r="C32" s="24" t="str">
        <x:v>Thigh &amp; Knee</x:v>
      </x:c>
      <x:c r="D32" s="24" t="str">
        <x:v>Resists anterior tibial translation / rotational load</x:v>
      </x:c>
      <x:c r="E32" s="24" t="str">
        <x:v>EX0144; EX0158; EX0156</x:v>
      </x:c>
      <x:c r="F32" s="24" t="str">
        <x:v>Bodyweight squat; Single-leg chair squat assisted; Step-up on low platform</x:v>
      </x:c>
      <x:c r="G32" s="24" t="str">
        <x:v>Neuromuscular training improves dynamic knee control; do NOT stretch ACL.</x:v>
      </x:c>
    </x:row>
    <x:row r="33" ht="54" customHeight="1">
      <x:c r="A33" s="24" t="str">
        <x:v>Posterior cruciate ligament (PCL)</x:v>
      </x:c>
      <x:c r="B33" s="24" t="str">
        <x:v>Ligament</x:v>
      </x:c>
      <x:c r="C33" s="24" t="str">
        <x:v>Thigh &amp; Knee</x:v>
      </x:c>
      <x:c r="D33" s="24" t="str">
        <x:v>Resists posterior tibial translation</x:v>
      </x:c>
      <x:c r="E33" s="24" t="str">
        <x:v>EX0145; EX0144</x:v>
      </x:c>
      <x:c r="F33" s="24" t="str">
        <x:v>Sit-to-stand from chair; Bodyweight squat</x:v>
      </x:c>
      <x:c r="G33" s="24" t="str">
        <x:v>No direct strengthening or stretching; loading depends on knee angle.</x:v>
      </x:c>
    </x:row>
    <x:row r="34" ht="54" customHeight="1">
      <x:c r="A34" s="24" t="str">
        <x:v>Medial collateral ligament (MCL)</x:v>
      </x:c>
      <x:c r="B34" s="24" t="str">
        <x:v>Ligament</x:v>
      </x:c>
      <x:c r="C34" s="24" t="str">
        <x:v>Thigh &amp; Knee</x:v>
      </x:c>
      <x:c r="D34" s="24" t="str">
        <x:v>Resists valgus stress</x:v>
      </x:c>
      <x:c r="E34" s="24" t="str">
        <x:v>EX0109; EX0156; EX0158</x:v>
      </x:c>
      <x:c r="F34" s="24" t="str">
        <x:v>Standing band lateral walk; Step-up on low platform; Single-leg chair squat assisted</x:v>
      </x:c>
      <x:c r="G34" s="24" t="str">
        <x:v>Train hip/knee alignment; intentionally stretching MCL risks instability.</x:v>
      </x:c>
    </x:row>
    <x:row r="35" ht="54" customHeight="1">
      <x:c r="A35" s="24" t="str">
        <x:v>Lateral collateral ligament (LCL)</x:v>
      </x:c>
      <x:c r="B35" s="24" t="str">
        <x:v>Ligament</x:v>
      </x:c>
      <x:c r="C35" s="24" t="str">
        <x:v>Thigh &amp; Knee</x:v>
      </x:c>
      <x:c r="D35" s="24" t="str">
        <x:v>Resists varus stress</x:v>
      </x:c>
      <x:c r="E35" s="24" t="str">
        <x:v>EX0156; EX0219</x:v>
      </x:c>
      <x:c r="F35" s="24" t="str">
        <x:v>Step-up on low platform; Single-leg balance eyes open</x:v>
      </x:c>
      <x:c r="G35" s="24" t="str">
        <x:v>Stabilized by joint control; do not stretch ligament.</x:v>
      </x:c>
    </x:row>
    <x:row r="36" ht="54" customHeight="1">
      <x:c r="A36" s="24" t="str">
        <x:v>Ankle ATFL / CFL / PTFL</x:v>
      </x:c>
      <x:c r="B36" s="24" t="str">
        <x:v>Ligament group</x:v>
      </x:c>
      <x:c r="C36" s="24" t="str">
        <x:v>Leg &amp; Ankle</x:v>
      </x:c>
      <x:c r="D36" s="24" t="str">
        <x:v>Lateral ankle restraints against inversion/translation</x:v>
      </x:c>
      <x:c r="E36" s="24" t="str">
        <x:v>EX0201; EX0218; EX0219</x:v>
      </x:c>
      <x:c r="F36" s="24" t="str">
        <x:v>Band eversion (fibularis focus); Standing balance on foam cushion; Single-leg balance eyes open</x:v>
      </x:c>
      <x:c r="G36" s="24" t="str">
        <x:v>Proprioceptive exercise ≠ direct ligament strengthening or stretching.</x:v>
      </x:c>
    </x:row>
    <x:row r="37" ht="54" customHeight="1">
      <x:c r="A37" s="24" t="str">
        <x:v>Deltoid ligament (ankle)</x:v>
      </x:c>
      <x:c r="B37" s="24" t="str">
        <x:v>Ligament</x:v>
      </x:c>
      <x:c r="C37" s="24" t="str">
        <x:v>Leg &amp; Ankle</x:v>
      </x:c>
      <x:c r="D37" s="24" t="str">
        <x:v>Medial ankle passive eversion restraint</x:v>
      </x:c>
      <x:c r="E37" s="24" t="str">
        <x:v>EX0200; EX0219</x:v>
      </x:c>
      <x:c r="F37" s="24" t="str">
        <x:v>Band inversion (tibialis posterior focus); Single-leg balance eyes open</x:v>
      </x:c>
      <x:c r="G37" s="24" t="str">
        <x:v>Avoid forced eversion ligament stretching.</x:v>
      </x:c>
    </x:row>
    <x:row r="38" ht="54" customHeight="1">
      <x:c r="A38" s="24" t="str">
        <x:v>Spring ligament (plantar calcaneonavicular)</x:v>
      </x:c>
      <x:c r="B38" s="24" t="str">
        <x:v>Ligament</x:v>
      </x:c>
      <x:c r="C38" s="24" t="str">
        <x:v>Foot &amp; Toes</x:v>
      </x:c>
      <x:c r="D38" s="24" t="str">
        <x:v>Passive support of medial longitudinal arch</x:v>
      </x:c>
      <x:c r="E38" s="24" t="str">
        <x:v>EX0206; EX0219; EX0200</x:v>
      </x:c>
      <x:c r="F38" s="24" t="str">
        <x:v>Short foot / arch doming; Single-leg balance eyes open; Band inversion (tibialis posterior focus)</x:v>
      </x:c>
      <x:c r="G38" s="24" t="str">
        <x:v>Arch musculature can assist support; ligand itself is passive.</x:v>
      </x:c>
    </x:row>
    <x:row r="39" ht="54" customHeight="1">
      <x:c r="A39" s="24" t="str">
        <x:v>Plantar long / short ligaments</x:v>
      </x:c>
      <x:c r="B39" s="24" t="str">
        <x:v>Ligament group</x:v>
      </x:c>
      <x:c r="C39" s="24" t="str">
        <x:v>Foot &amp; Toes</x:v>
      </x:c>
      <x:c r="D39" s="24" t="str">
        <x:v>Passive longitudinal arch stability</x:v>
      </x:c>
      <x:c r="E39" s="24" t="str">
        <x:v>EX0206; EX0230</x:v>
      </x:c>
      <x:c r="F39" s="24" t="str">
        <x:v>Short foot / arch doming; Toe walk short distance</x:v>
      </x:c>
      <x:c r="G39" s="24" t="str">
        <x:v>Do not stretch ligaments intentionally.</x:v>
      </x:c>
    </x:row>
    <x:row r="40" ht="54" customHeight="1">
      <x:c r="A40" s="24" t="str">
        <x:v>Glenohumeral ligaments / capsule</x:v>
      </x:c>
      <x:c r="B40" s="24" t="str">
        <x:v>Ligament + capsule</x:v>
      </x:c>
      <x:c r="C40" s="24" t="str">
        <x:v>Shoulder &amp; Chest</x:v>
      </x:c>
      <x:c r="D40" s="24" t="str">
        <x:v>Passive restraint for humeral head positions</x:v>
      </x:c>
      <x:c r="E40" s="24" t="str">
        <x:v>EX0020; EX0026; EX0001</x:v>
      </x:c>
      <x:c r="F40" s="24" t="str">
        <x:v>Band shoulder external rotation at side; Wall slide with upward reach; Standard push-up</x:v>
      </x:c>
      <x:c r="G40" s="24" t="str">
        <x:v>Cuff improves dynamic shoulder stability; forceful capsule stretches can be harmful.</x:v>
      </x:c>
    </x:row>
    <x:row r="41" ht="54" customHeight="1">
      <x:c r="A41" s="24" t="str">
        <x:v>Coracoclavicular ligaments</x:v>
      </x:c>
      <x:c r="B41" s="24" t="str">
        <x:v>Ligament group</x:v>
      </x:c>
      <x:c r="C41" s="24" t="str">
        <x:v>Shoulder &amp; Chest</x:v>
      </x:c>
      <x:c r="D41" s="24" t="str">
        <x:v>Suspend scapula from clavicle at AC complex</x:v>
      </x:c>
      <x:c r="E41" s="24" t="str">
        <x:v>EX0026; EX0006</x:v>
      </x:c>
      <x:c r="F41" s="24" t="str">
        <x:v>Wall slide with upward reach; Scapular push-up / push-up plus</x:v>
      </x:c>
      <x:c r="G41" s="24" t="str">
        <x:v>Scapular exercises coordinate adjacent muscles; ligament is passive.</x:v>
      </x:c>
    </x:row>
    <x:row r="42" ht="54" customHeight="1">
      <x:c r="A42" s="24" t="str">
        <x:v>Costoclavicular ligament</x:v>
      </x:c>
      <x:c r="B42" s="24" t="str">
        <x:v>Ligament</x:v>
      </x:c>
      <x:c r="C42" s="24" t="str">
        <x:v>Shoulder &amp; Chest</x:v>
      </x:c>
      <x:c r="D42" s="24" t="str">
        <x:v>Sternoclavicular joint passive stability</x:v>
      </x:c>
      <x:c r="E42" s="24" t="str">
        <x:v>EX0376; EX0035</x:v>
      </x:c>
      <x:c r="F42" s="24" t="str">
        <x:v>Clavicle-set isometric: gentle arm press into wall; Scapular depression hold on chair</x:v>
      </x:c>
      <x:c r="G42" s="24" t="str">
        <x:v>Clavicle controlled muscularly; ligament not stretched deliberately.</x:v>
      </x:c>
    </x:row>
    <x:row r="43" ht="54" customHeight="1">
      <x:c r="A43" s="24" t="str">
        <x:v>Ulnar and radial collateral ligaments (elbow)</x:v>
      </x:c>
      <x:c r="B43" s="24" t="str">
        <x:v>Ligament</x:v>
      </x:c>
      <x:c r="C43" s="24" t="str">
        <x:v>Arm</x:v>
      </x:c>
      <x:c r="D43" s="24" t="str">
        <x:v>Resist varus/valgus stress</x:v>
      </x:c>
      <x:c r="E43" s="24" t="str">
        <x:v>EX0045; EX0052</x:v>
      </x:c>
      <x:c r="F43" s="24" t="str">
        <x:v>Door-anchor band biceps curl; Band triceps press-down</x:v>
      </x:c>
      <x:c r="G43" s="24" t="str">
        <x:v>Avoid loaded sideways elbow stresses.</x:v>
      </x:c>
    </x:row>
    <x:row r="44" ht="54" customHeight="1">
      <x:c r="A44" s="24" t="str">
        <x:v>Thumb MCP ulnar collateral ligament</x:v>
      </x:c>
      <x:c r="B44" s="24" t="str">
        <x:v>Ligament</x:v>
      </x:c>
      <x:c r="C44" s="24" t="str">
        <x:v>Hand &amp; Fingers</x:v>
      </x:c>
      <x:c r="D44" s="24" t="str">
        <x:v>Resists thumb valgus</x:v>
      </x:c>
      <x:c r="E44" s="24" t="str">
        <x:v>EX0086; EX0087</x:v>
      </x:c>
      <x:c r="F44" s="24" t="str">
        <x:v>Thumb adduction paper pinch; Key pinch with therapy putty</x:v>
      </x:c>
      <x:c r="G44" s="24" t="str">
        <x:v>Do not stretch collateral ligament; protect thumb from forced abduction.</x:v>
      </x:c>
    </x:row>
    <x:row r="45" ht="54" customHeight="1">
      <x:c r="A45" s="24" t="str">
        <x:v>TMJ capsular / lateral ligament</x:v>
      </x:c>
      <x:c r="B45" s="24" t="str">
        <x:v>Ligament</x:v>
      </x:c>
      <x:c r="C45" s="24" t="str">
        <x:v>Head &amp; Face</x:v>
      </x:c>
      <x:c r="D45" s="24" t="str">
        <x:v>Jaw disc-condyle passive restraint</x:v>
      </x:c>
      <x:c r="E45" s="24" t="str">
        <x:v>EX0333; EX0335</x:v>
      </x:c>
      <x:c r="F45" s="24" t="str">
        <x:v>Jaw open-close controlled ROM; Gentle lateral jaw glide</x:v>
      </x:c>
      <x:c r="G45" s="24" t="str">
        <x:v>No forceful jaw opening or stretching for TMJ pain.</x:v>
      </x:c>
    </x:row>
    <x:row r="46" ht="54" customHeight="1">
      <x:c r="A46" s="24" t="str">
        <x:v>Spinal interspinous/supraspinous ligaments</x:v>
      </x:c>
      <x:c r="B46" s="24" t="str">
        <x:v>Ligament group</x:v>
      </x:c>
      <x:c r="C46" s="24" t="str">
        <x:v>Back &amp; Spine</x:v>
      </x:c>
      <x:c r="D46" s="24" t="str">
        <x:v>Limit spinal flexion</x:v>
      </x:c>
      <x:c r="E46" s="24" t="str">
        <x:v>EX0258; EX0233; EX0275</x:v>
      </x:c>
      <x:c r="F46" s="24" t="str">
        <x:v>Bird dog; Forearm plank; Cat-cow spinal mobility</x:v>
      </x:c>
      <x:c r="G46" s="24" t="str">
        <x:v>Stabilizing muscles reduce uncontrolled motion, not strengthen ligament directly.</x:v>
      </x:c>
    </x:row>
    <x:row r="47" ht="54" customHeight="1">
      <x:c r="A47" s="24" t="str">
        <x:v>Nuchal ligament</x:v>
      </x:c>
      <x:c r="B47" s="24" t="str">
        <x:v>Ligament</x:v>
      </x:c>
      <x:c r="C47" s="24" t="str">
        <x:v>Neck</x:v>
      </x:c>
      <x:c r="D47" s="24" t="str">
        <x:v>Posterior passive support of cervical spine</x:v>
      </x:c>
      <x:c r="E47" s="24" t="str">
        <x:v>EX0284; EX0288</x:v>
      </x:c>
      <x:c r="F47" s="24" t="str">
        <x:v>Gentle chin tuck lying supine; Neck isometric extension hand resistance</x:v>
      </x:c>
      <x:c r="G47" s="24" t="str">
        <x:v>Avoid end-range neck traction / ligament stretching.</x:v>
      </x:c>
    </x:row>
    <x:row r="48" ht="54" customHeight="1">
      <x:c r="A48" s="24" t="str">
        <x:v>Costovertebral / costotransverse ligaments</x:v>
      </x:c>
      <x:c r="B48" s="24" t="str">
        <x:v>Ligament group</x:v>
      </x:c>
      <x:c r="C48" s="24" t="str">
        <x:v>Thorax &amp; Breathing</x:v>
      </x:c>
      <x:c r="D48" s="24" t="str">
        <x:v>Guide and restrict rib joint motion</x:v>
      </x:c>
      <x:c r="E48" s="24" t="str">
        <x:v>EX0305; EX0310</x:v>
      </x:c>
      <x:c r="F48" s="24" t="str">
        <x:v>360-degree lower-rib breathing; Gentle lateral rib stretch with overhead reach</x:v>
      </x:c>
      <x:c r="G48" s="24" t="str">
        <x:v>Ribs move naturally; not a target for ligament stretch.</x:v>
      </x:c>
    </x:row>
    <x:row r="49" ht="54" customHeight="1">
      <x:c r="A49" s="24" t="str">
        <x:v>Sacrospinous and sacrotuberous ligaments</x:v>
      </x:c>
      <x:c r="B49" s="24" t="str">
        <x:v>Ligament group</x:v>
      </x:c>
      <x:c r="C49" s="24" t="str">
        <x:v>Pelvis &amp; Perineum</x:v>
      </x:c>
      <x:c r="D49" s="24" t="str">
        <x:v>Support pelvis / sacrum</x:v>
      </x:c>
      <x:c r="E49" s="24" t="str">
        <x:v>EX0360; EX0364</x:v>
      </x:c>
      <x:c r="F49" s="24" t="str">
        <x:v>Pelvic floor slow squeeze and full release; Side-lying pelvic floor relaxation</x:v>
      </x:c>
      <x:c r="G49" s="24" t="str">
        <x:v>Pelvic-floor training does not directly strengthen these ligaments.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967f70601324209"/>
  </x:tableParts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5" hidden="0" customWidth="1"/>
    <x:col min="2" max="2" width="30" hidden="0" customWidth="1"/>
    <x:col min="3" max="3" width="28" hidden="0" customWidth="1"/>
    <x:col min="4" max="4" width="13" hidden="0" customWidth="1"/>
    <x:col min="5" max="5" width="13" hidden="0" customWidth="1"/>
    <x:col min="6" max="6" width="13" hidden="0" customWidth="1"/>
    <x:col min="7" max="7" width="48" hidden="0" customWidth="1"/>
    <x:col min="8" max="8" width="49" hidden="0" customWidth="1"/>
    <x:col min="9" max="9" width="49" hidden="0" customWidth="1"/>
    <x:col min="10" max="10" width="34" hidden="0" customWidth="1"/>
    <x:col min="11" max="11" width="27" hidden="0" customWidth="1"/>
    <x:col min="12" max="12" width="48" hidden="0" customWidth="1"/>
    <x:col min="13" max="13" width="50" hidden="0" customWidth="1"/>
    <x:col min="14" max="14" width="23" hidden="0" customWidth="1"/>
    <x:col min="15" max="15" width="23" hidden="0" customWidth="1"/>
    <x:col min="16" max="16" width="40" hidden="0" customWidth="1"/>
    <x:col min="17" max="17" width="50" hidden="0" customWidth="1"/>
    <x:col min="18" max="18" width="40" hidden="0" customWidth="1"/>
    <x:col min="19" max="19" width="40" hidden="0" customWidth="1"/>
  </x:cols>
  <x:sheetData>
    <x:row r="1" ht="36" customHeight="1">
      <x:c r="A1" s="4" t="str">
        <x:v>ORIGINAL MUSCLE ANATOMY REFERENCE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25" customHeight="1">
      <x:c r="A2" s="10" t="str">
        <x:v>Exact 349-entry muscle data drawn from the uploaded atlas, including origin, insertion, innervation and fibers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 ht="42" customHeight="1">
      <x:c r="A3" s="17" t="str">
        <x:v>Muscle / distinct part</x:v>
      </x:c>
      <x:c r="B3" s="17" t="str">
        <x:v>Anatomical compartment</x:v>
      </x:c>
      <x:c r="C3" s="17" t="str">
        <x:v>Functional roles</x:v>
      </x:c>
      <x:c r="D3" s="17" t="str">
        <x:v>Flexor?</x:v>
      </x:c>
      <x:c r="E3" s="17" t="str">
        <x:v>Extensor?</x:v>
      </x:c>
      <x:c r="F3" s="17" t="str">
        <x:v>Stabilizer?</x:v>
      </x:c>
      <x:c r="G3" s="17" t="str">
        <x:v>Actions (including others)</x:v>
      </x:c>
      <x:c r="H3" s="17" t="str">
        <x:v>Origin (proximal attachment)</x:v>
      </x:c>
      <x:c r="I3" s="17" t="str">
        <x:v>Insertion (distal attachment)</x:v>
      </x:c>
      <x:c r="J3" s="17" t="str">
        <x:v>Motor nerve / branch</x:v>
      </x:c>
      <x:c r="K3" s="17" t="str">
        <x:v>Spinal roots or cranial nerve</x:v>
      </x:c>
      <x:c r="L3" s="17" t="str">
        <x:v>Tendon / aponeurosis connection</x:v>
      </x:c>
      <x:c r="M3" s="17" t="str">
        <x:v>Ligament / retinaculum relationship</x:v>
      </x:c>
      <x:c r="N3" s="17" t="str">
        <x:v>Type I (slow) composition</x:v>
      </x:c>
      <x:c r="O3" s="17" t="str">
        <x:v>Type II (fast) composition</x:v>
      </x:c>
      <x:c r="P3" s="17" t="str">
        <x:v>Fiber profile</x:v>
      </x:c>
      <x:c r="Q3" s="17" t="str">
        <x:v>Fiber data caveat</x:v>
      </x:c>
      <x:c r="R3" s="17" t="str">
        <x:v>Regional anatomy source URL</x:v>
      </x:c>
      <x:c r="S3" s="17" t="str">
        <x:v>Fiber-type source URL</x:v>
      </x:c>
    </x:row>
    <x:row r="4" ht="46" customHeight="1">
      <x:c r="A4" s="24" t="str">
        <x:v>Pectoralis major</x:v>
      </x:c>
      <x:c r="B4" s="24" t="str">
        <x:v>Anterior axioappendicular</x:v>
      </x:c>
      <x:c r="C4" s="24" t="str">
        <x:v>Flexor; Extensor</x:v>
      </x:c>
      <x:c r="D4" s="24" t="str">
        <x:v>Yes</x:v>
      </x:c>
      <x:c r="E4" s="24" t="str">
        <x:v>Yes</x:v>
      </x:c>
      <x:c r="F4" s="24" t="str">
        <x:v>No</x:v>
      </x:c>
      <x:c r="G4" s="24" t="str">
        <x:v>Adducts/medially rotates arm; clavicular head flexes; sternocostal head extends from flexed position</x:v>
      </x:c>
      <x:c r="H4" s="24" t="str">
        <x:v>Medial clavicle; sternum; upper costal cartilages; external oblique aponeurosis</x:v>
      </x:c>
      <x:c r="I4" s="24" t="str">
        <x:v>Lateral lip of intertubercular sulcus humerus</x:v>
      </x:c>
      <x:c r="J4" s="24" t="str">
        <x:v>Medial and lateral pectoral nerves</x:v>
      </x:c>
      <x:c r="K4" s="24" t="str">
        <x:v>C5-T1</x:v>
      </x:c>
      <x:c r="L4" s="24" t="str">
        <x:v>Bilaminar pectoralis major tendon</x:v>
      </x:c>
      <x:c r="M4" s="24" t="str">
        <x:v>Costoclavicular ligament nearby; no direct ligament insertion</x:v>
      </x:c>
      <x:c r="N4" s="24" t="str">
        <x:v>Not established</x:v>
      </x:c>
      <x:c r="O4" s="24" t="str">
        <x:v>Not established</x:v>
      </x:c>
      <x:c r="P4" s="24" t="str">
        <x:v>Mixed Type I and Type II; ratio unverified</x:v>
      </x:c>
      <x:c r="Q4" s="24" t="str">
        <x:v>Published biopsies insufficient to state a reliable per-muscle percentage; no inference from function</x:v>
      </x:c>
      <x:c r="R4" s="24" t="str">
        <x:v>https://www.kenhub.com/en/library/anatomy/upper-limb-muscles-and-movements</x:v>
      </x:c>
      <x:c r="S4" s="24" t="str">
        <x:v>https://pubmed.ncbi.nlm.nih.gov/39359186/</x:v>
      </x:c>
    </x:row>
    <x:row r="5" ht="46" customHeight="1">
      <x:c r="A5" s="24" t="str">
        <x:v>Pectoralis minor</x:v>
      </x:c>
      <x:c r="B5" s="24" t="str">
        <x:v>Anterior axioappendicular</x:v>
      </x:c>
      <x:c r="C5" s="24" t="str">
        <x:v>Stabilizer</x:v>
      </x:c>
      <x:c r="D5" s="24" t="str">
        <x:v>No</x:v>
      </x:c>
      <x:c r="E5" s="24" t="str">
        <x:v>No</x:v>
      </x:c>
      <x:c r="F5" s="24" t="str">
        <x:v>Yes</x:v>
      </x:c>
      <x:c r="G5" s="24" t="str">
        <x:v>Protracts/depresses/stabilizes scapula; accessory inspiration</x:v>
      </x:c>
      <x:c r="H5" s="24" t="str">
        <x:v>Ribs 3-5 near costal cartilages</x:v>
      </x:c>
      <x:c r="I5" s="24" t="str">
        <x:v>Medial border/superior surface coracoid process</x:v>
      </x:c>
      <x:c r="J5" s="24" t="str">
        <x:v>Medial pectoral nerve</x:v>
      </x:c>
      <x:c r="K5" s="24" t="str">
        <x:v>C8-T1</x:v>
      </x:c>
      <x:c r="L5" s="24" t="str">
        <x:v>Pectoralis minor insertion tendon</x:v>
      </x:c>
      <x:c r="M5" s="24" t="str">
        <x:v>Coracoacromial/coracoclavicular ligaments share coracoid region, no direct connection</x:v>
      </x:c>
      <x:c r="N5" s="24" t="str">
        <x:v>Not established</x:v>
      </x:c>
      <x:c r="O5" s="24" t="str">
        <x:v>Not established</x:v>
      </x:c>
      <x:c r="P5" s="24" t="str">
        <x:v>Mixed Type I and Type II; ratio unverified</x:v>
      </x:c>
      <x:c r="Q5" s="24" t="str">
        <x:v>Published biopsies insufficient to state a reliable per-muscle percentage; no inference from function</x:v>
      </x:c>
      <x:c r="R5" s="24" t="str">
        <x:v>https://www.kenhub.com/en/library/anatomy/upper-limb-muscles-and-movements</x:v>
      </x:c>
      <x:c r="S5" s="24" t="str">
        <x:v>https://pubmed.ncbi.nlm.nih.gov/39359186/</x:v>
      </x:c>
    </x:row>
    <x:row r="6" ht="46" customHeight="1">
      <x:c r="A6" s="24" t="str">
        <x:v>Subclavius</x:v>
      </x:c>
      <x:c r="B6" s="24" t="str">
        <x:v>Infraclavicular</x:v>
      </x:c>
      <x:c r="C6" s="24" t="str">
        <x:v>Stabilizer</x:v>
      </x:c>
      <x:c r="D6" s="24" t="str">
        <x:v>No</x:v>
      </x:c>
      <x:c r="E6" s="24" t="str">
        <x:v>No</x:v>
      </x:c>
      <x:c r="F6" s="24" t="str">
        <x:v>Yes</x:v>
      </x:c>
      <x:c r="G6" s="24" t="str">
        <x:v>Depresses and anchors clavicle; stabilizes sternoclavicular joint</x:v>
      </x:c>
      <x:c r="H6" s="24" t="str">
        <x:v>Junction of rib 1 and costal cartilage</x:v>
      </x:c>
      <x:c r="I6" s="24" t="str">
        <x:v>Groove on inferior midclavicle</x:v>
      </x:c>
      <x:c r="J6" s="24" t="str">
        <x:v>Nerve to subclavius</x:v>
      </x:c>
      <x:c r="K6" s="24" t="str">
        <x:v>C5-C6</x:v>
      </x:c>
      <x:c r="L6" s="24" t="str">
        <x:v>Short insertion tendon to subclavian groove</x:v>
      </x:c>
      <x:c r="M6" s="24" t="str">
        <x:v>Costoclavicular ligament adjacent to attachment</x:v>
      </x:c>
      <x:c r="N6" s="24" t="str">
        <x:v>Not established</x:v>
      </x:c>
      <x:c r="O6" s="24" t="str">
        <x:v>Not established</x:v>
      </x:c>
      <x:c r="P6" s="24" t="str">
        <x:v>Mixed Type I and Type II; ratio unverified</x:v>
      </x:c>
      <x:c r="Q6" s="24" t="str">
        <x:v>Published biopsies insufficient to state a reliable per-muscle percentage; no inference from function</x:v>
      </x:c>
      <x:c r="R6" s="24" t="str">
        <x:v>https://www.kenhub.com/en/library/anatomy/upper-limb-muscles-and-movements</x:v>
      </x:c>
      <x:c r="S6" s="24" t="str">
        <x:v>https://pubmed.ncbi.nlm.nih.gov/39359186/</x:v>
      </x:c>
    </x:row>
    <x:row r="7" ht="46" customHeight="1">
      <x:c r="A7" s="24" t="str">
        <x:v>Teres major</x:v>
      </x:c>
      <x:c r="B7" s="24" t="str">
        <x:v>Posterior axillary fold</x:v>
      </x:c>
      <x:c r="C7" s="24" t="str">
        <x:v>Extensor</x:v>
      </x:c>
      <x:c r="D7" s="24" t="str">
        <x:v>No</x:v>
      </x:c>
      <x:c r="E7" s="24" t="str">
        <x:v>Yes</x:v>
      </x:c>
      <x:c r="F7" s="24" t="str">
        <x:v>No</x:v>
      </x:c>
      <x:c r="G7" s="24" t="str">
        <x:v>Adducts, internally rotates and extends arm</x:v>
      </x:c>
      <x:c r="H7" s="24" t="str">
        <x:v>Dorsal inferior angle/lateral border of scapula</x:v>
      </x:c>
      <x:c r="I7" s="24" t="str">
        <x:v>Medial lip of intertubercular sulcus</x:v>
      </x:c>
      <x:c r="J7" s="24" t="str">
        <x:v>Lower subscapular nerve</x:v>
      </x:c>
      <x:c r="K7" s="24" t="str">
        <x:v>C5-C6</x:v>
      </x:c>
      <x:c r="L7" s="24" t="str">
        <x:v>Teres major insertion tendon</x:v>
      </x:c>
      <x:c r="M7" s="24" t="str">
        <x:v>No specific direct ligament attachment</x:v>
      </x:c>
      <x:c r="N7" s="24" t="str">
        <x:v>Not established</x:v>
      </x:c>
      <x:c r="O7" s="24" t="str">
        <x:v>Not established</x:v>
      </x:c>
      <x:c r="P7" s="24" t="str">
        <x:v>Mixed Type I and Type II; ratio unverified</x:v>
      </x:c>
      <x:c r="Q7" s="24" t="str">
        <x:v>Published biopsies insufficient to state a reliable per-muscle percentage; no inference from function</x:v>
      </x:c>
      <x:c r="R7" s="24" t="str">
        <x:v>https://www.kenhub.com/en/library/anatomy/upper-limb-muscles-and-movements</x:v>
      </x:c>
      <x:c r="S7" s="24" t="str">
        <x:v>https://pubmed.ncbi.nlm.nih.gov/39359186/</x:v>
      </x:c>
    </x:row>
    <x:row r="8" ht="46" customHeight="1">
      <x:c r="A8" s="24" t="str">
        <x:v>Latissimus dorsi</x:v>
      </x:c>
      <x:c r="B8" s="24" t="str">
        <x:v>Posterior axioappendicular</x:v>
      </x:c>
      <x:c r="C8" s="24" t="str">
        <x:v>Extensor</x:v>
      </x:c>
      <x:c r="D8" s="24" t="str">
        <x:v>No</x:v>
      </x:c>
      <x:c r="E8" s="24" t="str">
        <x:v>Yes</x:v>
      </x:c>
      <x:c r="F8" s="24" t="str">
        <x:v>No</x:v>
      </x:c>
      <x:c r="G8" s="24" t="str">
        <x:v>Extends, adducts, internally rotates arm</x:v>
      </x:c>
      <x:c r="H8" s="24" t="str">
        <x:v>T7-T12 spinous processes; thoracolumbar fascia; iliac crest; lower ribs</x:v>
      </x:c>
      <x:c r="I8" s="24" t="str">
        <x:v>Floor of intertubercular sulcus humerus</x:v>
      </x:c>
      <x:c r="J8" s="24" t="str">
        <x:v>Thoracodorsal nerve</x:v>
      </x:c>
      <x:c r="K8" s="24" t="str">
        <x:v>C6-C8</x:v>
      </x:c>
      <x:c r="L8" s="24" t="str">
        <x:v>Flattened latissimus dorsi tendon</x:v>
      </x:c>
      <x:c r="M8" s="24" t="str">
        <x:v>Thoracolumbar fascia is fascia not ligament</x:v>
      </x:c>
      <x:c r="N8" s="24" t="str">
        <x:v>Not established</x:v>
      </x:c>
      <x:c r="O8" s="24" t="str">
        <x:v>Not established</x:v>
      </x:c>
      <x:c r="P8" s="24" t="str">
        <x:v>Mixed Type I and Type II; ratio unverified</x:v>
      </x:c>
      <x:c r="Q8" s="24" t="str">
        <x:v>Published biopsies insufficient to state a reliable per-muscle percentage; no inference from function</x:v>
      </x:c>
      <x:c r="R8" s="24" t="str">
        <x:v>https://www.kenhub.com/en/library/anatomy/upper-limb-muscles-and-movements</x:v>
      </x:c>
      <x:c r="S8" s="24" t="str">
        <x:v>https://pubmed.ncbi.nlm.nih.gov/39359186/</x:v>
      </x:c>
    </x:row>
    <x:row r="9" ht="46" customHeight="1">
      <x:c r="A9" s="24" t="str">
        <x:v>Infraspinatus</x:v>
      </x:c>
      <x:c r="B9" s="24" t="str">
        <x:v>Rotator cuff</x:v>
      </x:c>
      <x:c r="C9" s="24" t="str">
        <x:v>Stabilizer</x:v>
      </x:c>
      <x:c r="D9" s="24" t="str">
        <x:v>No</x:v>
      </x:c>
      <x:c r="E9" s="24" t="str">
        <x:v>No</x:v>
      </x:c>
      <x:c r="F9" s="24" t="str">
        <x:v>Yes</x:v>
      </x:c>
      <x:c r="G9" s="24" t="str">
        <x:v>External rotation of humerus; shoulder stabilization</x:v>
      </x:c>
      <x:c r="H9" s="24" t="str">
        <x:v>Infraspinous fossa of scapula</x:v>
      </x:c>
      <x:c r="I9" s="24" t="str">
        <x:v>Middle facet of greater tubercle of humerus</x:v>
      </x:c>
      <x:c r="J9" s="24" t="str">
        <x:v>Suprascapular nerve</x:v>
      </x:c>
      <x:c r="K9" s="24" t="str">
        <x:v>C5-C6</x:v>
      </x:c>
      <x:c r="L9" s="24" t="str">
        <x:v>Infraspinatus tendon blends with capsule</x:v>
      </x:c>
      <x:c r="M9" s="24" t="str">
        <x:v>Capsular ligaments of glenohumeral joint, adjacent</x:v>
      </x:c>
      <x:c r="N9" s="24" t="str">
        <x:v>Not established</x:v>
      </x:c>
      <x:c r="O9" s="24" t="str">
        <x:v>Not established</x:v>
      </x:c>
      <x:c r="P9" s="24" t="str">
        <x:v>Mixed Type I and Type II; ratio unverified</x:v>
      </x:c>
      <x:c r="Q9" s="24" t="str">
        <x:v>Published biopsies insufficient to state a reliable per-muscle percentage; no inference from function</x:v>
      </x:c>
      <x:c r="R9" s="24" t="str">
        <x:v>https://www.kenhub.com/en/library/anatomy/upper-limb-muscles-and-movements</x:v>
      </x:c>
      <x:c r="S9" s="24" t="str">
        <x:v>https://pubmed.ncbi.nlm.nih.gov/39359186/</x:v>
      </x:c>
    </x:row>
    <x:row r="10" ht="46" customHeight="1">
      <x:c r="A10" s="24" t="str">
        <x:v>Subscapularis</x:v>
      </x:c>
      <x:c r="B10" s="24" t="str">
        <x:v>Rotator cuff</x:v>
      </x:c>
      <x:c r="C10" s="24" t="str">
        <x:v>Stabilizer</x:v>
      </x:c>
      <x:c r="D10" s="24" t="str">
        <x:v>No</x:v>
      </x:c>
      <x:c r="E10" s="24" t="str">
        <x:v>No</x:v>
      </x:c>
      <x:c r="F10" s="24" t="str">
        <x:v>Yes</x:v>
      </x:c>
      <x:c r="G10" s="24" t="str">
        <x:v>Internal rotation; adduction; shoulder stabilization</x:v>
      </x:c>
      <x:c r="H10" s="24" t="str">
        <x:v>Subscapular fossa of scapula</x:v>
      </x:c>
      <x:c r="I10" s="24" t="str">
        <x:v>Lesser tubercle and anterior humeral capsule</x:v>
      </x:c>
      <x:c r="J10" s="24" t="str">
        <x:v>Upper and lower subscapular nerves</x:v>
      </x:c>
      <x:c r="K10" s="24" t="str">
        <x:v>C5-C7</x:v>
      </x:c>
      <x:c r="L10" s="24" t="str">
        <x:v>Subscapularis tendon</x:v>
      </x:c>
      <x:c r="M10" s="24" t="str">
        <x:v>Transverse humeral ligament nearby; shoulder capsule blends with tendon</x:v>
      </x:c>
      <x:c r="N10" s="24" t="str">
        <x:v>Not established</x:v>
      </x:c>
      <x:c r="O10" s="24" t="str">
        <x:v>Not established</x:v>
      </x:c>
      <x:c r="P10" s="24" t="str">
        <x:v>Mixed Type I and Type II; ratio unverified</x:v>
      </x:c>
      <x:c r="Q10" s="24" t="str">
        <x:v>Published biopsies insufficient to state a reliable per-muscle percentage; no inference from function</x:v>
      </x:c>
      <x:c r="R10" s="24" t="str">
        <x:v>https://www.kenhub.com/en/library/anatomy/upper-limb-muscles-and-movements</x:v>
      </x:c>
      <x:c r="S10" s="24" t="str">
        <x:v>https://pubmed.ncbi.nlm.nih.gov/39359186/</x:v>
      </x:c>
    </x:row>
    <x:row r="11" ht="46" customHeight="1">
      <x:c r="A11" s="24" t="str">
        <x:v>Supraspinatus</x:v>
      </x:c>
      <x:c r="B11" s="24" t="str">
        <x:v>Rotator cuff</x:v>
      </x:c>
      <x:c r="C11" s="24" t="str">
        <x:v>Stabilizer</x:v>
      </x:c>
      <x:c r="D11" s="24" t="str">
        <x:v>No</x:v>
      </x:c>
      <x:c r="E11" s="24" t="str">
        <x:v>No</x:v>
      </x:c>
      <x:c r="F11" s="24" t="str">
        <x:v>Yes</x:v>
      </x:c>
      <x:c r="G11" s="24" t="str">
        <x:v>Initiates abduction; stabilizes glenohumeral joint</x:v>
      </x:c>
      <x:c r="H11" s="24" t="str">
        <x:v>Supraspinous fossa of scapula</x:v>
      </x:c>
      <x:c r="I11" s="24" t="str">
        <x:v>Superior facet of greater tubercle of humerus</x:v>
      </x:c>
      <x:c r="J11" s="24" t="str">
        <x:v>Suprascapular nerve</x:v>
      </x:c>
      <x:c r="K11" s="24" t="str">
        <x:v>C5-C6</x:v>
      </x:c>
      <x:c r="L11" s="24" t="str">
        <x:v>Supraspinatus tendon blends with shoulder capsule</x:v>
      </x:c>
      <x:c r="M11" s="24" t="str">
        <x:v>Coracoacromial arch overlies tendon, not direct attachment</x:v>
      </x:c>
      <x:c r="N11" s="24" t="str">
        <x:v>Not established</x:v>
      </x:c>
      <x:c r="O11" s="24" t="str">
        <x:v>Not established</x:v>
      </x:c>
      <x:c r="P11" s="24" t="str">
        <x:v>Mixed Type I and Type II; ratio unverified</x:v>
      </x:c>
      <x:c r="Q11" s="24" t="str">
        <x:v>Published biopsies insufficient to state a reliable per-muscle percentage; no inference from function</x:v>
      </x:c>
      <x:c r="R11" s="24" t="str">
        <x:v>https://www.kenhub.com/en/library/anatomy/upper-limb-muscles-and-movements</x:v>
      </x:c>
      <x:c r="S11" s="24" t="str">
        <x:v>https://pubmed.ncbi.nlm.nih.gov/39359186/</x:v>
      </x:c>
    </x:row>
    <x:row r="12" ht="46" customHeight="1">
      <x:c r="A12" s="24" t="str">
        <x:v>Teres minor</x:v>
      </x:c>
      <x:c r="B12" s="24" t="str">
        <x:v>Rotator cuff</x:v>
      </x:c>
      <x:c r="C12" s="24" t="str">
        <x:v>Stabilizer</x:v>
      </x:c>
      <x:c r="D12" s="24" t="str">
        <x:v>No</x:v>
      </x:c>
      <x:c r="E12" s="24" t="str">
        <x:v>No</x:v>
      </x:c>
      <x:c r="F12" s="24" t="str">
        <x:v>Yes</x:v>
      </x:c>
      <x:c r="G12" s="24" t="str">
        <x:v>External rotation; weak adduction; shoulder stabilization</x:v>
      </x:c>
      <x:c r="H12" s="24" t="str">
        <x:v>Upper two-thirds lateral border of scapula</x:v>
      </x:c>
      <x:c r="I12" s="24" t="str">
        <x:v>Inferior facet of greater tubercle of humerus</x:v>
      </x:c>
      <x:c r="J12" s="24" t="str">
        <x:v>Axillary nerve</x:v>
      </x:c>
      <x:c r="K12" s="24" t="str">
        <x:v>C5-C6</x:v>
      </x:c>
      <x:c r="L12" s="24" t="str">
        <x:v>Teres minor tendon blends with capsule</x:v>
      </x:c>
      <x:c r="M12" s="24" t="str">
        <x:v>Glenohumeral capsular ligament complex, adjacent</x:v>
      </x:c>
      <x:c r="N12" s="24" t="str">
        <x:v>Not established</x:v>
      </x:c>
      <x:c r="O12" s="24" t="str">
        <x:v>Not established</x:v>
      </x:c>
      <x:c r="P12" s="24" t="str">
        <x:v>Mixed Type I and Type II; ratio unverified</x:v>
      </x:c>
      <x:c r="Q12" s="24" t="str">
        <x:v>Published biopsies insufficient to state a reliable per-muscle percentage; no inference from function</x:v>
      </x:c>
      <x:c r="R12" s="24" t="str">
        <x:v>https://www.kenhub.com/en/library/anatomy/upper-limb-muscles-and-movements</x:v>
      </x:c>
      <x:c r="S12" s="24" t="str">
        <x:v>https://pubmed.ncbi.nlm.nih.gov/39359186/</x:v>
      </x:c>
    </x:row>
    <x:row r="13" ht="46" customHeight="1">
      <x:c r="A13" s="24" t="str">
        <x:v>Levator scapulae</x:v>
      </x:c>
      <x:c r="B13" s="24" t="str">
        <x:v>Shoulder girdle</x:v>
      </x:c>
      <x:c r="C13" s="24" t="str">
        <x:v>Stabilizer</x:v>
      </x:c>
      <x:c r="D13" s="24" t="str">
        <x:v>No</x:v>
      </x:c>
      <x:c r="E13" s="24" t="str">
        <x:v>No</x:v>
      </x:c>
      <x:c r="F13" s="24" t="str">
        <x:v>Yes</x:v>
      </x:c>
      <x:c r="G13" s="24" t="str">
        <x:v>Elevates/downwardly rotates scapula; neck lateral flexion</x:v>
      </x:c>
      <x:c r="H13" s="24" t="str">
        <x:v>Posterior tubercles transverse processes C1-C4</x:v>
      </x:c>
      <x:c r="I13" s="24" t="str">
        <x:v>Superior medial border of scapula</x:v>
      </x:c>
      <x:c r="J13" s="24" t="str">
        <x:v>Dorsal scapular nerve; cervical plexus branches</x:v>
      </x:c>
      <x:c r="K13" s="24" t="str">
        <x:v>C3-C5</x:v>
      </x:c>
      <x:c r="L13" s="24" t="str">
        <x:v>Short aponeurotic scapular attachment</x:v>
      </x:c>
      <x:c r="M13" s="24" t="str">
        <x:v>Nuchal ligament adjacent, not primary attachment</x:v>
      </x:c>
      <x:c r="N13" s="24" t="str">
        <x:v>Not established</x:v>
      </x:c>
      <x:c r="O13" s="24" t="str">
        <x:v>Not established</x:v>
      </x:c>
      <x:c r="P13" s="24" t="str">
        <x:v>Mixed Type I and Type II; ratio unverified</x:v>
      </x:c>
      <x:c r="Q13" s="24" t="str">
        <x:v>Published biopsies insufficient to state a reliable per-muscle percentage; no inference from function</x:v>
      </x:c>
      <x:c r="R13" s="24" t="str">
        <x:v>https://www.kenhub.com/en/library/anatomy/upper-limb-muscles-and-movements</x:v>
      </x:c>
      <x:c r="S13" s="24" t="str">
        <x:v>https://pubmed.ncbi.nlm.nih.gov/39359186/</x:v>
      </x:c>
    </x:row>
    <x:row r="14" ht="46" customHeight="1">
      <x:c r="A14" s="24" t="str">
        <x:v>Rhomboid major</x:v>
      </x:c>
      <x:c r="B14" s="24" t="str">
        <x:v>Shoulder girdle</x:v>
      </x:c>
      <x:c r="C14" s="24" t="str">
        <x:v>Stabilizer</x:v>
      </x:c>
      <x:c r="D14" s="24" t="str">
        <x:v>No</x:v>
      </x:c>
      <x:c r="E14" s="24" t="str">
        <x:v>No</x:v>
      </x:c>
      <x:c r="F14" s="24" t="str">
        <x:v>Yes</x:v>
      </x:c>
      <x:c r="G14" s="24" t="str">
        <x:v>Retracts and downwardly rotates scapula; fixation</x:v>
      </x:c>
      <x:c r="H14" s="24" t="str">
        <x:v>T2-T5 spinous processes</x:v>
      </x:c>
      <x:c r="I14" s="24" t="str">
        <x:v>Medial border scapula from spine to inferior angle</x:v>
      </x:c>
      <x:c r="J14" s="24" t="str">
        <x:v>Dorsal scapular nerve</x:v>
      </x:c>
      <x:c r="K14" s="24" t="str">
        <x:v>C4-C5</x:v>
      </x:c>
      <x:c r="L14" s="24" t="str">
        <x:v>Fibrous scapular insertion</x:v>
      </x:c>
      <x:c r="M14" s="24" t="str">
        <x:v>No specific direct ligament attachment</x:v>
      </x:c>
      <x:c r="N14" s="24" t="str">
        <x:v>Not established</x:v>
      </x:c>
      <x:c r="O14" s="24" t="str">
        <x:v>Not established</x:v>
      </x:c>
      <x:c r="P14" s="24" t="str">
        <x:v>Mixed Type I and Type II; ratio unverified</x:v>
      </x:c>
      <x:c r="Q14" s="24" t="str">
        <x:v>Published biopsies insufficient to state a reliable per-muscle percentage; no inference from function</x:v>
      </x:c>
      <x:c r="R14" s="24" t="str">
        <x:v>https://www.kenhub.com/en/library/anatomy/upper-limb-muscles-and-movements</x:v>
      </x:c>
      <x:c r="S14" s="24" t="str">
        <x:v>https://pubmed.ncbi.nlm.nih.gov/39359186/</x:v>
      </x:c>
    </x:row>
    <x:row r="15" ht="46" customHeight="1">
      <x:c r="A15" s="24" t="str">
        <x:v>Rhomboid minor</x:v>
      </x:c>
      <x:c r="B15" s="24" t="str">
        <x:v>Shoulder girdle</x:v>
      </x:c>
      <x:c r="C15" s="24" t="str">
        <x:v>Stabilizer</x:v>
      </x:c>
      <x:c r="D15" s="24" t="str">
        <x:v>No</x:v>
      </x:c>
      <x:c r="E15" s="24" t="str">
        <x:v>No</x:v>
      </x:c>
      <x:c r="F15" s="24" t="str">
        <x:v>Yes</x:v>
      </x:c>
      <x:c r="G15" s="24" t="str">
        <x:v>Retracts, elevates, downwardly rotates scapula</x:v>
      </x:c>
      <x:c r="H15" s="24" t="str">
        <x:v>Nuchal ligament; C7-T1 spinous processes</x:v>
      </x:c>
      <x:c r="I15" s="24" t="str">
        <x:v>Medial border scapula at root of spine</x:v>
      </x:c>
      <x:c r="J15" s="24" t="str">
        <x:v>Dorsal scapular nerve</x:v>
      </x:c>
      <x:c r="K15" s="24" t="str">
        <x:v>C4-C5</x:v>
      </x:c>
      <x:c r="L15" s="24" t="str">
        <x:v>Fibrous insertion slips</x:v>
      </x:c>
      <x:c r="M15" s="24" t="str">
        <x:v>Direct origin from nuchal ligament</x:v>
      </x:c>
      <x:c r="N15" s="24" t="str">
        <x:v>Not established</x:v>
      </x:c>
      <x:c r="O15" s="24" t="str">
        <x:v>Not established</x:v>
      </x:c>
      <x:c r="P15" s="24" t="str">
        <x:v>Mixed Type I and Type II; ratio unverified</x:v>
      </x:c>
      <x:c r="Q15" s="24" t="str">
        <x:v>Published biopsies insufficient to state a reliable per-muscle percentage; no inference from function</x:v>
      </x:c>
      <x:c r="R15" s="24" t="str">
        <x:v>https://www.kenhub.com/en/library/anatomy/upper-limb-muscles-and-movements</x:v>
      </x:c>
      <x:c r="S15" s="24" t="str">
        <x:v>https://pubmed.ncbi.nlm.nih.gov/39359186/</x:v>
      </x:c>
    </x:row>
    <x:row r="16" ht="46" customHeight="1">
      <x:c r="A16" s="24" t="str">
        <x:v>Deltoid</x:v>
      </x:c>
      <x:c r="B16" s="24" t="str">
        <x:v>Shoulder lateral</x:v>
      </x:c>
      <x:c r="C16" s="24" t="str">
        <x:v>Flexor; Extensor; Stabilizer</x:v>
      </x:c>
      <x:c r="D16" s="24" t="str">
        <x:v>Yes</x:v>
      </x:c>
      <x:c r="E16" s="24" t="str">
        <x:v>Yes</x:v>
      </x:c>
      <x:c r="F16" s="24" t="str">
        <x:v>Yes</x:v>
      </x:c>
      <x:c r="G16" s="24" t="str">
        <x:v>Abducts arm; anterior fibers flex/medially rotate; posterior fibers extend/laterally rotate</x:v>
      </x:c>
      <x:c r="H16" s="24" t="str">
        <x:v>Lateral third clavicle; acromion; scapular spine</x:v>
      </x:c>
      <x:c r="I16" s="24" t="str">
        <x:v>Deltoid tuberosity of humerus</x:v>
      </x:c>
      <x:c r="J16" s="24" t="str">
        <x:v>Axillary nerve</x:v>
      </x:c>
      <x:c r="K16" s="24" t="str">
        <x:v>C5-C6</x:v>
      </x:c>
      <x:c r="L16" s="24" t="str">
        <x:v>Deltoid insertion tendon</x:v>
      </x:c>
      <x:c r="M16" s="24" t="str">
        <x:v>Coracoacromial ligament overlies cuff, not direct attachment</x:v>
      </x:c>
      <x:c r="N16" s="24" t="str">
        <x:v>Not established</x:v>
      </x:c>
      <x:c r="O16" s="24" t="str">
        <x:v>Not established</x:v>
      </x:c>
      <x:c r="P16" s="24" t="str">
        <x:v>Mixed Type I and Type II; ratio unverified</x:v>
      </x:c>
      <x:c r="Q16" s="24" t="str">
        <x:v>Published biopsies insufficient to state a reliable per-muscle percentage; no inference from function</x:v>
      </x:c>
      <x:c r="R16" s="24" t="str">
        <x:v>https://www.kenhub.com/en/library/anatomy/upper-limb-muscles-and-movements</x:v>
      </x:c>
      <x:c r="S16" s="24" t="str">
        <x:v>https://pubmed.ncbi.nlm.nih.gov/39359186/</x:v>
      </x:c>
    </x:row>
    <x:row r="17" ht="46" customHeight="1">
      <x:c r="A17" s="24" t="str">
        <x:v>Trapezius</x:v>
      </x:c>
      <x:c r="B17" s="24" t="str">
        <x:v>Superficial back / scapula</x:v>
      </x:c>
      <x:c r="C17" s="24" t="str">
        <x:v>Stabilizer</x:v>
      </x:c>
      <x:c r="D17" s="24" t="str">
        <x:v>No</x:v>
      </x:c>
      <x:c r="E17" s="24" t="str">
        <x:v>No</x:v>
      </x:c>
      <x:c r="F17" s="24" t="str">
        <x:v>Yes</x:v>
      </x:c>
      <x:c r="G17" s="24" t="str">
        <x:v>Elevates/retracts/depresses and upwardly rotates scapula</x:v>
      </x:c>
      <x:c r="H17" s="24" t="str">
        <x:v>Medial superior nuchal line; external occipital protuberance; nuchal ligament; C7-T12 spinous processes</x:v>
      </x:c>
      <x:c r="I17" s="24" t="str">
        <x:v>Lateral clavicle; acromion; spine of scapula</x:v>
      </x:c>
      <x:c r="J17" s="24" t="str">
        <x:v>Spinal accessory nerve CN XI (motor); cervical plexus proprioception</x:v>
      </x:c>
      <x:c r="K17" s="24" t="str">
        <x:v>CN XI (spinal nucleus C1-C5); C3-C4 sensory</x:v>
      </x:c>
      <x:c r="L17" s="24" t="str">
        <x:v>Broad aponeuroses and scapular/clavicular tendinous insertions</x:v>
      </x:c>
      <x:c r="M17" s="24" t="str">
        <x:v>Nuchal ligament direct origin</x:v>
      </x:c>
      <x:c r="N17" s="24" t="str">
        <x:v>Not established</x:v>
      </x:c>
      <x:c r="O17" s="24" t="str">
        <x:v>Not established</x:v>
      </x:c>
      <x:c r="P17" s="24" t="str">
        <x:v>Mixed Type I and Type II; ratio unverified</x:v>
      </x:c>
      <x:c r="Q17" s="24" t="str">
        <x:v>Published biopsies insufficient to state a reliable per-muscle percentage; no inference from function</x:v>
      </x:c>
      <x:c r="R17" s="24" t="str">
        <x:v>https://www.kenhub.com/en/library/anatomy/upper-limb-muscles-and-movements</x:v>
      </x:c>
      <x:c r="S17" s="24" t="str">
        <x:v>https://pubmed.ncbi.nlm.nih.gov/39359186/</x:v>
      </x:c>
    </x:row>
    <x:row r="18" ht="46" customHeight="1">
      <x:c r="A18" s="24" t="str">
        <x:v>Serratus anterior</x:v>
      </x:c>
      <x:c r="B18" s="24" t="str">
        <x:v>Thoracic scapular</x:v>
      </x:c>
      <x:c r="C18" s="24" t="str">
        <x:v>Stabilizer</x:v>
      </x:c>
      <x:c r="D18" s="24" t="str">
        <x:v>No</x:v>
      </x:c>
      <x:c r="E18" s="24" t="str">
        <x:v>No</x:v>
      </x:c>
      <x:c r="F18" s="24" t="str">
        <x:v>Yes</x:v>
      </x:c>
      <x:c r="G18" s="24" t="str">
        <x:v>Protracts and upwardly rotates scapula; holds it against thorax</x:v>
      </x:c>
      <x:c r="H18" s="24" t="str">
        <x:v>Lateral surfaces ribs 1-8/9</x:v>
      </x:c>
      <x:c r="I18" s="24" t="str">
        <x:v>Anterior medial border of scapula, especially inferior angle</x:v>
      </x:c>
      <x:c r="J18" s="24" t="str">
        <x:v>Long thoracic nerve</x:v>
      </x:c>
      <x:c r="K18" s="24" t="str">
        <x:v>C5-C7</x:v>
      </x:c>
      <x:c r="L18" s="24" t="str">
        <x:v>Muscular/slip attachments; no dominant distal tendon</x:v>
      </x:c>
      <x:c r="M18" s="24" t="str">
        <x:v>No specific direct ligament attachment</x:v>
      </x:c>
      <x:c r="N18" s="24" t="str">
        <x:v>Not established</x:v>
      </x:c>
      <x:c r="O18" s="24" t="str">
        <x:v>Not established</x:v>
      </x:c>
      <x:c r="P18" s="24" t="str">
        <x:v>Mixed Type I and Type II; ratio unverified</x:v>
      </x:c>
      <x:c r="Q18" s="24" t="str">
        <x:v>Published biopsies insufficient to state a reliable per-muscle percentage; no inference from function</x:v>
      </x:c>
      <x:c r="R18" s="24" t="str">
        <x:v>https://www.kenhub.com/en/library/anatomy/upper-limb-muscles-and-movements</x:v>
      </x:c>
      <x:c r="S18" s="24" t="str">
        <x:v>https://pubmed.ncbi.nlm.nih.gov/39359186/</x:v>
      </x:c>
    </x:row>
    <x:row r="19" ht="46" customHeight="1">
      <x:c r="A19" s="24" t="str">
        <x:v>Biceps brachii long head</x:v>
      </x:c>
      <x:c r="B19" s="24" t="str">
        <x:v>Anterior arm</x:v>
      </x:c>
      <x:c r="C19" s="24" t="str">
        <x:v>Flexor; Stabilizer</x:v>
      </x:c>
      <x:c r="D19" s="24" t="str">
        <x:v>Yes</x:v>
      </x:c>
      <x:c r="E19" s="24" t="str">
        <x:v>No</x:v>
      </x:c>
      <x:c r="F19" s="24" t="str">
        <x:v>Yes</x:v>
      </x:c>
      <x:c r="G19" s="24" t="str">
        <x:v>Elbow flexion and supination; assists shoulder flexion</x:v>
      </x:c>
      <x:c r="H19" s="24" t="str">
        <x:v>Supraglenoid tubercle of scapula and superior labrum</x:v>
      </x:c>
      <x:c r="I19" s="24" t="str">
        <x:v>Radial tuberosity; forearm fascia via bicipital aponeurosis</x:v>
      </x:c>
      <x:c r="J19" s="24" t="str">
        <x:v>Musculocutaneous nerve</x:v>
      </x:c>
      <x:c r="K19" s="24" t="str">
        <x:v>C5-C6</x:v>
      </x:c>
      <x:c r="L19" s="24" t="str">
        <x:v>Long-head proximal tendon; distal biceps tendon; bicipital aponeurosis</x:v>
      </x:c>
      <x:c r="M19" s="24" t="str">
        <x:v>Transverse humeral ligament overlies proximal tendon in groove</x:v>
      </x:c>
      <x:c r="N19" s="24" t="str">
        <x:v>Not established</x:v>
      </x:c>
      <x:c r="O19" s="24" t="str">
        <x:v>Not established</x:v>
      </x:c>
      <x:c r="P19" s="24" t="str">
        <x:v>Mixed Type I and Type II; ratio unverified</x:v>
      </x:c>
      <x:c r="Q19" s="24" t="str">
        <x:v>Published biopsies insufficient to state a reliable per-muscle percentage; no inference from function</x:v>
      </x:c>
      <x:c r="R19" s="24" t="str">
        <x:v>https://www.kenhub.com/en/library/anatomy/upper-limb-muscles-and-movements</x:v>
      </x:c>
      <x:c r="S19" s="24" t="str">
        <x:v>https://pubmed.ncbi.nlm.nih.gov/39359186/</x:v>
      </x:c>
    </x:row>
    <x:row r="20" ht="46" customHeight="1">
      <x:c r="A20" s="24" t="str">
        <x:v>Biceps brachii short head</x:v>
      </x:c>
      <x:c r="B20" s="24" t="str">
        <x:v>Anterior arm</x:v>
      </x:c>
      <x:c r="C20" s="24" t="str">
        <x:v>Flexor</x:v>
      </x:c>
      <x:c r="D20" s="24" t="str">
        <x:v>Yes</x:v>
      </x:c>
      <x:c r="E20" s="24" t="str">
        <x:v>No</x:v>
      </x:c>
      <x:c r="F20" s="24" t="str">
        <x:v>No</x:v>
      </x:c>
      <x:c r="G20" s="24" t="str">
        <x:v>Elbow flexion and supination; shoulder flexion</x:v>
      </x:c>
      <x:c r="H20" s="24" t="str">
        <x:v>Coracoid process of scapula</x:v>
      </x:c>
      <x:c r="I20" s="24" t="str">
        <x:v>Radial tuberosity; forearm fascia via bicipital aponeurosis</x:v>
      </x:c>
      <x:c r="J20" s="24" t="str">
        <x:v>Musculocutaneous nerve</x:v>
      </x:c>
      <x:c r="K20" s="24" t="str">
        <x:v>C5-C6</x:v>
      </x:c>
      <x:c r="L20" s="24" t="str">
        <x:v>Conjoined proximal tendon; common distal biceps tendon</x:v>
      </x:c>
      <x:c r="M20" s="24" t="str">
        <x:v>Coracoclavicular ligaments near coracoid, no direct attachment</x:v>
      </x:c>
      <x:c r="N20" s="24" t="str">
        <x:v>Not established</x:v>
      </x:c>
      <x:c r="O20" s="24" t="str">
        <x:v>Not established</x:v>
      </x:c>
      <x:c r="P20" s="24" t="str">
        <x:v>Mixed Type I and Type II; ratio unverified</x:v>
      </x:c>
      <x:c r="Q20" s="24" t="str">
        <x:v>Published biopsies insufficient to state a reliable per-muscle percentage; no inference from function</x:v>
      </x:c>
      <x:c r="R20" s="24" t="str">
        <x:v>https://www.kenhub.com/en/library/anatomy/upper-limb-muscles-and-movements</x:v>
      </x:c>
      <x:c r="S20" s="24" t="str">
        <x:v>https://pubmed.ncbi.nlm.nih.gov/39359186/</x:v>
      </x:c>
    </x:row>
    <x:row r="21" ht="46" customHeight="1">
      <x:c r="A21" s="24" t="str">
        <x:v>Brachialis</x:v>
      </x:c>
      <x:c r="B21" s="24" t="str">
        <x:v>Anterior arm</x:v>
      </x:c>
      <x:c r="C21" s="24" t="str">
        <x:v>Flexor</x:v>
      </x:c>
      <x:c r="D21" s="24" t="str">
        <x:v>Yes</x:v>
      </x:c>
      <x:c r="E21" s="24" t="str">
        <x:v>No</x:v>
      </x:c>
      <x:c r="F21" s="24" t="str">
        <x:v>No</x:v>
      </x:c>
      <x:c r="G21" s="24" t="str">
        <x:v>Primary elbow flexion in all forearm positions</x:v>
      </x:c>
      <x:c r="H21" s="24" t="str">
        <x:v>Distal anterior half of humerus; intermuscular septa</x:v>
      </x:c>
      <x:c r="I21" s="24" t="str">
        <x:v>Coronoid process and tuberosity of ulna</x:v>
      </x:c>
      <x:c r="J21" s="24" t="str">
        <x:v>Musculocutaneous nerve; small radial contribution to lateral part</x:v>
      </x:c>
      <x:c r="K21" s="24" t="str">
        <x:v>C5-C6 (occasional C7 radial)</x:v>
      </x:c>
      <x:c r="L21" s="24" t="str">
        <x:v>Brachialis insertion tendon</x:v>
      </x:c>
      <x:c r="M21" s="24" t="str">
        <x:v>Anterior elbow capsule intimate with deep fibers</x:v>
      </x:c>
      <x:c r="N21" s="24" t="str">
        <x:v>Not established</x:v>
      </x:c>
      <x:c r="O21" s="24" t="str">
        <x:v>Not established</x:v>
      </x:c>
      <x:c r="P21" s="24" t="str">
        <x:v>Mixed Type I and Type II; ratio unverified</x:v>
      </x:c>
      <x:c r="Q21" s="24" t="str">
        <x:v>Published biopsies insufficient to state a reliable per-muscle percentage; no inference from function</x:v>
      </x:c>
      <x:c r="R21" s="24" t="str">
        <x:v>https://www.kenhub.com/en/library/anatomy/upper-limb-muscles-and-movements</x:v>
      </x:c>
      <x:c r="S21" s="24" t="str">
        <x:v>https://pubmed.ncbi.nlm.nih.gov/39359186/</x:v>
      </x:c>
    </x:row>
    <x:row r="22" ht="46" customHeight="1">
      <x:c r="A22" s="24" t="str">
        <x:v>Coracobrachialis</x:v>
      </x:c>
      <x:c r="B22" s="24" t="str">
        <x:v>Anterior arm</x:v>
      </x:c>
      <x:c r="C22" s="24" t="str">
        <x:v>Flexor; Stabilizer</x:v>
      </x:c>
      <x:c r="D22" s="24" t="str">
        <x:v>Yes</x:v>
      </x:c>
      <x:c r="E22" s="24" t="str">
        <x:v>No</x:v>
      </x:c>
      <x:c r="F22" s="24" t="str">
        <x:v>Yes</x:v>
      </x:c>
      <x:c r="G22" s="24" t="str">
        <x:v>Flexes and adducts shoulder; resists dislocation</x:v>
      </x:c>
      <x:c r="H22" s="24" t="str">
        <x:v>Coracoid process of scapula</x:v>
      </x:c>
      <x:c r="I22" s="24" t="str">
        <x:v>Middle third medial humeral shaft</x:v>
      </x:c>
      <x:c r="J22" s="24" t="str">
        <x:v>Musculocutaneous nerve</x:v>
      </x:c>
      <x:c r="K22" s="24" t="str">
        <x:v>C5-C7</x:v>
      </x:c>
      <x:c r="L22" s="24" t="str">
        <x:v>Proximal conjoint tendon; distal tendinous insertion</x:v>
      </x:c>
      <x:c r="M22" s="24" t="str">
        <x:v>Coracoclavicular ligaments share coracoid vicinity</x:v>
      </x:c>
      <x:c r="N22" s="24" t="str">
        <x:v>Not established</x:v>
      </x:c>
      <x:c r="O22" s="24" t="str">
        <x:v>Not established</x:v>
      </x:c>
      <x:c r="P22" s="24" t="str">
        <x:v>Mixed Type I and Type II; ratio unverified</x:v>
      </x:c>
      <x:c r="Q22" s="24" t="str">
        <x:v>Published biopsies insufficient to state a reliable per-muscle percentage; no inference from function</x:v>
      </x:c>
      <x:c r="R22" s="24" t="str">
        <x:v>https://www.kenhub.com/en/library/anatomy/upper-limb-muscles-and-movements</x:v>
      </x:c>
      <x:c r="S22" s="24" t="str">
        <x:v>https://pubmed.ncbi.nlm.nih.gov/39359186/</x:v>
      </x:c>
    </x:row>
    <x:row r="23" ht="46" customHeight="1">
      <x:c r="A23" s="24" t="str">
        <x:v>Articularis cubiti</x:v>
      </x:c>
      <x:c r="B23" s="24" t="str">
        <x:v>Deep posterior elbow</x:v>
      </x:c>
      <x:c r="C23" s="24" t="str">
        <x:v>Stabilizer</x:v>
      </x:c>
      <x:c r="D23" s="24" t="str">
        <x:v>No</x:v>
      </x:c>
      <x:c r="E23" s="24" t="str">
        <x:v>No</x:v>
      </x:c>
      <x:c r="F23" s="24" t="str">
        <x:v>Yes</x:v>
      </x:c>
      <x:c r="G23" s="24" t="str">
        <x:v>Retracts joint capsule during elbow extension</x:v>
      </x:c>
      <x:c r="H23" s="24" t="str">
        <x:v>Distal posterior humerus near olecranon fossa</x:v>
      </x:c>
      <x:c r="I23" s="24" t="str">
        <x:v>Posterior capsule of elbow joint</x:v>
      </x:c>
      <x:c r="J23" s="24" t="str">
        <x:v>Radial nerve branch to triceps</x:v>
      </x:c>
      <x:c r="K23" s="24" t="str">
        <x:v>C7-C8 (variable)</x:v>
      </x:c>
      <x:c r="L23" s="24" t="str">
        <x:v>Fibers to posterior joint capsule</x:v>
      </x:c>
      <x:c r="M23" s="24" t="str">
        <x:v>Posterior capsular ligaments continuous with insertion</x:v>
      </x:c>
      <x:c r="N23" s="24" t="str">
        <x:v>Not established</x:v>
      </x:c>
      <x:c r="O23" s="24" t="str">
        <x:v>Not established</x:v>
      </x:c>
      <x:c r="P23" s="24" t="str">
        <x:v>Mixed Type I and Type II; ratio unverified</x:v>
      </x:c>
      <x:c r="Q23" s="24" t="str">
        <x:v>Published biopsies insufficient to state a reliable per-muscle percentage; no inference from function</x:v>
      </x:c>
      <x:c r="R23" s="24" t="str">
        <x:v>https://www.kenhub.com/en/library/anatomy/upper-limb-muscles-and-movements</x:v>
      </x:c>
      <x:c r="S23" s="24" t="str">
        <x:v>https://pubmed.ncbi.nlm.nih.gov/39359186/</x:v>
      </x:c>
    </x:row>
    <x:row r="24" ht="46" customHeight="1">
      <x:c r="A24" s="24" t="str">
        <x:v>Triceps brachii lateral head</x:v>
      </x:c>
      <x:c r="B24" s="24" t="str">
        <x:v>Posterior arm</x:v>
      </x:c>
      <x:c r="C24" s="24" t="str">
        <x:v>Extensor</x:v>
      </x:c>
      <x:c r="D24" s="24" t="str">
        <x:v>No</x:v>
      </x:c>
      <x:c r="E24" s="24" t="str">
        <x:v>Yes</x:v>
      </x:c>
      <x:c r="F24" s="24" t="str">
        <x:v>No</x:v>
      </x:c>
      <x:c r="G24" s="24" t="str">
        <x:v>Powerful elbow extension</x:v>
      </x:c>
      <x:c r="H24" s="24" t="str">
        <x:v>Posterior humerus superior to radial groove</x:v>
      </x:c>
      <x:c r="I24" s="24" t="str">
        <x:v>Olecranon via common tendon</x:v>
      </x:c>
      <x:c r="J24" s="24" t="str">
        <x:v>Radial nerve</x:v>
      </x:c>
      <x:c r="K24" s="24" t="str">
        <x:v>C6-C8</x:v>
      </x:c>
      <x:c r="L24" s="24" t="str">
        <x:v>Common triceps tendon</x:v>
      </x:c>
      <x:c r="M24" s="24" t="str">
        <x:v>Posterior elbow capsule nearby</x:v>
      </x:c>
      <x:c r="N24" s="24" t="str">
        <x:v>30–40% (whole triceps literature estimate)</x:v>
      </x:c>
      <x:c r="O24" s="24" t="str">
        <x:v>60–70% (complement, approximate)</x:v>
      </x:c>
      <x:c r="P24" s="24" t="str">
        <x:v>Type II-rich relative to soleus</x:v>
      </x:c>
      <x:c r="Q24" s="24" t="str">
        <x:v>Whole-muscle range; individual heads not measured separately in cited overview</x:v>
      </x:c>
      <x:c r="R24" s="24" t="str">
        <x:v>https://www.kenhub.com/en/library/anatomy/upper-limb-muscles-and-movements</x:v>
      </x:c>
      <x:c r="S24" s="24" t="str">
        <x:v>https://journals.physiology.org/doi/full/10.1152/japplphysiol.00394.2024</x:v>
      </x:c>
    </x:row>
    <x:row r="25" ht="46" customHeight="1">
      <x:c r="A25" s="24" t="str">
        <x:v>Triceps brachii long head</x:v>
      </x:c>
      <x:c r="B25" s="24" t="str">
        <x:v>Posterior arm</x:v>
      </x:c>
      <x:c r="C25" s="24" t="str">
        <x:v>Extensor; Stabilizer</x:v>
      </x:c>
      <x:c r="D25" s="24" t="str">
        <x:v>No</x:v>
      </x:c>
      <x:c r="E25" s="24" t="str">
        <x:v>Yes</x:v>
      </x:c>
      <x:c r="F25" s="24" t="str">
        <x:v>Yes</x:v>
      </x:c>
      <x:c r="G25" s="24" t="str">
        <x:v>Extends elbow; extends/adducts shoulder; stabilizes shoulder</x:v>
      </x:c>
      <x:c r="H25" s="24" t="str">
        <x:v>Infraglenoid tubercle of scapula</x:v>
      </x:c>
      <x:c r="I25" s="24" t="str">
        <x:v>Olecranon of ulna and deep fascia</x:v>
      </x:c>
      <x:c r="J25" s="24" t="str">
        <x:v>Radial nerve</x:v>
      </x:c>
      <x:c r="K25" s="24" t="str">
        <x:v>C6-C8</x:v>
      </x:c>
      <x:c r="L25" s="24" t="str">
        <x:v>Common triceps tendon to olecranon</x:v>
      </x:c>
      <x:c r="M25" s="24" t="str">
        <x:v>Posterior elbow joint capsule adjacent</x:v>
      </x:c>
      <x:c r="N25" s="24" t="str">
        <x:v>30–40% (whole triceps literature estimate)</x:v>
      </x:c>
      <x:c r="O25" s="24" t="str">
        <x:v>60–70% (complement, approximate)</x:v>
      </x:c>
      <x:c r="P25" s="24" t="str">
        <x:v>Type II-rich relative to soleus</x:v>
      </x:c>
      <x:c r="Q25" s="24" t="str">
        <x:v>Value published for triceps brachii overall, not specifically this head</x:v>
      </x:c>
      <x:c r="R25" s="24" t="str">
        <x:v>https://www.kenhub.com/en/library/anatomy/upper-limb-muscles-and-movements</x:v>
      </x:c>
      <x:c r="S25" s="24" t="str">
        <x:v>https://journals.physiology.org/doi/full/10.1152/japplphysiol.00394.2024</x:v>
      </x:c>
    </x:row>
    <x:row r="26" ht="46" customHeight="1">
      <x:c r="A26" s="24" t="str">
        <x:v>Triceps brachii medial head</x:v>
      </x:c>
      <x:c r="B26" s="24" t="str">
        <x:v>Posterior arm</x:v>
      </x:c>
      <x:c r="C26" s="24" t="str">
        <x:v>Extensor</x:v>
      </x:c>
      <x:c r="D26" s="24" t="str">
        <x:v>No</x:v>
      </x:c>
      <x:c r="E26" s="24" t="str">
        <x:v>Yes</x:v>
      </x:c>
      <x:c r="F26" s="24" t="str">
        <x:v>No</x:v>
      </x:c>
      <x:c r="G26" s="24" t="str">
        <x:v>Elbow extension, especially against resistance</x:v>
      </x:c>
      <x:c r="H26" s="24" t="str">
        <x:v>Posterior humerus inferior to radial groove</x:v>
      </x:c>
      <x:c r="I26" s="24" t="str">
        <x:v>Olecranon via common tendon</x:v>
      </x:c>
      <x:c r="J26" s="24" t="str">
        <x:v>Radial nerve</x:v>
      </x:c>
      <x:c r="K26" s="24" t="str">
        <x:v>C7-C8</x:v>
      </x:c>
      <x:c r="L26" s="24" t="str">
        <x:v>Common triceps tendon</x:v>
      </x:c>
      <x:c r="M26" s="24" t="str">
        <x:v>Posterior elbow capsule nearby</x:v>
      </x:c>
      <x:c r="N26" s="24" t="str">
        <x:v>30–40% (whole triceps literature estimate)</x:v>
      </x:c>
      <x:c r="O26" s="24" t="str">
        <x:v>60–70% (complement, approximate)</x:v>
      </x:c>
      <x:c r="P26" s="24" t="str">
        <x:v>Type II-rich relative to soleus</x:v>
      </x:c>
      <x:c r="Q26" s="24" t="str">
        <x:v>Whole-muscle range; individual heads may differ</x:v>
      </x:c>
      <x:c r="R26" s="24" t="str">
        <x:v>https://www.kenhub.com/en/library/anatomy/upper-limb-muscles-and-movements</x:v>
      </x:c>
      <x:c r="S26" s="24" t="str">
        <x:v>https://journals.physiology.org/doi/full/10.1152/japplphysiol.00394.2024</x:v>
      </x:c>
    </x:row>
    <x:row r="27" ht="46" customHeight="1">
      <x:c r="A27" s="24" t="str">
        <x:v>Anconeus</x:v>
      </x:c>
      <x:c r="B27" s="24" t="str">
        <x:v>Posterolateral elbow</x:v>
      </x:c>
      <x:c r="C27" s="24" t="str">
        <x:v>Extensor; Stabilizer</x:v>
      </x:c>
      <x:c r="D27" s="24" t="str">
        <x:v>No</x:v>
      </x:c>
      <x:c r="E27" s="24" t="str">
        <x:v>Yes</x:v>
      </x:c>
      <x:c r="F27" s="24" t="str">
        <x:v>Yes</x:v>
      </x:c>
      <x:c r="G27" s="24" t="str">
        <x:v>Assists elbow extension; stabilizes elbow</x:v>
      </x:c>
      <x:c r="H27" s="24" t="str">
        <x:v>Lateral epicondyle of humerus</x:v>
      </x:c>
      <x:c r="I27" s="24" t="str">
        <x:v>Lateral olecranon and proximal posterior ulna</x:v>
      </x:c>
      <x:c r="J27" s="24" t="str">
        <x:v>Radial nerve</x:v>
      </x:c>
      <x:c r="K27" s="24" t="str">
        <x:v>C7-T1</x:v>
      </x:c>
      <x:c r="L27" s="24" t="str">
        <x:v>Small proximal tendon</x:v>
      </x:c>
      <x:c r="M27" s="24" t="str">
        <x:v>Annular ligament of radius and lateral collateral ligament complex nearby</x:v>
      </x:c>
      <x:c r="N27" s="24" t="str">
        <x:v>Not established</x:v>
      </x:c>
      <x:c r="O27" s="24" t="str">
        <x:v>Not established</x:v>
      </x:c>
      <x:c r="P27" s="24" t="str">
        <x:v>Mixed Type I and Type II; ratio unverified</x:v>
      </x:c>
      <x:c r="Q27" s="24" t="str">
        <x:v>Published biopsies insufficient to state a reliable per-muscle percentage; no inference from function</x:v>
      </x:c>
      <x:c r="R27" s="24" t="str">
        <x:v>https://www.kenhub.com/en/library/anatomy/upper-limb-muscles-and-movements</x:v>
      </x:c>
      <x:c r="S27" s="24" t="str">
        <x:v>https://pubmed.ncbi.nlm.nih.gov/39359186/</x:v>
      </x:c>
    </x:row>
    <x:row r="28" ht="46" customHeight="1">
      <x:c r="A28" s="24" t="str">
        <x:v>Flexor digitorum profundus lateral portion (digits 2-3)</x:v>
      </x:c>
      <x:c r="B28" s="24" t="str">
        <x:v>Anterior deep</x:v>
      </x:c>
      <x:c r="C28" s="24" t="str">
        <x:v>Flexor</x:v>
      </x:c>
      <x:c r="D28" s="24" t="str">
        <x:v>Yes</x:v>
      </x:c>
      <x:c r="E28" s="24" t="str">
        <x:v>No</x:v>
      </x:c>
      <x:c r="F28" s="24" t="str">
        <x:v>No</x:v>
      </x:c>
      <x:c r="G28" s="24" t="str">
        <x:v>Flexes DIP joints; assists finger/wrist flexion</x:v>
      </x:c>
      <x:c r="H28" s="24" t="str">
        <x:v>Proximal 3/4 anterior/medial ulna; interosseous membrane</x:v>
      </x:c>
      <x:c r="I28" s="24" t="str">
        <x:v>Distal phalanges of digits 2-3</x:v>
      </x:c>
      <x:c r="J28" s="24" t="str">
        <x:v>Anterior interosseous nerve (median)</x:v>
      </x:c>
      <x:c r="K28" s="24" t="str">
        <x:v>C8-T1</x:v>
      </x:c>
      <x:c r="L28" s="24" t="str">
        <x:v>Deep flexor digital tendons 2-3</x:v>
      </x:c>
      <x:c r="M28" s="24" t="str">
        <x:v>Flexor retinaculum; digital annular pulleys support tendon paths</x:v>
      </x:c>
      <x:c r="N28" s="24" t="str">
        <x:v>Not established</x:v>
      </x:c>
      <x:c r="O28" s="24" t="str">
        <x:v>Not established</x:v>
      </x:c>
      <x:c r="P28" s="24" t="str">
        <x:v>Mixed Type I and Type II; ratio unverified</x:v>
      </x:c>
      <x:c r="Q28" s="24" t="str">
        <x:v>Published biopsies insufficient to state a reliable per-muscle percentage; no inference from function</x:v>
      </x:c>
      <x:c r="R28" s="24" t="str">
        <x:v>https://www.kenhub.com/en/library/anatomy/upper-limb-muscles-and-movements</x:v>
      </x:c>
      <x:c r="S28" s="24" t="str">
        <x:v>https://pubmed.ncbi.nlm.nih.gov/39359186/</x:v>
      </x:c>
    </x:row>
    <x:row r="29" ht="46" customHeight="1">
      <x:c r="A29" s="24" t="str">
        <x:v>Flexor digitorum profundus medial portion (digits 4-5)</x:v>
      </x:c>
      <x:c r="B29" s="24" t="str">
        <x:v>Anterior deep</x:v>
      </x:c>
      <x:c r="C29" s="24" t="str">
        <x:v>Flexor</x:v>
      </x:c>
      <x:c r="D29" s="24" t="str">
        <x:v>Yes</x:v>
      </x:c>
      <x:c r="E29" s="24" t="str">
        <x:v>No</x:v>
      </x:c>
      <x:c r="F29" s="24" t="str">
        <x:v>No</x:v>
      </x:c>
      <x:c r="G29" s="24" t="str">
        <x:v>Flexes DIP joints</x:v>
      </x:c>
      <x:c r="H29" s="24" t="str">
        <x:v>Proximal 3/4 anterior/medial ulna; interosseous membrane</x:v>
      </x:c>
      <x:c r="I29" s="24" t="str">
        <x:v>Distal phalanges digits 4-5</x:v>
      </x:c>
      <x:c r="J29" s="24" t="str">
        <x:v>Ulnar nerve</x:v>
      </x:c>
      <x:c r="K29" s="24" t="str">
        <x:v>C8-T1</x:v>
      </x:c>
      <x:c r="L29" s="24" t="str">
        <x:v>Deep flexor digital tendons 4-5</x:v>
      </x:c>
      <x:c r="M29" s="24" t="str">
        <x:v>Digital annular pulleys; flexor retinaculum support tendon paths</x:v>
      </x:c>
      <x:c r="N29" s="24" t="str">
        <x:v>Not established</x:v>
      </x:c>
      <x:c r="O29" s="24" t="str">
        <x:v>Not established</x:v>
      </x:c>
      <x:c r="P29" s="24" t="str">
        <x:v>Mixed Type I and Type II; ratio unverified</x:v>
      </x:c>
      <x:c r="Q29" s="24" t="str">
        <x:v>Published biopsies insufficient to state a reliable per-muscle percentage; no inference from function</x:v>
      </x:c>
      <x:c r="R29" s="24" t="str">
        <x:v>https://www.kenhub.com/en/library/anatomy/upper-limb-muscles-and-movements</x:v>
      </x:c>
      <x:c r="S29" s="24" t="str">
        <x:v>https://pubmed.ncbi.nlm.nih.gov/39359186/</x:v>
      </x:c>
    </x:row>
    <x:row r="30" ht="46" customHeight="1">
      <x:c r="A30" s="24" t="str">
        <x:v>Flexor pollicis longus</x:v>
      </x:c>
      <x:c r="B30" s="24" t="str">
        <x:v>Anterior deep</x:v>
      </x:c>
      <x:c r="C30" s="24" t="str">
        <x:v>Flexor</x:v>
      </x:c>
      <x:c r="D30" s="24" t="str">
        <x:v>Yes</x:v>
      </x:c>
      <x:c r="E30" s="24" t="str">
        <x:v>No</x:v>
      </x:c>
      <x:c r="F30" s="24" t="str">
        <x:v>No</x:v>
      </x:c>
      <x:c r="G30" s="24" t="str">
        <x:v>Flexes thumb IP joint; assists MCP flexion</x:v>
      </x:c>
      <x:c r="H30" s="24" t="str">
        <x:v>Anterior radius; adjoining interosseous membrane</x:v>
      </x:c>
      <x:c r="I30" s="24" t="str">
        <x:v>Base of distal phalanx of thumb</x:v>
      </x:c>
      <x:c r="J30" s="24" t="str">
        <x:v>Anterior interosseous nerve (median)</x:v>
      </x:c>
      <x:c r="K30" s="24" t="str">
        <x:v>C8-T1</x:v>
      </x:c>
      <x:c r="L30" s="24" t="str">
        <x:v>FPL tendon</x:v>
      </x:c>
      <x:c r="M30" s="24" t="str">
        <x:v>Flexor retinaculum and thumb pulley system guide tendon</x:v>
      </x:c>
      <x:c r="N30" s="24" t="str">
        <x:v>Not established</x:v>
      </x:c>
      <x:c r="O30" s="24" t="str">
        <x:v>Not established</x:v>
      </x:c>
      <x:c r="P30" s="24" t="str">
        <x:v>Mixed Type I and Type II; ratio unverified</x:v>
      </x:c>
      <x:c r="Q30" s="24" t="str">
        <x:v>Published biopsies insufficient to state a reliable per-muscle percentage; no inference from function</x:v>
      </x:c>
      <x:c r="R30" s="24" t="str">
        <x:v>https://www.kenhub.com/en/library/anatomy/upper-limb-muscles-and-movements</x:v>
      </x:c>
      <x:c r="S30" s="24" t="str">
        <x:v>https://pubmed.ncbi.nlm.nih.gov/39359186/</x:v>
      </x:c>
    </x:row>
    <x:row r="31" ht="46" customHeight="1">
      <x:c r="A31" s="24" t="str">
        <x:v>Pronator quadratus</x:v>
      </x:c>
      <x:c r="B31" s="24" t="str">
        <x:v>Anterior deep</x:v>
      </x:c>
      <x:c r="C31" s="24" t="str">
        <x:v>Stabilizer</x:v>
      </x:c>
      <x:c r="D31" s="24" t="str">
        <x:v>No</x:v>
      </x:c>
      <x:c r="E31" s="24" t="str">
        <x:v>No</x:v>
      </x:c>
      <x:c r="F31" s="24" t="str">
        <x:v>Yes</x:v>
      </x:c>
      <x:c r="G31" s="24" t="str">
        <x:v>Prime pronator; stabilizes distal radioulnar joint</x:v>
      </x:c>
      <x:c r="H31" s="24" t="str">
        <x:v>Distal quarter anterior ulna</x:v>
      </x:c>
      <x:c r="I31" s="24" t="str">
        <x:v>Distal quarter anterior radius</x:v>
      </x:c>
      <x:c r="J31" s="24" t="str">
        <x:v>Anterior interosseous nerve (median)</x:v>
      </x:c>
      <x:c r="K31" s="24" t="str">
        <x:v>C8-T1</x:v>
      </x:c>
      <x:c r="L31" s="24" t="str">
        <x:v>Broad muscular insertion (no distinct long tendon)</x:v>
      </x:c>
      <x:c r="M31" s="24" t="str">
        <x:v>Distal radioulnar ligaments near muscle, not direct tendon attachments</x:v>
      </x:c>
      <x:c r="N31" s="24" t="str">
        <x:v>Not established</x:v>
      </x:c>
      <x:c r="O31" s="24" t="str">
        <x:v>Not established</x:v>
      </x:c>
      <x:c r="P31" s="24" t="str">
        <x:v>Mixed Type I and Type II; ratio unverified</x:v>
      </x:c>
      <x:c r="Q31" s="24" t="str">
        <x:v>Published biopsies insufficient to state a reliable per-muscle percentage; no inference from function</x:v>
      </x:c>
      <x:c r="R31" s="24" t="str">
        <x:v>https://www.kenhub.com/en/library/anatomy/upper-limb-muscles-and-movements</x:v>
      </x:c>
      <x:c r="S31" s="24" t="str">
        <x:v>https://pubmed.ncbi.nlm.nih.gov/39359186/</x:v>
      </x:c>
    </x:row>
    <x:row r="32" ht="46" customHeight="1">
      <x:c r="A32" s="24" t="str">
        <x:v>Flexor digitorum superficialis humeroulnar head</x:v>
      </x:c>
      <x:c r="B32" s="24" t="str">
        <x:v>Anterior intermediate</x:v>
      </x:c>
      <x:c r="C32" s="24" t="str">
        <x:v>Flexor</x:v>
      </x:c>
      <x:c r="D32" s="24" t="str">
        <x:v>Yes</x:v>
      </x:c>
      <x:c r="E32" s="24" t="str">
        <x:v>No</x:v>
      </x:c>
      <x:c r="F32" s="24" t="str">
        <x:v>No</x:v>
      </x:c>
      <x:c r="G32" s="24" t="str">
        <x:v>Flexes PIP joints; assists MCP and wrist flexion</x:v>
      </x:c>
      <x:c r="H32" s="24" t="str">
        <x:v>Medial epicondyle; coronoid process ulna</x:v>
      </x:c>
      <x:c r="I32" s="24" t="str">
        <x:v>Middle phalanges of digits 2-5</x:v>
      </x:c>
      <x:c r="J32" s="24" t="str">
        <x:v>Median nerve</x:v>
      </x:c>
      <x:c r="K32" s="24" t="str">
        <x:v>C7-T1</x:v>
      </x:c>
      <x:c r="L32" s="24" t="str">
        <x:v>Four bifurcating digital flexor tendons</x:v>
      </x:c>
      <x:c r="M32" s="24" t="str">
        <x:v>Flexor retinaculum over tendons; annular pulley ligaments guide them</x:v>
      </x:c>
      <x:c r="N32" s="24" t="str">
        <x:v>Not established</x:v>
      </x:c>
      <x:c r="O32" s="24" t="str">
        <x:v>Not established</x:v>
      </x:c>
      <x:c r="P32" s="24" t="str">
        <x:v>Mixed Type I and Type II; ratio unverified</x:v>
      </x:c>
      <x:c r="Q32" s="24" t="str">
        <x:v>Published biopsies insufficient to state a reliable per-muscle percentage; no inference from function</x:v>
      </x:c>
      <x:c r="R32" s="24" t="str">
        <x:v>https://www.kenhub.com/en/library/anatomy/upper-limb-muscles-and-movements</x:v>
      </x:c>
      <x:c r="S32" s="24" t="str">
        <x:v>https://pubmed.ncbi.nlm.nih.gov/39359186/</x:v>
      </x:c>
    </x:row>
    <x:row r="33" ht="46" customHeight="1">
      <x:c r="A33" s="24" t="str">
        <x:v>Flexor digitorum superficialis radial head</x:v>
      </x:c>
      <x:c r="B33" s="24" t="str">
        <x:v>Anterior intermediate</x:v>
      </x:c>
      <x:c r="C33" s="24" t="str">
        <x:v>Flexor</x:v>
      </x:c>
      <x:c r="D33" s="24" t="str">
        <x:v>Yes</x:v>
      </x:c>
      <x:c r="E33" s="24" t="str">
        <x:v>No</x:v>
      </x:c>
      <x:c r="F33" s="24" t="str">
        <x:v>No</x:v>
      </x:c>
      <x:c r="G33" s="24" t="str">
        <x:v>Flexes PIP joints; MCP/wrist flexion</x:v>
      </x:c>
      <x:c r="H33" s="24" t="str">
        <x:v>Anterior oblique line of radius</x:v>
      </x:c>
      <x:c r="I33" s="24" t="str">
        <x:v>Middle phalanges digits 2-5</x:v>
      </x:c>
      <x:c r="J33" s="24" t="str">
        <x:v>Median nerve</x:v>
      </x:c>
      <x:c r="K33" s="24" t="str">
        <x:v>C7-T1</x:v>
      </x:c>
      <x:c r="L33" s="24" t="str">
        <x:v>Common four digital flexor tendons</x:v>
      </x:c>
      <x:c r="M33" s="24" t="str">
        <x:v>Digital annular pulleys and flexor retinaculum guide tendons</x:v>
      </x:c>
      <x:c r="N33" s="24" t="str">
        <x:v>Not established</x:v>
      </x:c>
      <x:c r="O33" s="24" t="str">
        <x:v>Not established</x:v>
      </x:c>
      <x:c r="P33" s="24" t="str">
        <x:v>Mixed Type I and Type II; ratio unverified</x:v>
      </x:c>
      <x:c r="Q33" s="24" t="str">
        <x:v>Published biopsies insufficient to state a reliable per-muscle percentage; no inference from function</x:v>
      </x:c>
      <x:c r="R33" s="24" t="str">
        <x:v>https://www.kenhub.com/en/library/anatomy/upper-limb-muscles-and-movements</x:v>
      </x:c>
      <x:c r="S33" s="24" t="str">
        <x:v>https://pubmed.ncbi.nlm.nih.gov/39359186/</x:v>
      </x:c>
    </x:row>
    <x:row r="34" ht="46" customHeight="1">
      <x:c r="A34" s="24" t="str">
        <x:v>Flexor carpi radialis</x:v>
      </x:c>
      <x:c r="B34" s="24" t="str">
        <x:v>Anterior superficial</x:v>
      </x:c>
      <x:c r="C34" s="24" t="str">
        <x:v>Flexor</x:v>
      </x:c>
      <x:c r="D34" s="24" t="str">
        <x:v>Yes</x:v>
      </x:c>
      <x:c r="E34" s="24" t="str">
        <x:v>No</x:v>
      </x:c>
      <x:c r="F34" s="24" t="str">
        <x:v>No</x:v>
      </x:c>
      <x:c r="G34" s="24" t="str">
        <x:v>Wrist flexion and radial deviation</x:v>
      </x:c>
      <x:c r="H34" s="24" t="str">
        <x:v>Medial epicondyle via common flexor tendon</x:v>
      </x:c>
      <x:c r="I34" s="24" t="str">
        <x:v>Base of metacarpal 2 (slip to 3)</x:v>
      </x:c>
      <x:c r="J34" s="24" t="str">
        <x:v>Median nerve</x:v>
      </x:c>
      <x:c r="K34" s="24" t="str">
        <x:v>C6-C7</x:v>
      </x:c>
      <x:c r="L34" s="24" t="str">
        <x:v>FCR tendon through own fibro-osseous tunnel</x:v>
      </x:c>
      <x:c r="M34" s="24" t="str">
        <x:v>Flexor retinaculum forms roof of tendon tunnel (retinaculum, not origin)</x:v>
      </x:c>
      <x:c r="N34" s="24" t="str">
        <x:v>Not established</x:v>
      </x:c>
      <x:c r="O34" s="24" t="str">
        <x:v>Not established</x:v>
      </x:c>
      <x:c r="P34" s="24" t="str">
        <x:v>Mixed Type I and Type II; ratio unverified</x:v>
      </x:c>
      <x:c r="Q34" s="24" t="str">
        <x:v>Published biopsies insufficient to state a reliable per-muscle percentage; no inference from function</x:v>
      </x:c>
      <x:c r="R34" s="24" t="str">
        <x:v>https://www.kenhub.com/en/library/anatomy/upper-limb-muscles-and-movements</x:v>
      </x:c>
      <x:c r="S34" s="24" t="str">
        <x:v>https://pubmed.ncbi.nlm.nih.gov/39359186/</x:v>
      </x:c>
    </x:row>
    <x:row r="35" ht="46" customHeight="1">
      <x:c r="A35" s="24" t="str">
        <x:v>Flexor carpi ulnaris humeral head</x:v>
      </x:c>
      <x:c r="B35" s="24" t="str">
        <x:v>Anterior superficial</x:v>
      </x:c>
      <x:c r="C35" s="24" t="str">
        <x:v>Flexor</x:v>
      </x:c>
      <x:c r="D35" s="24" t="str">
        <x:v>Yes</x:v>
      </x:c>
      <x:c r="E35" s="24" t="str">
        <x:v>No</x:v>
      </x:c>
      <x:c r="F35" s="24" t="str">
        <x:v>No</x:v>
      </x:c>
      <x:c r="G35" s="24" t="str">
        <x:v>Wrist flexion and ulnar deviation</x:v>
      </x:c>
      <x:c r="H35" s="24" t="str">
        <x:v>Medial epicondyle</x:v>
      </x:c>
      <x:c r="I35" s="24" t="str">
        <x:v>Pisiform; hook of hamate; base of metacarpal 5</x:v>
      </x:c>
      <x:c r="J35" s="24" t="str">
        <x:v>Ulnar nerve</x:v>
      </x:c>
      <x:c r="K35" s="24" t="str">
        <x:v>C8-T1</x:v>
      </x:c>
      <x:c r="L35" s="24" t="str">
        <x:v>FCU tendon; pisohamate and pisometacarpal fibrous extensions</x:v>
      </x:c>
      <x:c r="M35" s="24" t="str">
        <x:v>Pisohamate and pisometacarpal ligaments function as tendon continuations</x:v>
      </x:c>
      <x:c r="N35" s="24" t="str">
        <x:v>Not established</x:v>
      </x:c>
      <x:c r="O35" s="24" t="str">
        <x:v>Not established</x:v>
      </x:c>
      <x:c r="P35" s="24" t="str">
        <x:v>Mixed Type I and Type II; ratio unverified</x:v>
      </x:c>
      <x:c r="Q35" s="24" t="str">
        <x:v>Published biopsies insufficient to state a reliable per-muscle percentage; no inference from function</x:v>
      </x:c>
      <x:c r="R35" s="24" t="str">
        <x:v>https://www.kenhub.com/en/library/anatomy/upper-limb-muscles-and-movements</x:v>
      </x:c>
      <x:c r="S35" s="24" t="str">
        <x:v>https://pubmed.ncbi.nlm.nih.gov/39359186/</x:v>
      </x:c>
    </x:row>
    <x:row r="36" ht="46" customHeight="1">
      <x:c r="A36" s="24" t="str">
        <x:v>Flexor carpi ulnaris ulnar head</x:v>
      </x:c>
      <x:c r="B36" s="24" t="str">
        <x:v>Anterior superficial</x:v>
      </x:c>
      <x:c r="C36" s="24" t="str">
        <x:v>Flexor</x:v>
      </x:c>
      <x:c r="D36" s="24" t="str">
        <x:v>Yes</x:v>
      </x:c>
      <x:c r="E36" s="24" t="str">
        <x:v>No</x:v>
      </x:c>
      <x:c r="F36" s="24" t="str">
        <x:v>No</x:v>
      </x:c>
      <x:c r="G36" s="24" t="str">
        <x:v>Wrist flexion and ulnar deviation</x:v>
      </x:c>
      <x:c r="H36" s="24" t="str">
        <x:v>Olecranon and posterior border of ulna</x:v>
      </x:c>
      <x:c r="I36" s="24" t="str">
        <x:v>Pisiform; hook of hamate; base of metacarpal 5</x:v>
      </x:c>
      <x:c r="J36" s="24" t="str">
        <x:v>Ulnar nerve</x:v>
      </x:c>
      <x:c r="K36" s="24" t="str">
        <x:v>C8-T1</x:v>
      </x:c>
      <x:c r="L36" s="24" t="str">
        <x:v>FCU tendon via pisiform</x:v>
      </x:c>
      <x:c r="M36" s="24" t="str">
        <x:v>Pisohamate/pisometacarpal ligaments as extensions</x:v>
      </x:c>
      <x:c r="N36" s="24" t="str">
        <x:v>Not established</x:v>
      </x:c>
      <x:c r="O36" s="24" t="str">
        <x:v>Not established</x:v>
      </x:c>
      <x:c r="P36" s="24" t="str">
        <x:v>Mixed Type I and Type II; ratio unverified</x:v>
      </x:c>
      <x:c r="Q36" s="24" t="str">
        <x:v>Published biopsies insufficient to state a reliable per-muscle percentage; no inference from function</x:v>
      </x:c>
      <x:c r="R36" s="24" t="str">
        <x:v>https://www.kenhub.com/en/library/anatomy/upper-limb-muscles-and-movements</x:v>
      </x:c>
      <x:c r="S36" s="24" t="str">
        <x:v>https://pubmed.ncbi.nlm.nih.gov/39359186/</x:v>
      </x:c>
    </x:row>
    <x:row r="37" ht="46" customHeight="1">
      <x:c r="A37" s="24" t="str">
        <x:v>Palmaris longus</x:v>
      </x:c>
      <x:c r="B37" s="24" t="str">
        <x:v>Anterior superficial</x:v>
      </x:c>
      <x:c r="C37" s="24" t="str">
        <x:v>Flexor; Stabilizer</x:v>
      </x:c>
      <x:c r="D37" s="24" t="str">
        <x:v>Yes</x:v>
      </x:c>
      <x:c r="E37" s="24" t="str">
        <x:v>No</x:v>
      </x:c>
      <x:c r="F37" s="24" t="str">
        <x:v>Yes</x:v>
      </x:c>
      <x:c r="G37" s="24" t="str">
        <x:v>Weak wrist flexion; tensions palmar aponeurosis</x:v>
      </x:c>
      <x:c r="H37" s="24" t="str">
        <x:v>Medial epicondyle via common flexor tendon</x:v>
      </x:c>
      <x:c r="I37" s="24" t="str">
        <x:v>Palmar aponeurosis and flexor retinaculum</x:v>
      </x:c>
      <x:c r="J37" s="24" t="str">
        <x:v>Median nerve</x:v>
      </x:c>
      <x:c r="K37" s="24" t="str">
        <x:v>C7-C8</x:v>
      </x:c>
      <x:c r="L37" s="24" t="str">
        <x:v>Long palmaris longus tendon; palmar aponeurosis</x:v>
      </x:c>
      <x:c r="M37" s="24" t="str">
        <x:v>Flexor retinaculum direct distal attachment</x:v>
      </x:c>
      <x:c r="N37" s="24" t="str">
        <x:v>Not established</x:v>
      </x:c>
      <x:c r="O37" s="24" t="str">
        <x:v>Not established</x:v>
      </x:c>
      <x:c r="P37" s="24" t="str">
        <x:v>Mixed Type I and Type II; ratio unverified</x:v>
      </x:c>
      <x:c r="Q37" s="24" t="str">
        <x:v>Published biopsies insufficient to state a reliable per-muscle percentage; no inference from function</x:v>
      </x:c>
      <x:c r="R37" s="24" t="str">
        <x:v>https://www.kenhub.com/en/library/anatomy/upper-limb-muscles-and-movements</x:v>
      </x:c>
      <x:c r="S37" s="24" t="str">
        <x:v>https://pubmed.ncbi.nlm.nih.gov/39359186/</x:v>
      </x:c>
    </x:row>
    <x:row r="38" ht="46" customHeight="1">
      <x:c r="A38" s="24" t="str">
        <x:v>Pronator teres humeral head</x:v>
      </x:c>
      <x:c r="B38" s="24" t="str">
        <x:v>Anterior superficial</x:v>
      </x:c>
      <x:c r="C38" s="24" t="str">
        <x:v>Flexor</x:v>
      </x:c>
      <x:c r="D38" s="24" t="str">
        <x:v>Yes</x:v>
      </x:c>
      <x:c r="E38" s="24" t="str">
        <x:v>No</x:v>
      </x:c>
      <x:c r="F38" s="24" t="str">
        <x:v>No</x:v>
      </x:c>
      <x:c r="G38" s="24" t="str">
        <x:v>Forearm pronation; weak elbow flexion</x:v>
      </x:c>
      <x:c r="H38" s="24" t="str">
        <x:v>Medial epicondyle via common flexor origin</x:v>
      </x:c>
      <x:c r="I38" s="24" t="str">
        <x:v>Lateral midshaft of radius</x:v>
      </x:c>
      <x:c r="J38" s="24" t="str">
        <x:v>Median nerve</x:v>
      </x:c>
      <x:c r="K38" s="24" t="str">
        <x:v>C6-C7</x:v>
      </x:c>
      <x:c r="L38" s="24" t="str">
        <x:v>Common flexor tendon</x:v>
      </x:c>
      <x:c r="M38" s="24" t="str">
        <x:v>Ulnar collateral ligament elbow adjacent</x:v>
      </x:c>
      <x:c r="N38" s="24" t="str">
        <x:v>Not established</x:v>
      </x:c>
      <x:c r="O38" s="24" t="str">
        <x:v>Not established</x:v>
      </x:c>
      <x:c r="P38" s="24" t="str">
        <x:v>Mixed Type I and Type II; ratio unverified</x:v>
      </x:c>
      <x:c r="Q38" s="24" t="str">
        <x:v>Published biopsies insufficient to state a reliable per-muscle percentage; no inference from function</x:v>
      </x:c>
      <x:c r="R38" s="24" t="str">
        <x:v>https://www.kenhub.com/en/library/anatomy/upper-limb-muscles-and-movements</x:v>
      </x:c>
      <x:c r="S38" s="24" t="str">
        <x:v>https://pubmed.ncbi.nlm.nih.gov/39359186/</x:v>
      </x:c>
    </x:row>
    <x:row r="39" ht="46" customHeight="1">
      <x:c r="A39" s="24" t="str">
        <x:v>Pronator teres ulnar head</x:v>
      </x:c>
      <x:c r="B39" s="24" t="str">
        <x:v>Anterior superficial</x:v>
      </x:c>
      <x:c r="C39" s="24" t="str">
        <x:v>Flexor</x:v>
      </x:c>
      <x:c r="D39" s="24" t="str">
        <x:v>Yes</x:v>
      </x:c>
      <x:c r="E39" s="24" t="str">
        <x:v>No</x:v>
      </x:c>
      <x:c r="F39" s="24" t="str">
        <x:v>No</x:v>
      </x:c>
      <x:c r="G39" s="24" t="str">
        <x:v>Pronation; assists elbow flexion</x:v>
      </x:c>
      <x:c r="H39" s="24" t="str">
        <x:v>Coronoid process of ulna</x:v>
      </x:c>
      <x:c r="I39" s="24" t="str">
        <x:v>Lateral midshaft of radius</x:v>
      </x:c>
      <x:c r="J39" s="24" t="str">
        <x:v>Median nerve</x:v>
      </x:c>
      <x:c r="K39" s="24" t="str">
        <x:v>C6-C7</x:v>
      </x:c>
      <x:c r="L39" s="24" t="str">
        <x:v>Short insertion tendon</x:v>
      </x:c>
      <x:c r="M39" s="24" t="str">
        <x:v>Ulnar collateral ligament of elbow nearby</x:v>
      </x:c>
      <x:c r="N39" s="24" t="str">
        <x:v>Not established</x:v>
      </x:c>
      <x:c r="O39" s="24" t="str">
        <x:v>Not established</x:v>
      </x:c>
      <x:c r="P39" s="24" t="str">
        <x:v>Mixed Type I and Type II; ratio unverified</x:v>
      </x:c>
      <x:c r="Q39" s="24" t="str">
        <x:v>Published biopsies insufficient to state a reliable per-muscle percentage; no inference from function</x:v>
      </x:c>
      <x:c r="R39" s="24" t="str">
        <x:v>https://www.kenhub.com/en/library/anatomy/upper-limb-muscles-and-movements</x:v>
      </x:c>
      <x:c r="S39" s="24" t="str">
        <x:v>https://pubmed.ncbi.nlm.nih.gov/39359186/</x:v>
      </x:c>
    </x:row>
    <x:row r="40" ht="46" customHeight="1">
      <x:c r="A40" s="24" t="str">
        <x:v>Brachioradialis</x:v>
      </x:c>
      <x:c r="B40" s="24" t="str">
        <x:v>Lateral forearm</x:v>
      </x:c>
      <x:c r="C40" s="24" t="str">
        <x:v>Flexor</x:v>
      </x:c>
      <x:c r="D40" s="24" t="str">
        <x:v>Yes</x:v>
      </x:c>
      <x:c r="E40" s="24" t="str">
        <x:v>No</x:v>
      </x:c>
      <x:c r="F40" s="24" t="str">
        <x:v>No</x:v>
      </x:c>
      <x:c r="G40" s="24" t="str">
        <x:v>Elbow flexion strongest at mid-pronation</x:v>
      </x:c>
      <x:c r="H40" s="24" t="str">
        <x:v>Proximal 2/3 lateral supracondylar ridge humerus</x:v>
      </x:c>
      <x:c r="I40" s="24" t="str">
        <x:v>Lateral distal radius proximal to styloid</x:v>
      </x:c>
      <x:c r="J40" s="24" t="str">
        <x:v>Radial nerve</x:v>
      </x:c>
      <x:c r="K40" s="24" t="str">
        <x:v>C5-C7</x:v>
      </x:c>
      <x:c r="L40" s="24" t="str">
        <x:v>Distal brachioradialis tendon</x:v>
      </x:c>
      <x:c r="M40" s="24" t="str">
        <x:v>Radial collateral elbow ligament near origin</x:v>
      </x:c>
      <x:c r="N40" s="24" t="str">
        <x:v>Not established</x:v>
      </x:c>
      <x:c r="O40" s="24" t="str">
        <x:v>Not established</x:v>
      </x:c>
      <x:c r="P40" s="24" t="str">
        <x:v>Mixed Type I and Type II; ratio unverified</x:v>
      </x:c>
      <x:c r="Q40" s="24" t="str">
        <x:v>Published biopsies insufficient to state a reliable per-muscle percentage; no inference from function</x:v>
      </x:c>
      <x:c r="R40" s="24" t="str">
        <x:v>https://www.kenhub.com/en/library/anatomy/upper-limb-muscles-and-movements</x:v>
      </x:c>
      <x:c r="S40" s="24" t="str">
        <x:v>https://pubmed.ncbi.nlm.nih.gov/39359186/</x:v>
      </x:c>
    </x:row>
    <x:row r="41" ht="46" customHeight="1">
      <x:c r="A41" s="24" t="str">
        <x:v>Abductor pollicis longus</x:v>
      </x:c>
      <x:c r="B41" s="24" t="str">
        <x:v>Posterior deep</x:v>
      </x:c>
      <x:c r="C41" s="24" t="str">
        <x:v>Extensor; Stabilizer</x:v>
      </x:c>
      <x:c r="D41" s="24" t="str">
        <x:v>No</x:v>
      </x:c>
      <x:c r="E41" s="24" t="str">
        <x:v>Yes</x:v>
      </x:c>
      <x:c r="F41" s="24" t="str">
        <x:v>Yes</x:v>
      </x:c>
      <x:c r="G41" s="24" t="str">
        <x:v>Abducts/extends thumb CMC; stabilizes thumb</x:v>
      </x:c>
      <x:c r="H41" s="24" t="str">
        <x:v>Posterior radius and ulna; interosseous membrane</x:v>
      </x:c>
      <x:c r="I41" s="24" t="str">
        <x:v>Lateral base metacarpal 1</x:v>
      </x:c>
      <x:c r="J41" s="24" t="str">
        <x:v>Posterior interosseous nerve</x:v>
      </x:c>
      <x:c r="K41" s="24" t="str">
        <x:v>C7-C8</x:v>
      </x:c>
      <x:c r="L41" s="24" t="str">
        <x:v>APL tendon(s), first dorsal compartment</x:v>
      </x:c>
      <x:c r="M41" s="24" t="str">
        <x:v>Extensor retinaculum restrains tendon</x:v>
      </x:c>
      <x:c r="N41" s="24" t="str">
        <x:v>Not established</x:v>
      </x:c>
      <x:c r="O41" s="24" t="str">
        <x:v>Not established</x:v>
      </x:c>
      <x:c r="P41" s="24" t="str">
        <x:v>Mixed Type I and Type II; ratio unverified</x:v>
      </x:c>
      <x:c r="Q41" s="24" t="str">
        <x:v>Published biopsies insufficient to state a reliable per-muscle percentage; no inference from function</x:v>
      </x:c>
      <x:c r="R41" s="24" t="str">
        <x:v>https://www.kenhub.com/en/library/anatomy/upper-limb-muscles-and-movements</x:v>
      </x:c>
      <x:c r="S41" s="24" t="str">
        <x:v>https://pubmed.ncbi.nlm.nih.gov/39359186/</x:v>
      </x:c>
    </x:row>
    <x:row r="42" ht="46" customHeight="1">
      <x:c r="A42" s="24" t="str">
        <x:v>Extensor indicis</x:v>
      </x:c>
      <x:c r="B42" s="24" t="str">
        <x:v>Posterior deep</x:v>
      </x:c>
      <x:c r="C42" s="24" t="str">
        <x:v>Extensor</x:v>
      </x:c>
      <x:c r="D42" s="24" t="str">
        <x:v>No</x:v>
      </x:c>
      <x:c r="E42" s="24" t="str">
        <x:v>Yes</x:v>
      </x:c>
      <x:c r="F42" s="24" t="str">
        <x:v>No</x:v>
      </x:c>
      <x:c r="G42" s="24" t="str">
        <x:v>Independent index extension</x:v>
      </x:c>
      <x:c r="H42" s="24" t="str">
        <x:v>Posterior distal ulna; interosseous membrane</x:v>
      </x:c>
      <x:c r="I42" s="24" t="str">
        <x:v>Extensor expansion index finger</x:v>
      </x:c>
      <x:c r="J42" s="24" t="str">
        <x:v>Posterior interosseous nerve</x:v>
      </x:c>
      <x:c r="K42" s="24" t="str">
        <x:v>C7-C8</x:v>
      </x:c>
      <x:c r="L42" s="24" t="str">
        <x:v>EI tendon, fourth dorsal compartment</x:v>
      </x:c>
      <x:c r="M42" s="24" t="str">
        <x:v>Extensor retinaculum and sagittal band</x:v>
      </x:c>
      <x:c r="N42" s="24" t="str">
        <x:v>Not established</x:v>
      </x:c>
      <x:c r="O42" s="24" t="str">
        <x:v>Not established</x:v>
      </x:c>
      <x:c r="P42" s="24" t="str">
        <x:v>Mixed Type I and Type II; ratio unverified</x:v>
      </x:c>
      <x:c r="Q42" s="24" t="str">
        <x:v>Published biopsies insufficient to state a reliable per-muscle percentage; no inference from function</x:v>
      </x:c>
      <x:c r="R42" s="24" t="str">
        <x:v>https://www.kenhub.com/en/library/anatomy/upper-limb-muscles-and-movements</x:v>
      </x:c>
      <x:c r="S42" s="24" t="str">
        <x:v>https://pubmed.ncbi.nlm.nih.gov/39359186/</x:v>
      </x:c>
    </x:row>
    <x:row r="43" ht="46" customHeight="1">
      <x:c r="A43" s="24" t="str">
        <x:v>Extensor pollicis brevis</x:v>
      </x:c>
      <x:c r="B43" s="24" t="str">
        <x:v>Posterior deep</x:v>
      </x:c>
      <x:c r="C43" s="24" t="str">
        <x:v>Extensor</x:v>
      </x:c>
      <x:c r="D43" s="24" t="str">
        <x:v>No</x:v>
      </x:c>
      <x:c r="E43" s="24" t="str">
        <x:v>Yes</x:v>
      </x:c>
      <x:c r="F43" s="24" t="str">
        <x:v>No</x:v>
      </x:c>
      <x:c r="G43" s="24" t="str">
        <x:v>Extends thumb MCP and CMC</x:v>
      </x:c>
      <x:c r="H43" s="24" t="str">
        <x:v>Posterior distal radius; interosseous membrane</x:v>
      </x:c>
      <x:c r="I43" s="24" t="str">
        <x:v>Dorsal base proximal phalanx thumb</x:v>
      </x:c>
      <x:c r="J43" s="24" t="str">
        <x:v>Posterior interosseous nerve</x:v>
      </x:c>
      <x:c r="K43" s="24" t="str">
        <x:v>C7-C8</x:v>
      </x:c>
      <x:c r="L43" s="24" t="str">
        <x:v>EPB tendon, first dorsal compartment</x:v>
      </x:c>
      <x:c r="M43" s="24" t="str">
        <x:v>Extensor retinaculum restrains tendon</x:v>
      </x:c>
      <x:c r="N43" s="24" t="str">
        <x:v>Not established</x:v>
      </x:c>
      <x:c r="O43" s="24" t="str">
        <x:v>Not established</x:v>
      </x:c>
      <x:c r="P43" s="24" t="str">
        <x:v>Mixed Type I and Type II; ratio unverified</x:v>
      </x:c>
      <x:c r="Q43" s="24" t="str">
        <x:v>Published biopsies insufficient to state a reliable per-muscle percentage; no inference from function</x:v>
      </x:c>
      <x:c r="R43" s="24" t="str">
        <x:v>https://www.kenhub.com/en/library/anatomy/upper-limb-muscles-and-movements</x:v>
      </x:c>
      <x:c r="S43" s="24" t="str">
        <x:v>https://pubmed.ncbi.nlm.nih.gov/39359186/</x:v>
      </x:c>
    </x:row>
    <x:row r="44" ht="46" customHeight="1">
      <x:c r="A44" s="24" t="str">
        <x:v>Extensor pollicis longus</x:v>
      </x:c>
      <x:c r="B44" s="24" t="str">
        <x:v>Posterior deep</x:v>
      </x:c>
      <x:c r="C44" s="24" t="str">
        <x:v>Extensor</x:v>
      </x:c>
      <x:c r="D44" s="24" t="str">
        <x:v>No</x:v>
      </x:c>
      <x:c r="E44" s="24" t="str">
        <x:v>Yes</x:v>
      </x:c>
      <x:c r="F44" s="24" t="str">
        <x:v>No</x:v>
      </x:c>
      <x:c r="G44" s="24" t="str">
        <x:v>Extends thumb IP; assists MCP/CMC extension</x:v>
      </x:c>
      <x:c r="H44" s="24" t="str">
        <x:v>Posterior middle ulna; interosseous membrane</x:v>
      </x:c>
      <x:c r="I44" s="24" t="str">
        <x:v>Dorsal base distal phalanx thumb</x:v>
      </x:c>
      <x:c r="J44" s="24" t="str">
        <x:v>Posterior interosseous nerve</x:v>
      </x:c>
      <x:c r="K44" s="24" t="str">
        <x:v>C7-C8</x:v>
      </x:c>
      <x:c r="L44" s="24" t="str">
        <x:v>EPL tendon, third dorsal compartment</x:v>
      </x:c>
      <x:c r="M44" s="24" t="str">
        <x:v>Extensor retinaculum and Lister tubercle redirect tendon</x:v>
      </x:c>
      <x:c r="N44" s="24" t="str">
        <x:v>Not established</x:v>
      </x:c>
      <x:c r="O44" s="24" t="str">
        <x:v>Not established</x:v>
      </x:c>
      <x:c r="P44" s="24" t="str">
        <x:v>Mixed Type I and Type II; ratio unverified</x:v>
      </x:c>
      <x:c r="Q44" s="24" t="str">
        <x:v>Published biopsies insufficient to state a reliable per-muscle percentage; no inference from function</x:v>
      </x:c>
      <x:c r="R44" s="24" t="str">
        <x:v>https://www.kenhub.com/en/library/anatomy/upper-limb-muscles-and-movements</x:v>
      </x:c>
      <x:c r="S44" s="24" t="str">
        <x:v>https://pubmed.ncbi.nlm.nih.gov/39359186/</x:v>
      </x:c>
    </x:row>
    <x:row r="45" ht="46" customHeight="1">
      <x:c r="A45" s="24" t="str">
        <x:v>Supinator deep layer</x:v>
      </x:c>
      <x:c r="B45" s="24" t="str">
        <x:v>Posterior deep</x:v>
      </x:c>
      <x:c r="C45" s="24" t="str">
        <x:v>Stabilizer</x:v>
      </x:c>
      <x:c r="D45" s="24" t="str">
        <x:v>No</x:v>
      </x:c>
      <x:c r="E45" s="24" t="str">
        <x:v>No</x:v>
      </x:c>
      <x:c r="F45" s="24" t="str">
        <x:v>Yes</x:v>
      </x:c>
      <x:c r="G45" s="24" t="str">
        <x:v>Supination; proximal radioulnar stabilization</x:v>
      </x:c>
      <x:c r="H45" s="24" t="str">
        <x:v>Supinator crest and fossa of ulna</x:v>
      </x:c>
      <x:c r="I45" s="24" t="str">
        <x:v>Proximal third radius</x:v>
      </x:c>
      <x:c r="J45" s="24" t="str">
        <x:v>Deep branch of radial nerve</x:v>
      </x:c>
      <x:c r="K45" s="24" t="str">
        <x:v>C6-C7</x:v>
      </x:c>
      <x:c r="L45" s="24" t="str">
        <x:v>Broad muscular insertion</x:v>
      </x:c>
      <x:c r="M45" s="24" t="str">
        <x:v>Annular ligament nearby/direct proximal fascial fibers</x:v>
      </x:c>
      <x:c r="N45" s="24" t="str">
        <x:v>Not established</x:v>
      </x:c>
      <x:c r="O45" s="24" t="str">
        <x:v>Not established</x:v>
      </x:c>
      <x:c r="P45" s="24" t="str">
        <x:v>Mixed Type I and Type II; ratio unverified</x:v>
      </x:c>
      <x:c r="Q45" s="24" t="str">
        <x:v>Published biopsies insufficient to state a reliable per-muscle percentage; no inference from function</x:v>
      </x:c>
      <x:c r="R45" s="24" t="str">
        <x:v>https://www.kenhub.com/en/library/anatomy/upper-limb-muscles-and-movements</x:v>
      </x:c>
      <x:c r="S45" s="24" t="str">
        <x:v>https://pubmed.ncbi.nlm.nih.gov/39359186/</x:v>
      </x:c>
    </x:row>
    <x:row r="46" ht="46" customHeight="1">
      <x:c r="A46" s="24" t="str">
        <x:v>Supinator superficial layer</x:v>
      </x:c>
      <x:c r="B46" s="24" t="str">
        <x:v>Posterior deep</x:v>
      </x:c>
      <x:c r="C46" s="24" t="str">
        <x:v>Stabilizer</x:v>
      </x:c>
      <x:c r="D46" s="24" t="str">
        <x:v>No</x:v>
      </x:c>
      <x:c r="E46" s="24" t="str">
        <x:v>No</x:v>
      </x:c>
      <x:c r="F46" s="24" t="str">
        <x:v>Yes</x:v>
      </x:c>
      <x:c r="G46" s="24" t="str">
        <x:v>Supinates forearm</x:v>
      </x:c>
      <x:c r="H46" s="24" t="str">
        <x:v>Lateral epicondyle; radial collateral and annular ligaments; supinator crest ulna</x:v>
      </x:c>
      <x:c r="I46" s="24" t="str">
        <x:v>Proximal third radius</x:v>
      </x:c>
      <x:c r="J46" s="24" t="str">
        <x:v>Deep branch of radial nerve</x:v>
      </x:c>
      <x:c r="K46" s="24" t="str">
        <x:v>C6-C7</x:v>
      </x:c>
      <x:c r="L46" s="24" t="str">
        <x:v>Aponeurotic attachment</x:v>
      </x:c>
      <x:c r="M46" s="24" t="str">
        <x:v>Annular and radial collateral ligaments direct origins</x:v>
      </x:c>
      <x:c r="N46" s="24" t="str">
        <x:v>Not established</x:v>
      </x:c>
      <x:c r="O46" s="24" t="str">
        <x:v>Not established</x:v>
      </x:c>
      <x:c r="P46" s="24" t="str">
        <x:v>Mixed Type I and Type II; ratio unverified</x:v>
      </x:c>
      <x:c r="Q46" s="24" t="str">
        <x:v>Published biopsies insufficient to state a reliable per-muscle percentage; no inference from function</x:v>
      </x:c>
      <x:c r="R46" s="24" t="str">
        <x:v>https://www.kenhub.com/en/library/anatomy/upper-limb-muscles-and-movements</x:v>
      </x:c>
      <x:c r="S46" s="24" t="str">
        <x:v>https://pubmed.ncbi.nlm.nih.gov/39359186/</x:v>
      </x:c>
    </x:row>
    <x:row r="47" ht="46" customHeight="1">
      <x:c r="A47" s="24" t="str">
        <x:v>Extensor carpi ulnaris</x:v>
      </x:c>
      <x:c r="B47" s="24" t="str">
        <x:v>Posterior superficial</x:v>
      </x:c>
      <x:c r="C47" s="24" t="str">
        <x:v>Extensor; Stabilizer</x:v>
      </x:c>
      <x:c r="D47" s="24" t="str">
        <x:v>No</x:v>
      </x:c>
      <x:c r="E47" s="24" t="str">
        <x:v>Yes</x:v>
      </x:c>
      <x:c r="F47" s="24" t="str">
        <x:v>Yes</x:v>
      </x:c>
      <x:c r="G47" s="24" t="str">
        <x:v>Wrist extension and ulnar deviation</x:v>
      </x:c>
      <x:c r="H47" s="24" t="str">
        <x:v>Lateral epicondyle; posterior ulna</x:v>
      </x:c>
      <x:c r="I47" s="24" t="str">
        <x:v>Dorsal base metacarpal 5</x:v>
      </x:c>
      <x:c r="J47" s="24" t="str">
        <x:v>Posterior interosseous nerve</x:v>
      </x:c>
      <x:c r="K47" s="24" t="str">
        <x:v>C7-C8</x:v>
      </x:c>
      <x:c r="L47" s="24" t="str">
        <x:v>ECU tendon, sixth dorsal compartment</x:v>
      </x:c>
      <x:c r="M47" s="24" t="str">
        <x:v>Extensor retinaculum and ECU subsheath restrain tendon</x:v>
      </x:c>
      <x:c r="N47" s="24" t="str">
        <x:v>Not established</x:v>
      </x:c>
      <x:c r="O47" s="24" t="str">
        <x:v>Not established</x:v>
      </x:c>
      <x:c r="P47" s="24" t="str">
        <x:v>Mixed Type I and Type II; ratio unverified</x:v>
      </x:c>
      <x:c r="Q47" s="24" t="str">
        <x:v>Published biopsies insufficient to state a reliable per-muscle percentage; no inference from function</x:v>
      </x:c>
      <x:c r="R47" s="24" t="str">
        <x:v>https://www.kenhub.com/en/library/anatomy/upper-limb-muscles-and-movements</x:v>
      </x:c>
      <x:c r="S47" s="24" t="str">
        <x:v>https://pubmed.ncbi.nlm.nih.gov/39359186/</x:v>
      </x:c>
    </x:row>
    <x:row r="48" ht="46" customHeight="1">
      <x:c r="A48" s="24" t="str">
        <x:v>Extensor digiti minimi</x:v>
      </x:c>
      <x:c r="B48" s="24" t="str">
        <x:v>Posterior superficial</x:v>
      </x:c>
      <x:c r="C48" s="24" t="str">
        <x:v>Extensor</x:v>
      </x:c>
      <x:c r="D48" s="24" t="str">
        <x:v>No</x:v>
      </x:c>
      <x:c r="E48" s="24" t="str">
        <x:v>Yes</x:v>
      </x:c>
      <x:c r="F48" s="24" t="str">
        <x:v>No</x:v>
      </x:c>
      <x:c r="G48" s="24" t="str">
        <x:v>Extends little finger; assists wrist extension</x:v>
      </x:c>
      <x:c r="H48" s="24" t="str">
        <x:v>Lateral epicondyle via common extensor tendon</x:v>
      </x:c>
      <x:c r="I48" s="24" t="str">
        <x:v>Extensor expansion digit 5</x:v>
      </x:c>
      <x:c r="J48" s="24" t="str">
        <x:v>Posterior interosseous nerve</x:v>
      </x:c>
      <x:c r="K48" s="24" t="str">
        <x:v>C7-C8</x:v>
      </x:c>
      <x:c r="L48" s="24" t="str">
        <x:v>EDM tendon, fifth dorsal compartment</x:v>
      </x:c>
      <x:c r="M48" s="24" t="str">
        <x:v>Extensor retinaculum; extensor hood bands</x:v>
      </x:c>
      <x:c r="N48" s="24" t="str">
        <x:v>Not established</x:v>
      </x:c>
      <x:c r="O48" s="24" t="str">
        <x:v>Not established</x:v>
      </x:c>
      <x:c r="P48" s="24" t="str">
        <x:v>Mixed Type I and Type II; ratio unverified</x:v>
      </x:c>
      <x:c r="Q48" s="24" t="str">
        <x:v>Published biopsies insufficient to state a reliable per-muscle percentage; no inference from function</x:v>
      </x:c>
      <x:c r="R48" s="24" t="str">
        <x:v>https://www.kenhub.com/en/library/anatomy/upper-limb-muscles-and-movements</x:v>
      </x:c>
      <x:c r="S48" s="24" t="str">
        <x:v>https://pubmed.ncbi.nlm.nih.gov/39359186/</x:v>
      </x:c>
    </x:row>
    <x:row r="49" ht="46" customHeight="1">
      <x:c r="A49" s="24" t="str">
        <x:v>Extensor digitorum</x:v>
      </x:c>
      <x:c r="B49" s="24" t="str">
        <x:v>Posterior superficial</x:v>
      </x:c>
      <x:c r="C49" s="24" t="str">
        <x:v>Extensor</x:v>
      </x:c>
      <x:c r="D49" s="24" t="str">
        <x:v>No</x:v>
      </x:c>
      <x:c r="E49" s="24" t="str">
        <x:v>Yes</x:v>
      </x:c>
      <x:c r="F49" s="24" t="str">
        <x:v>No</x:v>
      </x:c>
      <x:c r="G49" s="24" t="str">
        <x:v>Extends MCP and assists IP/wrist extension</x:v>
      </x:c>
      <x:c r="H49" s="24" t="str">
        <x:v>Lateral epicondyle via common extensor tendon</x:v>
      </x:c>
      <x:c r="I49" s="24" t="str">
        <x:v>Extensor expansions of digits 2-5</x:v>
      </x:c>
      <x:c r="J49" s="24" t="str">
        <x:v>Posterior interosseous nerve (radial)</x:v>
      </x:c>
      <x:c r="K49" s="24" t="str">
        <x:v>C7-C8</x:v>
      </x:c>
      <x:c r="L49" s="24" t="str">
        <x:v>Four extensor digitorum tendons with juncturae tendinum</x:v>
      </x:c>
      <x:c r="M49" s="24" t="str">
        <x:v>Extensor retinaculum; sagittal bands of extensor hood</x:v>
      </x:c>
      <x:c r="N49" s="24" t="str">
        <x:v>Not established</x:v>
      </x:c>
      <x:c r="O49" s="24" t="str">
        <x:v>Not established</x:v>
      </x:c>
      <x:c r="P49" s="24" t="str">
        <x:v>Mixed Type I and Type II; ratio unverified</x:v>
      </x:c>
      <x:c r="Q49" s="24" t="str">
        <x:v>Published biopsies insufficient to state a reliable per-muscle percentage; no inference from function</x:v>
      </x:c>
      <x:c r="R49" s="24" t="str">
        <x:v>https://www.kenhub.com/en/library/anatomy/upper-limb-muscles-and-movements</x:v>
      </x:c>
      <x:c r="S49" s="24" t="str">
        <x:v>https://pubmed.ncbi.nlm.nih.gov/39359186/</x:v>
      </x:c>
    </x:row>
    <x:row r="50" ht="46" customHeight="1">
      <x:c r="A50" s="24" t="str">
        <x:v>Extensor carpi radialis brevis</x:v>
      </x:c>
      <x:c r="B50" s="24" t="str">
        <x:v>Posterolateral superficial</x:v>
      </x:c>
      <x:c r="C50" s="24" t="str">
        <x:v>Extensor; Stabilizer</x:v>
      </x:c>
      <x:c r="D50" s="24" t="str">
        <x:v>No</x:v>
      </x:c>
      <x:c r="E50" s="24" t="str">
        <x:v>Yes</x:v>
      </x:c>
      <x:c r="F50" s="24" t="str">
        <x:v>Yes</x:v>
      </x:c>
      <x:c r="G50" s="24" t="str">
        <x:v>Wrist extension and radial deviation</x:v>
      </x:c>
      <x:c r="H50" s="24" t="str">
        <x:v>Lateral epicondyle via common extensor tendon</x:v>
      </x:c>
      <x:c r="I50" s="24" t="str">
        <x:v>Dorsal base metacarpal 3</x:v>
      </x:c>
      <x:c r="J50" s="24" t="str">
        <x:v>Deep branch of radial nerve</x:v>
      </x:c>
      <x:c r="K50" s="24" t="str">
        <x:v>C7-C8</x:v>
      </x:c>
      <x:c r="L50" s="24" t="str">
        <x:v>ECRB tendon, second dorsal compartment</x:v>
      </x:c>
      <x:c r="M50" s="24" t="str">
        <x:v>Radial collateral ligament often blends near proximal attachment; extensor retinaculum</x:v>
      </x:c>
      <x:c r="N50" s="24" t="str">
        <x:v>Not established</x:v>
      </x:c>
      <x:c r="O50" s="24" t="str">
        <x:v>Not established</x:v>
      </x:c>
      <x:c r="P50" s="24" t="str">
        <x:v>Mixed Type I and Type II; ratio unverified</x:v>
      </x:c>
      <x:c r="Q50" s="24" t="str">
        <x:v>Published biopsies insufficient to state a reliable per-muscle percentage; no inference from function</x:v>
      </x:c>
      <x:c r="R50" s="24" t="str">
        <x:v>https://www.kenhub.com/en/library/anatomy/upper-limb-muscles-and-movements</x:v>
      </x:c>
      <x:c r="S50" s="24" t="str">
        <x:v>https://pubmed.ncbi.nlm.nih.gov/39359186/</x:v>
      </x:c>
    </x:row>
    <x:row r="51" ht="46" customHeight="1">
      <x:c r="A51" s="24" t="str">
        <x:v>Extensor carpi radialis longus</x:v>
      </x:c>
      <x:c r="B51" s="24" t="str">
        <x:v>Posterolateral superficial</x:v>
      </x:c>
      <x:c r="C51" s="24" t="str">
        <x:v>Extensor; Stabilizer</x:v>
      </x:c>
      <x:c r="D51" s="24" t="str">
        <x:v>No</x:v>
      </x:c>
      <x:c r="E51" s="24" t="str">
        <x:v>Yes</x:v>
      </x:c>
      <x:c r="F51" s="24" t="str">
        <x:v>Yes</x:v>
      </x:c>
      <x:c r="G51" s="24" t="str">
        <x:v>Wrist extension and radial deviation</x:v>
      </x:c>
      <x:c r="H51" s="24" t="str">
        <x:v>Distal lateral supracondylar ridge humerus</x:v>
      </x:c>
      <x:c r="I51" s="24" t="str">
        <x:v>Dorsal base metacarpal 2</x:v>
      </x:c>
      <x:c r="J51" s="24" t="str">
        <x:v>Radial nerve</x:v>
      </x:c>
      <x:c r="K51" s="24" t="str">
        <x:v>C6-C7</x:v>
      </x:c>
      <x:c r="L51" s="24" t="str">
        <x:v>ECRL tendon, second dorsal extensor compartment</x:v>
      </x:c>
      <x:c r="M51" s="24" t="str">
        <x:v>Extensor retinaculum holds tendon at wrist</x:v>
      </x:c>
      <x:c r="N51" s="24" t="str">
        <x:v>Not established</x:v>
      </x:c>
      <x:c r="O51" s="24" t="str">
        <x:v>Not established</x:v>
      </x:c>
      <x:c r="P51" s="24" t="str">
        <x:v>Mixed Type I and Type II; ratio unverified</x:v>
      </x:c>
      <x:c r="Q51" s="24" t="str">
        <x:v>Published biopsies insufficient to state a reliable per-muscle percentage; no inference from function</x:v>
      </x:c>
      <x:c r="R51" s="24" t="str">
        <x:v>https://www.kenhub.com/en/library/anatomy/upper-limb-muscles-and-movements</x:v>
      </x:c>
      <x:c r="S51" s="24" t="str">
        <x:v>https://pubmed.ncbi.nlm.nih.gov/39359186/</x:v>
      </x:c>
    </x:row>
    <x:row r="52" ht="46" customHeight="1">
      <x:c r="A52" s="24" t="str">
        <x:v>Adductor pollicis oblique head</x:v>
      </x:c>
      <x:c r="B52" s="24" t="str">
        <x:v>Adductor compartment</x:v>
      </x:c>
      <x:c r="C52" s="24" t="str">
        <x:v>Stabilizer</x:v>
      </x:c>
      <x:c r="D52" s="24" t="str">
        <x:v>No</x:v>
      </x:c>
      <x:c r="E52" s="24" t="str">
        <x:v>No</x:v>
      </x:c>
      <x:c r="F52" s="24" t="str">
        <x:v>Yes</x:v>
      </x:c>
      <x:c r="G52" s="24" t="str">
        <x:v>Adducts thumb; strengthens pinch</x:v>
      </x:c>
      <x:c r="H52" s="24" t="str">
        <x:v>Capitate and bases of metacarpals 2-3</x:v>
      </x:c>
      <x:c r="I52" s="24" t="str">
        <x:v>Medial base proximal thumb phalanx and extensor expansion</x:v>
      </x:c>
      <x:c r="J52" s="24" t="str">
        <x:v>Deep branch ulnar nerve</x:v>
      </x:c>
      <x:c r="K52" s="24" t="str">
        <x:v>C8-T1</x:v>
      </x:c>
      <x:c r="L52" s="24" t="str">
        <x:v>Adductor tendon through ulnar sesamoid</x:v>
      </x:c>
      <x:c r="M52" s="24" t="str">
        <x:v>Deep transverse metacarpal ligament adjacent</x:v>
      </x:c>
      <x:c r="N52" s="24" t="str">
        <x:v>Not established</x:v>
      </x:c>
      <x:c r="O52" s="24" t="str">
        <x:v>Not established</x:v>
      </x:c>
      <x:c r="P52" s="24" t="str">
        <x:v>Mixed Type I and Type II; ratio unverified</x:v>
      </x:c>
      <x:c r="Q52" s="24" t="str">
        <x:v>Published biopsies insufficient to state a reliable per-muscle percentage; no inference from function</x:v>
      </x:c>
      <x:c r="R52" s="24" t="str">
        <x:v>https://www.kenhub.com/en/library/anatomy/upper-limb-muscles-and-movements</x:v>
      </x:c>
      <x:c r="S52" s="24" t="str">
        <x:v>https://pubmed.ncbi.nlm.nih.gov/39359186/</x:v>
      </x:c>
    </x:row>
    <x:row r="53" ht="46" customHeight="1">
      <x:c r="A53" s="24" t="str">
        <x:v>Adductor pollicis transverse head</x:v>
      </x:c>
      <x:c r="B53" s="24" t="str">
        <x:v>Adductor compartment</x:v>
      </x:c>
      <x:c r="C53" s="24" t="str">
        <x:v>Stabilizer</x:v>
      </x:c>
      <x:c r="D53" s="24" t="str">
        <x:v>No</x:v>
      </x:c>
      <x:c r="E53" s="24" t="str">
        <x:v>No</x:v>
      </x:c>
      <x:c r="F53" s="24" t="str">
        <x:v>Yes</x:v>
      </x:c>
      <x:c r="G53" s="24" t="str">
        <x:v>Adducts thumb; pinch grip</x:v>
      </x:c>
      <x:c r="H53" s="24" t="str">
        <x:v>Anterior shaft third metacarpal</x:v>
      </x:c>
      <x:c r="I53" s="24" t="str">
        <x:v>Medial base proximal thumb phalanx</x:v>
      </x:c>
      <x:c r="J53" s="24" t="str">
        <x:v>Deep branch ulnar nerve</x:v>
      </x:c>
      <x:c r="K53" s="24" t="str">
        <x:v>C8-T1</x:v>
      </x:c>
      <x:c r="L53" s="24" t="str">
        <x:v>Common adductor tendon</x:v>
      </x:c>
      <x:c r="M53" s="24" t="str">
        <x:v>Deep transverse metacarpal ligament nearby</x:v>
      </x:c>
      <x:c r="N53" s="24" t="str">
        <x:v>Not established</x:v>
      </x:c>
      <x:c r="O53" s="24" t="str">
        <x:v>Not established</x:v>
      </x:c>
      <x:c r="P53" s="24" t="str">
        <x:v>Mixed Type I and Type II; ratio unverified</x:v>
      </x:c>
      <x:c r="Q53" s="24" t="str">
        <x:v>Published biopsies insufficient to state a reliable per-muscle percentage; no inference from function</x:v>
      </x:c>
      <x:c r="R53" s="24" t="str">
        <x:v>https://www.kenhub.com/en/library/anatomy/upper-limb-muscles-and-movements</x:v>
      </x:c>
      <x:c r="S53" s="24" t="str">
        <x:v>https://pubmed.ncbi.nlm.nih.gov/39359186/</x:v>
      </x:c>
    </x:row>
    <x:row r="54" ht="46" customHeight="1">
      <x:c r="A54" s="24" t="str">
        <x:v>Lumbrical 1 (index)</x:v>
      </x:c>
      <x:c r="B54" s="24" t="str">
        <x:v>Central palm</x:v>
      </x:c>
      <x:c r="C54" s="24" t="str">
        <x:v>Flexor; Extensor</x:v>
      </x:c>
      <x:c r="D54" s="24" t="str">
        <x:v>Yes</x:v>
      </x:c>
      <x:c r="E54" s="24" t="str">
        <x:v>Yes</x:v>
      </x:c>
      <x:c r="F54" s="24" t="str">
        <x:v>No</x:v>
      </x:c>
      <x:c r="G54" s="24" t="str">
        <x:v>Flexes MCP while extending PIP/DIP digit 2</x:v>
      </x:c>
      <x:c r="H54" s="24" t="str">
        <x:v>Radial side FDP tendon to index</x:v>
      </x:c>
      <x:c r="I54" s="24" t="str">
        <x:v>Radial extensor expansion digit 2</x:v>
      </x:c>
      <x:c r="J54" s="24" t="str">
        <x:v>Median nerve</x:v>
      </x:c>
      <x:c r="K54" s="24" t="str">
        <x:v>C8-T1</x:v>
      </x:c>
      <x:c r="L54" s="24" t="str">
        <x:v>FDP tendon origin; extensor hood insertion</x:v>
      </x:c>
      <x:c r="M54" s="24" t="str">
        <x:v>Sagittal band/extensor mechanism at digit</x:v>
      </x:c>
      <x:c r="N54" s="24" t="str">
        <x:v>Not established</x:v>
      </x:c>
      <x:c r="O54" s="24" t="str">
        <x:v>Not established</x:v>
      </x:c>
      <x:c r="P54" s="24" t="str">
        <x:v>Mixed Type I and Type II; ratio unverified</x:v>
      </x:c>
      <x:c r="Q54" s="24" t="str">
        <x:v>Published biopsies insufficient to state a reliable per-muscle percentage; no inference from function</x:v>
      </x:c>
      <x:c r="R54" s="24" t="str">
        <x:v>https://www.kenhub.com/en/library/anatomy/upper-limb-muscles-and-movements</x:v>
      </x:c>
      <x:c r="S54" s="24" t="str">
        <x:v>https://pubmed.ncbi.nlm.nih.gov/39359186/</x:v>
      </x:c>
    </x:row>
    <x:row r="55" ht="46" customHeight="1">
      <x:c r="A55" s="24" t="str">
        <x:v>Lumbrical 2 (middle)</x:v>
      </x:c>
      <x:c r="B55" s="24" t="str">
        <x:v>Central palm</x:v>
      </x:c>
      <x:c r="C55" s="24" t="str">
        <x:v>Flexor; Extensor</x:v>
      </x:c>
      <x:c r="D55" s="24" t="str">
        <x:v>Yes</x:v>
      </x:c>
      <x:c r="E55" s="24" t="str">
        <x:v>Yes</x:v>
      </x:c>
      <x:c r="F55" s="24" t="str">
        <x:v>No</x:v>
      </x:c>
      <x:c r="G55" s="24" t="str">
        <x:v>Flexes MCP while extending IP digits 3</x:v>
      </x:c>
      <x:c r="H55" s="24" t="str">
        <x:v>Radial side FDP tendon to middle</x:v>
      </x:c>
      <x:c r="I55" s="24" t="str">
        <x:v>Radial extensor expansion digit 3</x:v>
      </x:c>
      <x:c r="J55" s="24" t="str">
        <x:v>Median nerve</x:v>
      </x:c>
      <x:c r="K55" s="24" t="str">
        <x:v>C8-T1</x:v>
      </x:c>
      <x:c r="L55" s="24" t="str">
        <x:v>FDP tendon origin; extensor hood insertion</x:v>
      </x:c>
      <x:c r="M55" s="24" t="str">
        <x:v>Extensor hood sagittal band, adjacent</x:v>
      </x:c>
      <x:c r="N55" s="24" t="str">
        <x:v>Not established</x:v>
      </x:c>
      <x:c r="O55" s="24" t="str">
        <x:v>Not established</x:v>
      </x:c>
      <x:c r="P55" s="24" t="str">
        <x:v>Mixed Type I and Type II; ratio unverified</x:v>
      </x:c>
      <x:c r="Q55" s="24" t="str">
        <x:v>Published biopsies insufficient to state a reliable per-muscle percentage; no inference from function</x:v>
      </x:c>
      <x:c r="R55" s="24" t="str">
        <x:v>https://www.kenhub.com/en/library/anatomy/upper-limb-muscles-and-movements</x:v>
      </x:c>
      <x:c r="S55" s="24" t="str">
        <x:v>https://pubmed.ncbi.nlm.nih.gov/39359186/</x:v>
      </x:c>
    </x:row>
    <x:row r="56" ht="46" customHeight="1">
      <x:c r="A56" s="24" t="str">
        <x:v>Lumbrical 3 (ring)</x:v>
      </x:c>
      <x:c r="B56" s="24" t="str">
        <x:v>Central palm</x:v>
      </x:c>
      <x:c r="C56" s="24" t="str">
        <x:v>Flexor; Extensor</x:v>
      </x:c>
      <x:c r="D56" s="24" t="str">
        <x:v>Yes</x:v>
      </x:c>
      <x:c r="E56" s="24" t="str">
        <x:v>Yes</x:v>
      </x:c>
      <x:c r="F56" s="24" t="str">
        <x:v>No</x:v>
      </x:c>
      <x:c r="G56" s="24" t="str">
        <x:v>Flexes MCP while extending IP digit 4</x:v>
      </x:c>
      <x:c r="H56" s="24" t="str">
        <x:v>Adjacent FDP tendons to middle and ring</x:v>
      </x:c>
      <x:c r="I56" s="24" t="str">
        <x:v>Radial extensor expansion digit 4</x:v>
      </x:c>
      <x:c r="J56" s="24" t="str">
        <x:v>Deep branch ulnar nerve</x:v>
      </x:c>
      <x:c r="K56" s="24" t="str">
        <x:v>C8-T1</x:v>
      </x:c>
      <x:c r="L56" s="24" t="str">
        <x:v>FDP tendon origin; extensor expansion insertion</x:v>
      </x:c>
      <x:c r="M56" s="24" t="str">
        <x:v>Extensor mechanism sagittal band</x:v>
      </x:c>
      <x:c r="N56" s="24" t="str">
        <x:v>Not established</x:v>
      </x:c>
      <x:c r="O56" s="24" t="str">
        <x:v>Not established</x:v>
      </x:c>
      <x:c r="P56" s="24" t="str">
        <x:v>Mixed Type I and Type II; ratio unverified</x:v>
      </x:c>
      <x:c r="Q56" s="24" t="str">
        <x:v>Published biopsies insufficient to state a reliable per-muscle percentage; no inference from function</x:v>
      </x:c>
      <x:c r="R56" s="24" t="str">
        <x:v>https://www.kenhub.com/en/library/anatomy/upper-limb-muscles-and-movements</x:v>
      </x:c>
      <x:c r="S56" s="24" t="str">
        <x:v>https://pubmed.ncbi.nlm.nih.gov/39359186/</x:v>
      </x:c>
    </x:row>
    <x:row r="57" ht="46" customHeight="1">
      <x:c r="A57" s="24" t="str">
        <x:v>Lumbrical 4 (little)</x:v>
      </x:c>
      <x:c r="B57" s="24" t="str">
        <x:v>Central palm</x:v>
      </x:c>
      <x:c r="C57" s="24" t="str">
        <x:v>Flexor; Extensor</x:v>
      </x:c>
      <x:c r="D57" s="24" t="str">
        <x:v>Yes</x:v>
      </x:c>
      <x:c r="E57" s="24" t="str">
        <x:v>Yes</x:v>
      </x:c>
      <x:c r="F57" s="24" t="str">
        <x:v>No</x:v>
      </x:c>
      <x:c r="G57" s="24" t="str">
        <x:v>Flexes MCP while extending IP digit 5</x:v>
      </x:c>
      <x:c r="H57" s="24" t="str">
        <x:v>Adjacent FDP tendons to ring and little fingers</x:v>
      </x:c>
      <x:c r="I57" s="24" t="str">
        <x:v>Radial extensor expansion digit 5</x:v>
      </x:c>
      <x:c r="J57" s="24" t="str">
        <x:v>Deep branch ulnar nerve</x:v>
      </x:c>
      <x:c r="K57" s="24" t="str">
        <x:v>C8-T1</x:v>
      </x:c>
      <x:c r="L57" s="24" t="str">
        <x:v>FDP tendon origin; extensor expansion insertion</x:v>
      </x:c>
      <x:c r="M57" s="24" t="str">
        <x:v>Extensor mechanism sagittal band</x:v>
      </x:c>
      <x:c r="N57" s="24" t="str">
        <x:v>Not established</x:v>
      </x:c>
      <x:c r="O57" s="24" t="str">
        <x:v>Not established</x:v>
      </x:c>
      <x:c r="P57" s="24" t="str">
        <x:v>Mixed Type I and Type II; ratio unverified</x:v>
      </x:c>
      <x:c r="Q57" s="24" t="str">
        <x:v>Published biopsies insufficient to state a reliable per-muscle percentage; no inference from function</x:v>
      </x:c>
      <x:c r="R57" s="24" t="str">
        <x:v>https://www.kenhub.com/en/library/anatomy/upper-limb-muscles-and-movements</x:v>
      </x:c>
      <x:c r="S57" s="24" t="str">
        <x:v>https://pubmed.ncbi.nlm.nih.gov/39359186/</x:v>
      </x:c>
    </x:row>
    <x:row r="58" ht="46" customHeight="1">
      <x:c r="A58" s="24" t="str">
        <x:v>Dorsal interosseous 1 (index)</x:v>
      </x:c>
      <x:c r="B58" s="24" t="str">
        <x:v>Dorsal intermetacarpal</x:v>
      </x:c>
      <x:c r="C58" s="24" t="str">
        <x:v>Flexor; Extensor; Stabilizer</x:v>
      </x:c>
      <x:c r="D58" s="24" t="str">
        <x:v>Yes</x:v>
      </x:c>
      <x:c r="E58" s="24" t="str">
        <x:v>Yes</x:v>
      </x:c>
      <x:c r="F58" s="24" t="str">
        <x:v>Yes</x:v>
      </x:c>
      <x:c r="G58" s="24" t="str">
        <x:v>Abducts index; flexes MCP, extends IP</x:v>
      </x:c>
      <x:c r="H58" s="24" t="str">
        <x:v>Facing sides metacarpals 1-2</x:v>
      </x:c>
      <x:c r="I58" s="24" t="str">
        <x:v>Radial base proximal phalanx and extensor expansion digit 2</x:v>
      </x:c>
      <x:c r="J58" s="24" t="str">
        <x:v>Deep branch ulnar nerve</x:v>
      </x:c>
      <x:c r="K58" s="24" t="str">
        <x:v>C8-T1</x:v>
      </x:c>
      <x:c r="L58" s="24" t="str">
        <x:v>Interosseous insertion tendon to extensor hood</x:v>
      </x:c>
      <x:c r="M58" s="24" t="str">
        <x:v>Deep transverse metacarpal ligament nearby</x:v>
      </x:c>
      <x:c r="N58" s="24" t="str">
        <x:v>Not established</x:v>
      </x:c>
      <x:c r="O58" s="24" t="str">
        <x:v>Not established</x:v>
      </x:c>
      <x:c r="P58" s="24" t="str">
        <x:v>Mixed Type I and Type II; ratio unverified</x:v>
      </x:c>
      <x:c r="Q58" s="24" t="str">
        <x:v>Published biopsies insufficient to state a reliable per-muscle percentage; no inference from function</x:v>
      </x:c>
      <x:c r="R58" s="24" t="str">
        <x:v>https://www.kenhub.com/en/library/anatomy/upper-limb-muscles-and-movements</x:v>
      </x:c>
      <x:c r="S58" s="24" t="str">
        <x:v>https://pubmed.ncbi.nlm.nih.gov/39359186/</x:v>
      </x:c>
    </x:row>
    <x:row r="59" ht="46" customHeight="1">
      <x:c r="A59" s="24" t="str">
        <x:v>Dorsal interosseous 2 (middle radial)</x:v>
      </x:c>
      <x:c r="B59" s="24" t="str">
        <x:v>Dorsal intermetacarpal</x:v>
      </x:c>
      <x:c r="C59" s="24" t="str">
        <x:v>Flexor; Extensor; Stabilizer</x:v>
      </x:c>
      <x:c r="D59" s="24" t="str">
        <x:v>Yes</x:v>
      </x:c>
      <x:c r="E59" s="24" t="str">
        <x:v>Yes</x:v>
      </x:c>
      <x:c r="F59" s="24" t="str">
        <x:v>Yes</x:v>
      </x:c>
      <x:c r="G59" s="24" t="str">
        <x:v>Abducts middle finger radially; MCP flexion/IP extension</x:v>
      </x:c>
      <x:c r="H59" s="24" t="str">
        <x:v>Facing sides metacarpals 2-3</x:v>
      </x:c>
      <x:c r="I59" s="24" t="str">
        <x:v>Radial base proximal phalanx and extensor hood digit 3</x:v>
      </x:c>
      <x:c r="J59" s="24" t="str">
        <x:v>Deep branch ulnar nerve</x:v>
      </x:c>
      <x:c r="K59" s="24" t="str">
        <x:v>C8-T1</x:v>
      </x:c>
      <x:c r="L59" s="24" t="str">
        <x:v>Insertion tendon to extensor hood</x:v>
      </x:c>
      <x:c r="M59" s="24" t="str">
        <x:v>Deep transverse metacarpal ligament nearby</x:v>
      </x:c>
      <x:c r="N59" s="24" t="str">
        <x:v>Not established</x:v>
      </x:c>
      <x:c r="O59" s="24" t="str">
        <x:v>Not established</x:v>
      </x:c>
      <x:c r="P59" s="24" t="str">
        <x:v>Mixed Type I and Type II; ratio unverified</x:v>
      </x:c>
      <x:c r="Q59" s="24" t="str">
        <x:v>Published biopsies insufficient to state a reliable per-muscle percentage; no inference from function</x:v>
      </x:c>
      <x:c r="R59" s="24" t="str">
        <x:v>https://www.kenhub.com/en/library/anatomy/upper-limb-muscles-and-movements</x:v>
      </x:c>
      <x:c r="S59" s="24" t="str">
        <x:v>https://pubmed.ncbi.nlm.nih.gov/39359186/</x:v>
      </x:c>
    </x:row>
    <x:row r="60" ht="46" customHeight="1">
      <x:c r="A60" s="24" t="str">
        <x:v>Dorsal interosseous 3 (middle ulnar)</x:v>
      </x:c>
      <x:c r="B60" s="24" t="str">
        <x:v>Dorsal intermetacarpal</x:v>
      </x:c>
      <x:c r="C60" s="24" t="str">
        <x:v>Flexor; Extensor; Stabilizer</x:v>
      </x:c>
      <x:c r="D60" s="24" t="str">
        <x:v>Yes</x:v>
      </x:c>
      <x:c r="E60" s="24" t="str">
        <x:v>Yes</x:v>
      </x:c>
      <x:c r="F60" s="24" t="str">
        <x:v>Yes</x:v>
      </x:c>
      <x:c r="G60" s="24" t="str">
        <x:v>Abducts middle finger ulnarly; MCP flexion/IP extension</x:v>
      </x:c>
      <x:c r="H60" s="24" t="str">
        <x:v>Facing sides metacarpals 3-4</x:v>
      </x:c>
      <x:c r="I60" s="24" t="str">
        <x:v>Ulnar base proximal phalanx and extensor hood digit 3</x:v>
      </x:c>
      <x:c r="J60" s="24" t="str">
        <x:v>Deep branch ulnar nerve</x:v>
      </x:c>
      <x:c r="K60" s="24" t="str">
        <x:v>C8-T1</x:v>
      </x:c>
      <x:c r="L60" s="24" t="str">
        <x:v>Insertion tendon to extensor hood</x:v>
      </x:c>
      <x:c r="M60" s="24" t="str">
        <x:v>Deep transverse metacarpal ligament nearby</x:v>
      </x:c>
      <x:c r="N60" s="24" t="str">
        <x:v>Not established</x:v>
      </x:c>
      <x:c r="O60" s="24" t="str">
        <x:v>Not established</x:v>
      </x:c>
      <x:c r="P60" s="24" t="str">
        <x:v>Mixed Type I and Type II; ratio unverified</x:v>
      </x:c>
      <x:c r="Q60" s="24" t="str">
        <x:v>Published biopsies insufficient to state a reliable per-muscle percentage; no inference from function</x:v>
      </x:c>
      <x:c r="R60" s="24" t="str">
        <x:v>https://www.kenhub.com/en/library/anatomy/upper-limb-muscles-and-movements</x:v>
      </x:c>
      <x:c r="S60" s="24" t="str">
        <x:v>https://pubmed.ncbi.nlm.nih.gov/39359186/</x:v>
      </x:c>
    </x:row>
    <x:row r="61" ht="46" customHeight="1">
      <x:c r="A61" s="24" t="str">
        <x:v>Dorsal interosseous 4 (ring)</x:v>
      </x:c>
      <x:c r="B61" s="24" t="str">
        <x:v>Dorsal intermetacarpal</x:v>
      </x:c>
      <x:c r="C61" s="24" t="str">
        <x:v>Flexor; Extensor; Stabilizer</x:v>
      </x:c>
      <x:c r="D61" s="24" t="str">
        <x:v>Yes</x:v>
      </x:c>
      <x:c r="E61" s="24" t="str">
        <x:v>Yes</x:v>
      </x:c>
      <x:c r="F61" s="24" t="str">
        <x:v>Yes</x:v>
      </x:c>
      <x:c r="G61" s="24" t="str">
        <x:v>Abducts ring finger; MCP flexion/IP extension</x:v>
      </x:c>
      <x:c r="H61" s="24" t="str">
        <x:v>Facing sides metacarpals 4-5</x:v>
      </x:c>
      <x:c r="I61" s="24" t="str">
        <x:v>Ulnar base proximal phalanx and extensor hood digit 4</x:v>
      </x:c>
      <x:c r="J61" s="24" t="str">
        <x:v>Deep branch ulnar nerve</x:v>
      </x:c>
      <x:c r="K61" s="24" t="str">
        <x:v>C8-T1</x:v>
      </x:c>
      <x:c r="L61" s="24" t="str">
        <x:v>Insertion tendon to extensor hood</x:v>
      </x:c>
      <x:c r="M61" s="24" t="str">
        <x:v>Deep transverse metacarpal ligament nearby</x:v>
      </x:c>
      <x:c r="N61" s="24" t="str">
        <x:v>Not established</x:v>
      </x:c>
      <x:c r="O61" s="24" t="str">
        <x:v>Not established</x:v>
      </x:c>
      <x:c r="P61" s="24" t="str">
        <x:v>Mixed Type I and Type II; ratio unverified</x:v>
      </x:c>
      <x:c r="Q61" s="24" t="str">
        <x:v>Published biopsies insufficient to state a reliable per-muscle percentage; no inference from function</x:v>
      </x:c>
      <x:c r="R61" s="24" t="str">
        <x:v>https://www.kenhub.com/en/library/anatomy/upper-limb-muscles-and-movements</x:v>
      </x:c>
      <x:c r="S61" s="24" t="str">
        <x:v>https://pubmed.ncbi.nlm.nih.gov/39359186/</x:v>
      </x:c>
    </x:row>
    <x:row r="62" ht="46" customHeight="1">
      <x:c r="A62" s="24" t="str">
        <x:v>Abductor digiti minimi (hand)</x:v>
      </x:c>
      <x:c r="B62" s="24" t="str">
        <x:v>Hypothenar</x:v>
      </x:c>
      <x:c r="C62" s="24" t="str">
        <x:v>Flexor; Stabilizer</x:v>
      </x:c>
      <x:c r="D62" s="24" t="str">
        <x:v>Yes</x:v>
      </x:c>
      <x:c r="E62" s="24" t="str">
        <x:v>No</x:v>
      </x:c>
      <x:c r="F62" s="24" t="str">
        <x:v>Yes</x:v>
      </x:c>
      <x:c r="G62" s="24" t="str">
        <x:v>Abducts fifth digit; assists MCP flexion</x:v>
      </x:c>
      <x:c r="H62" s="24" t="str">
        <x:v>Pisiform; flexor carpi ulnaris tendon</x:v>
      </x:c>
      <x:c r="I62" s="24" t="str">
        <x:v>Ulnar base proximal phalanx little finger</x:v>
      </x:c>
      <x:c r="J62" s="24" t="str">
        <x:v>Deep branch ulnar nerve</x:v>
      </x:c>
      <x:c r="K62" s="24" t="str">
        <x:v>C8-T1</x:v>
      </x:c>
      <x:c r="L62" s="24" t="str">
        <x:v>ADM tendon to proximal phalanx/extensor expansion</x:v>
      </x:c>
      <x:c r="M62" s="24" t="str">
        <x:v>Pisohamate ligament near origin</x:v>
      </x:c>
      <x:c r="N62" s="24" t="str">
        <x:v>Not established</x:v>
      </x:c>
      <x:c r="O62" s="24" t="str">
        <x:v>Not established</x:v>
      </x:c>
      <x:c r="P62" s="24" t="str">
        <x:v>Mixed Type I and Type II; ratio unverified</x:v>
      </x:c>
      <x:c r="Q62" s="24" t="str">
        <x:v>Published biopsies insufficient to state a reliable per-muscle percentage; no inference from function</x:v>
      </x:c>
      <x:c r="R62" s="24" t="str">
        <x:v>https://www.kenhub.com/en/library/anatomy/upper-limb-muscles-and-movements</x:v>
      </x:c>
      <x:c r="S62" s="24" t="str">
        <x:v>https://pubmed.ncbi.nlm.nih.gov/39359186/</x:v>
      </x:c>
    </x:row>
    <x:row r="63" ht="46" customHeight="1">
      <x:c r="A63" s="24" t="str">
        <x:v>Flexor digiti minimi brevis (hand)</x:v>
      </x:c>
      <x:c r="B63" s="24" t="str">
        <x:v>Hypothenar</x:v>
      </x:c>
      <x:c r="C63" s="24" t="str">
        <x:v>Flexor</x:v>
      </x:c>
      <x:c r="D63" s="24" t="str">
        <x:v>Yes</x:v>
      </x:c>
      <x:c r="E63" s="24" t="str">
        <x:v>No</x:v>
      </x:c>
      <x:c r="F63" s="24" t="str">
        <x:v>No</x:v>
      </x:c>
      <x:c r="G63" s="24" t="str">
        <x:v>Flexes fifth digit MCP</x:v>
      </x:c>
      <x:c r="H63" s="24" t="str">
        <x:v>Hook of hamate; flexor retinaculum</x:v>
      </x:c>
      <x:c r="I63" s="24" t="str">
        <x:v>Ulnar base proximal phalanx digit 5</x:v>
      </x:c>
      <x:c r="J63" s="24" t="str">
        <x:v>Deep branch ulnar nerve</x:v>
      </x:c>
      <x:c r="K63" s="24" t="str">
        <x:v>C8-T1</x:v>
      </x:c>
      <x:c r="L63" s="24" t="str">
        <x:v>Small insertion tendon</x:v>
      </x:c>
      <x:c r="M63" s="24" t="str">
        <x:v>Flexor retinaculum direct origin</x:v>
      </x:c>
      <x:c r="N63" s="24" t="str">
        <x:v>Not established</x:v>
      </x:c>
      <x:c r="O63" s="24" t="str">
        <x:v>Not established</x:v>
      </x:c>
      <x:c r="P63" s="24" t="str">
        <x:v>Mixed Type I and Type II; ratio unverified</x:v>
      </x:c>
      <x:c r="Q63" s="24" t="str">
        <x:v>Published biopsies insufficient to state a reliable per-muscle percentage; no inference from function</x:v>
      </x:c>
      <x:c r="R63" s="24" t="str">
        <x:v>https://www.kenhub.com/en/library/anatomy/upper-limb-muscles-and-movements</x:v>
      </x:c>
      <x:c r="S63" s="24" t="str">
        <x:v>https://pubmed.ncbi.nlm.nih.gov/39359186/</x:v>
      </x:c>
    </x:row>
    <x:row r="64" ht="46" customHeight="1">
      <x:c r="A64" s="24" t="str">
        <x:v>Opponens digiti minimi</x:v>
      </x:c>
      <x:c r="B64" s="24" t="str">
        <x:v>Hypothenar</x:v>
      </x:c>
      <x:c r="C64" s="24" t="str">
        <x:v>Flexor; Stabilizer</x:v>
      </x:c>
      <x:c r="D64" s="24" t="str">
        <x:v>Yes</x:v>
      </x:c>
      <x:c r="E64" s="24" t="str">
        <x:v>No</x:v>
      </x:c>
      <x:c r="F64" s="24" t="str">
        <x:v>Yes</x:v>
      </x:c>
      <x:c r="G64" s="24" t="str">
        <x:v>Draws fifth metacarpal anteriorly; cups palm</x:v>
      </x:c>
      <x:c r="H64" s="24" t="str">
        <x:v>Hook of hamate; flexor retinaculum</x:v>
      </x:c>
      <x:c r="I64" s="24" t="str">
        <x:v>Ulnar border fifth metacarpal</x:v>
      </x:c>
      <x:c r="J64" s="24" t="str">
        <x:v>Deep branch ulnar nerve</x:v>
      </x:c>
      <x:c r="K64" s="24" t="str">
        <x:v>C8-T1</x:v>
      </x:c>
      <x:c r="L64" s="24" t="str">
        <x:v>Broad fleshy insertion</x:v>
      </x:c>
      <x:c r="M64" s="24" t="str">
        <x:v>Flexor retinaculum direct origin</x:v>
      </x:c>
      <x:c r="N64" s="24" t="str">
        <x:v>Not established</x:v>
      </x:c>
      <x:c r="O64" s="24" t="str">
        <x:v>Not established</x:v>
      </x:c>
      <x:c r="P64" s="24" t="str">
        <x:v>Mixed Type I and Type II; ratio unverified</x:v>
      </x:c>
      <x:c r="Q64" s="24" t="str">
        <x:v>Published biopsies insufficient to state a reliable per-muscle percentage; no inference from function</x:v>
      </x:c>
      <x:c r="R64" s="24" t="str">
        <x:v>https://www.kenhub.com/en/library/anatomy/upper-limb-muscles-and-movements</x:v>
      </x:c>
      <x:c r="S64" s="24" t="str">
        <x:v>https://pubmed.ncbi.nlm.nih.gov/39359186/</x:v>
      </x:c>
    </x:row>
    <x:row r="65" ht="46" customHeight="1">
      <x:c r="A65" s="24" t="str">
        <x:v>Palmaris brevis</x:v>
      </x:c>
      <x:c r="B65" s="24" t="str">
        <x:v>Hypothenar superficial</x:v>
      </x:c>
      <x:c r="C65" s="24" t="str">
        <x:v>Stabilizer</x:v>
      </x:c>
      <x:c r="D65" s="24" t="str">
        <x:v>No</x:v>
      </x:c>
      <x:c r="E65" s="24" t="str">
        <x:v>No</x:v>
      </x:c>
      <x:c r="F65" s="24" t="str">
        <x:v>Yes</x:v>
      </x:c>
      <x:c r="G65" s="24" t="str">
        <x:v>Wrinkles hypothenar skin; deepens hand cup</x:v>
      </x:c>
      <x:c r="H65" s="24" t="str">
        <x:v>Palmar aponeurosis and flexor retinaculum</x:v>
      </x:c>
      <x:c r="I65" s="24" t="str">
        <x:v>Dermis of hypothenar skin</x:v>
      </x:c>
      <x:c r="J65" s="24" t="str">
        <x:v>Superficial branch ulnar nerve</x:v>
      </x:c>
      <x:c r="K65" s="24" t="str">
        <x:v>C8-T1</x:v>
      </x:c>
      <x:c r="L65" s="24" t="str">
        <x:v>Dermal fibrous insertion, no long tendon</x:v>
      </x:c>
      <x:c r="M65" s="24" t="str">
        <x:v>Flexor retinaculum direct origin</x:v>
      </x:c>
      <x:c r="N65" s="24" t="str">
        <x:v>Not established</x:v>
      </x:c>
      <x:c r="O65" s="24" t="str">
        <x:v>Not established</x:v>
      </x:c>
      <x:c r="P65" s="24" t="str">
        <x:v>Mixed Type I and Type II; ratio unverified</x:v>
      </x:c>
      <x:c r="Q65" s="24" t="str">
        <x:v>Published biopsies insufficient to state a reliable per-muscle percentage; no inference from function</x:v>
      </x:c>
      <x:c r="R65" s="24" t="str">
        <x:v>https://www.kenhub.com/en/library/anatomy/upper-limb-muscles-and-movements</x:v>
      </x:c>
      <x:c r="S65" s="24" t="str">
        <x:v>https://pubmed.ncbi.nlm.nih.gov/39359186/</x:v>
      </x:c>
    </x:row>
    <x:row r="66" ht="46" customHeight="1">
      <x:c r="A66" s="24" t="str">
        <x:v>Palmar interosseous 1 (index)</x:v>
      </x:c>
      <x:c r="B66" s="24" t="str">
        <x:v>Palmar intermetacarpal</x:v>
      </x:c>
      <x:c r="C66" s="24" t="str">
        <x:v>Flexor; Extensor; Stabilizer</x:v>
      </x:c>
      <x:c r="D66" s="24" t="str">
        <x:v>Yes</x:v>
      </x:c>
      <x:c r="E66" s="24" t="str">
        <x:v>Yes</x:v>
      </x:c>
      <x:c r="F66" s="24" t="str">
        <x:v>Yes</x:v>
      </x:c>
      <x:c r="G66" s="24" t="str">
        <x:v>Adducts index toward digit 3; MCP flexion/IP extension</x:v>
      </x:c>
      <x:c r="H66" s="24" t="str">
        <x:v>Ulnar palmar metacarpal 2</x:v>
      </x:c>
      <x:c r="I66" s="24" t="str">
        <x:v>Ulnar proximal phalanx/extensor hood index</x:v>
      </x:c>
      <x:c r="J66" s="24" t="str">
        <x:v>Deep branch ulnar nerve</x:v>
      </x:c>
      <x:c r="K66" s="24" t="str">
        <x:v>C8-T1</x:v>
      </x:c>
      <x:c r="L66" s="24" t="str">
        <x:v>Tendon to extensor hood</x:v>
      </x:c>
      <x:c r="M66" s="24" t="str">
        <x:v>Deep transverse metacarpal ligament adjacent</x:v>
      </x:c>
      <x:c r="N66" s="24" t="str">
        <x:v>Not established</x:v>
      </x:c>
      <x:c r="O66" s="24" t="str">
        <x:v>Not established</x:v>
      </x:c>
      <x:c r="P66" s="24" t="str">
        <x:v>Mixed Type I and Type II; ratio unverified</x:v>
      </x:c>
      <x:c r="Q66" s="24" t="str">
        <x:v>Published biopsies insufficient to state a reliable per-muscle percentage; no inference from function</x:v>
      </x:c>
      <x:c r="R66" s="24" t="str">
        <x:v>https://www.kenhub.com/en/library/anatomy/upper-limb-muscles-and-movements</x:v>
      </x:c>
      <x:c r="S66" s="24" t="str">
        <x:v>https://pubmed.ncbi.nlm.nih.gov/39359186/</x:v>
      </x:c>
    </x:row>
    <x:row r="67" ht="46" customHeight="1">
      <x:c r="A67" s="24" t="str">
        <x:v>Palmar interosseous 2 (ring)</x:v>
      </x:c>
      <x:c r="B67" s="24" t="str">
        <x:v>Palmar intermetacarpal</x:v>
      </x:c>
      <x:c r="C67" s="24" t="str">
        <x:v>Flexor; Extensor; Stabilizer</x:v>
      </x:c>
      <x:c r="D67" s="24" t="str">
        <x:v>Yes</x:v>
      </x:c>
      <x:c r="E67" s="24" t="str">
        <x:v>Yes</x:v>
      </x:c>
      <x:c r="F67" s="24" t="str">
        <x:v>Yes</x:v>
      </x:c>
      <x:c r="G67" s="24" t="str">
        <x:v>Adducts ring toward digit 3; MCP flexion/IP extension</x:v>
      </x:c>
      <x:c r="H67" s="24" t="str">
        <x:v>Radial palmar metacarpal 4</x:v>
      </x:c>
      <x:c r="I67" s="24" t="str">
        <x:v>Radial proximal phalanx/extensor hood ring</x:v>
      </x:c>
      <x:c r="J67" s="24" t="str">
        <x:v>Deep branch ulnar nerve</x:v>
      </x:c>
      <x:c r="K67" s="24" t="str">
        <x:v>C8-T1</x:v>
      </x:c>
      <x:c r="L67" s="24" t="str">
        <x:v>Tendon to extensor hood</x:v>
      </x:c>
      <x:c r="M67" s="24" t="str">
        <x:v>Deep transverse metacarpal ligament adjacent</x:v>
      </x:c>
      <x:c r="N67" s="24" t="str">
        <x:v>Not established</x:v>
      </x:c>
      <x:c r="O67" s="24" t="str">
        <x:v>Not established</x:v>
      </x:c>
      <x:c r="P67" s="24" t="str">
        <x:v>Mixed Type I and Type II; ratio unverified</x:v>
      </x:c>
      <x:c r="Q67" s="24" t="str">
        <x:v>Published biopsies insufficient to state a reliable per-muscle percentage; no inference from function</x:v>
      </x:c>
      <x:c r="R67" s="24" t="str">
        <x:v>https://www.kenhub.com/en/library/anatomy/upper-limb-muscles-and-movements</x:v>
      </x:c>
      <x:c r="S67" s="24" t="str">
        <x:v>https://pubmed.ncbi.nlm.nih.gov/39359186/</x:v>
      </x:c>
    </x:row>
    <x:row r="68" ht="46" customHeight="1">
      <x:c r="A68" s="24" t="str">
        <x:v>Palmar interosseous 3 (little)</x:v>
      </x:c>
      <x:c r="B68" s="24" t="str">
        <x:v>Palmar intermetacarpal</x:v>
      </x:c>
      <x:c r="C68" s="24" t="str">
        <x:v>Flexor; Extensor; Stabilizer</x:v>
      </x:c>
      <x:c r="D68" s="24" t="str">
        <x:v>Yes</x:v>
      </x:c>
      <x:c r="E68" s="24" t="str">
        <x:v>Yes</x:v>
      </x:c>
      <x:c r="F68" s="24" t="str">
        <x:v>Yes</x:v>
      </x:c>
      <x:c r="G68" s="24" t="str">
        <x:v>Adducts little finger; MCP flexion/IP extension</x:v>
      </x:c>
      <x:c r="H68" s="24" t="str">
        <x:v>Radial palmar metacarpal 5</x:v>
      </x:c>
      <x:c r="I68" s="24" t="str">
        <x:v>Radial proximal phalanx/extensor hood digit 5</x:v>
      </x:c>
      <x:c r="J68" s="24" t="str">
        <x:v>Deep branch ulnar nerve</x:v>
      </x:c>
      <x:c r="K68" s="24" t="str">
        <x:v>C8-T1</x:v>
      </x:c>
      <x:c r="L68" s="24" t="str">
        <x:v>Tendon to extensor hood</x:v>
      </x:c>
      <x:c r="M68" s="24" t="str">
        <x:v>Deep transverse metacarpal ligament adjacent</x:v>
      </x:c>
      <x:c r="N68" s="24" t="str">
        <x:v>Not established</x:v>
      </x:c>
      <x:c r="O68" s="24" t="str">
        <x:v>Not established</x:v>
      </x:c>
      <x:c r="P68" s="24" t="str">
        <x:v>Mixed Type I and Type II; ratio unverified</x:v>
      </x:c>
      <x:c r="Q68" s="24" t="str">
        <x:v>Published biopsies insufficient to state a reliable per-muscle percentage; no inference from function</x:v>
      </x:c>
      <x:c r="R68" s="24" t="str">
        <x:v>https://www.kenhub.com/en/library/anatomy/upper-limb-muscles-and-movements</x:v>
      </x:c>
      <x:c r="S68" s="24" t="str">
        <x:v>https://pubmed.ncbi.nlm.nih.gov/39359186/</x:v>
      </x:c>
    </x:row>
    <x:row r="69" ht="46" customHeight="1">
      <x:c r="A69" s="24" t="str">
        <x:v>Abductor pollicis brevis</x:v>
      </x:c>
      <x:c r="B69" s="24" t="str">
        <x:v>Thenar</x:v>
      </x:c>
      <x:c r="C69" s="24" t="str">
        <x:v>Stabilizer</x:v>
      </x:c>
      <x:c r="D69" s="24" t="str">
        <x:v>No</x:v>
      </x:c>
      <x:c r="E69" s="24" t="str">
        <x:v>No</x:v>
      </x:c>
      <x:c r="F69" s="24" t="str">
        <x:v>Yes</x:v>
      </x:c>
      <x:c r="G69" s="24" t="str">
        <x:v>Abducts thumb perpendicular to palm; assists opposition</x:v>
      </x:c>
      <x:c r="H69" s="24" t="str">
        <x:v>Scaphoid tubercle; trapezium; flexor retinaculum</x:v>
      </x:c>
      <x:c r="I69" s="24" t="str">
        <x:v>Lateral base proximal phalanx thumb/extensor expansion</x:v>
      </x:c>
      <x:c r="J69" s="24" t="str">
        <x:v>Recurrent branch median nerve</x:v>
      </x:c>
      <x:c r="K69" s="24" t="str">
        <x:v>C8-T1</x:v>
      </x:c>
      <x:c r="L69" s="24" t="str">
        <x:v>Thenar aponeurotic insertion</x:v>
      </x:c>
      <x:c r="M69" s="24" t="str">
        <x:v>Flexor retinaculum direct origin</x:v>
      </x:c>
      <x:c r="N69" s="24" t="str">
        <x:v>Not established</x:v>
      </x:c>
      <x:c r="O69" s="24" t="str">
        <x:v>Not established</x:v>
      </x:c>
      <x:c r="P69" s="24" t="str">
        <x:v>Mixed Type I and Type II; ratio unverified</x:v>
      </x:c>
      <x:c r="Q69" s="24" t="str">
        <x:v>Published biopsies insufficient to state a reliable per-muscle percentage; no inference from function</x:v>
      </x:c>
      <x:c r="R69" s="24" t="str">
        <x:v>https://www.kenhub.com/en/library/anatomy/upper-limb-muscles-and-movements</x:v>
      </x:c>
      <x:c r="S69" s="24" t="str">
        <x:v>https://pubmed.ncbi.nlm.nih.gov/39359186/</x:v>
      </x:c>
    </x:row>
    <x:row r="70" ht="46" customHeight="1">
      <x:c r="A70" s="24" t="str">
        <x:v>Flexor pollicis brevis deep head</x:v>
      </x:c>
      <x:c r="B70" s="24" t="str">
        <x:v>Thenar</x:v>
      </x:c>
      <x:c r="C70" s="24" t="str">
        <x:v>Flexor</x:v>
      </x:c>
      <x:c r="D70" s="24" t="str">
        <x:v>Yes</x:v>
      </x:c>
      <x:c r="E70" s="24" t="str">
        <x:v>No</x:v>
      </x:c>
      <x:c r="F70" s="24" t="str">
        <x:v>No</x:v>
      </x:c>
      <x:c r="G70" s="24" t="str">
        <x:v>Flexes thumb MCP</x:v>
      </x:c>
      <x:c r="H70" s="24" t="str">
        <x:v>Trapezoid and capitate</x:v>
      </x:c>
      <x:c r="I70" s="24" t="str">
        <x:v>Lateral base proximal phalanx thumb via sesamoid</x:v>
      </x:c>
      <x:c r="J70" s="24" t="str">
        <x:v>Deep branch ulnar nerve (variable median contribution)</x:v>
      </x:c>
      <x:c r="K70" s="24" t="str">
        <x:v>C8-T1</x:v>
      </x:c>
      <x:c r="L70" s="24" t="str">
        <x:v>Thenar tendon via sesamoid</x:v>
      </x:c>
      <x:c r="M70" s="24" t="str">
        <x:v>Deep transverse metacarpal ligament nearby, no direct attachment</x:v>
      </x:c>
      <x:c r="N70" s="24" t="str">
        <x:v>Not established</x:v>
      </x:c>
      <x:c r="O70" s="24" t="str">
        <x:v>Not established</x:v>
      </x:c>
      <x:c r="P70" s="24" t="str">
        <x:v>Mixed Type I and Type II; ratio unverified</x:v>
      </x:c>
      <x:c r="Q70" s="24" t="str">
        <x:v>Published biopsies insufficient to state a reliable per-muscle percentage; no inference from function</x:v>
      </x:c>
      <x:c r="R70" s="24" t="str">
        <x:v>https://www.kenhub.com/en/library/anatomy/upper-limb-muscles-and-movements</x:v>
      </x:c>
      <x:c r="S70" s="24" t="str">
        <x:v>https://pubmed.ncbi.nlm.nih.gov/39359186/</x:v>
      </x:c>
    </x:row>
    <x:row r="71" ht="46" customHeight="1">
      <x:c r="A71" s="24" t="str">
        <x:v>Flexor pollicis brevis superficial head</x:v>
      </x:c>
      <x:c r="B71" s="24" t="str">
        <x:v>Thenar</x:v>
      </x:c>
      <x:c r="C71" s="24" t="str">
        <x:v>Flexor</x:v>
      </x:c>
      <x:c r="D71" s="24" t="str">
        <x:v>Yes</x:v>
      </x:c>
      <x:c r="E71" s="24" t="str">
        <x:v>No</x:v>
      </x:c>
      <x:c r="F71" s="24" t="str">
        <x:v>No</x:v>
      </x:c>
      <x:c r="G71" s="24" t="str">
        <x:v>Flexes thumb MCP</x:v>
      </x:c>
      <x:c r="H71" s="24" t="str">
        <x:v>Flexor retinaculum and trapezium</x:v>
      </x:c>
      <x:c r="I71" s="24" t="str">
        <x:v>Lateral base proximal phalanx thumb via sesamoid</x:v>
      </x:c>
      <x:c r="J71" s="24" t="str">
        <x:v>Recurrent branch median nerve</x:v>
      </x:c>
      <x:c r="K71" s="24" t="str">
        <x:v>C8-T1</x:v>
      </x:c>
      <x:c r="L71" s="24" t="str">
        <x:v>Insertion via radial sesamoid tendon</x:v>
      </x:c>
      <x:c r="M71" s="24" t="str">
        <x:v>Flexor retinaculum direct origin</x:v>
      </x:c>
      <x:c r="N71" s="24" t="str">
        <x:v>Not established</x:v>
      </x:c>
      <x:c r="O71" s="24" t="str">
        <x:v>Not established</x:v>
      </x:c>
      <x:c r="P71" s="24" t="str">
        <x:v>Mixed Type I and Type II; ratio unverified</x:v>
      </x:c>
      <x:c r="Q71" s="24" t="str">
        <x:v>Published biopsies insufficient to state a reliable per-muscle percentage; no inference from function</x:v>
      </x:c>
      <x:c r="R71" s="24" t="str">
        <x:v>https://www.kenhub.com/en/library/anatomy/upper-limb-muscles-and-movements</x:v>
      </x:c>
      <x:c r="S71" s="24" t="str">
        <x:v>https://pubmed.ncbi.nlm.nih.gov/39359186/</x:v>
      </x:c>
    </x:row>
    <x:row r="72" ht="46" customHeight="1">
      <x:c r="A72" s="24" t="str">
        <x:v>Opponens pollicis</x:v>
      </x:c>
      <x:c r="B72" s="24" t="str">
        <x:v>Thenar</x:v>
      </x:c>
      <x:c r="C72" s="24" t="str">
        <x:v>Flexor; Stabilizer</x:v>
      </x:c>
      <x:c r="D72" s="24" t="str">
        <x:v>Yes</x:v>
      </x:c>
      <x:c r="E72" s="24" t="str">
        <x:v>No</x:v>
      </x:c>
      <x:c r="F72" s="24" t="str">
        <x:v>Yes</x:v>
      </x:c>
      <x:c r="G72" s="24" t="str">
        <x:v>Opposes thumb by flexion and medial rotation at CMC</x:v>
      </x:c>
      <x:c r="H72" s="24" t="str">
        <x:v>Trapezium tubercle; flexor retinaculum</x:v>
      </x:c>
      <x:c r="I72" s="24" t="str">
        <x:v>Lateral shaft first metacarpal</x:v>
      </x:c>
      <x:c r="J72" s="24" t="str">
        <x:v>Recurrent branch median nerve</x:v>
      </x:c>
      <x:c r="K72" s="24" t="str">
        <x:v>C8-T1</x:v>
      </x:c>
      <x:c r="L72" s="24" t="str">
        <x:v>Broad muscular insertion</x:v>
      </x:c>
      <x:c r="M72" s="24" t="str">
        <x:v>Flexor retinaculum direct origin</x:v>
      </x:c>
      <x:c r="N72" s="24" t="str">
        <x:v>Not established</x:v>
      </x:c>
      <x:c r="O72" s="24" t="str">
        <x:v>Not established</x:v>
      </x:c>
      <x:c r="P72" s="24" t="str">
        <x:v>Mixed Type I and Type II; ratio unverified</x:v>
      </x:c>
      <x:c r="Q72" s="24" t="str">
        <x:v>Published biopsies insufficient to state a reliable per-muscle percentage; no inference from function</x:v>
      </x:c>
      <x:c r="R72" s="24" t="str">
        <x:v>https://www.kenhub.com/en/library/anatomy/upper-limb-muscles-and-movements</x:v>
      </x:c>
      <x:c r="S72" s="24" t="str">
        <x:v>https://pubmed.ncbi.nlm.nih.gov/39359186/</x:v>
      </x:c>
    </x:row>
    <x:row r="73" ht="46" customHeight="1">
      <x:c r="A73" s="24" t="str">
        <x:v>Gluteus minimus</x:v>
      </x:c>
      <x:c r="B73" s="24" t="str">
        <x:v>Deep gluteal</x:v>
      </x:c>
      <x:c r="C73" s="24" t="str">
        <x:v>Stabilizer</x:v>
      </x:c>
      <x:c r="D73" s="24" t="str">
        <x:v>No</x:v>
      </x:c>
      <x:c r="E73" s="24" t="str">
        <x:v>No</x:v>
      </x:c>
      <x:c r="F73" s="24" t="str">
        <x:v>Yes</x:v>
      </x:c>
      <x:c r="G73" s="24" t="str">
        <x:v>Abducts/medially rotates hip; stabilizes femoral head</x:v>
      </x:c>
      <x:c r="H73" s="24" t="str">
        <x:v>External ilium between anterior/inferior gluteal lines</x:v>
      </x:c>
      <x:c r="I73" s="24" t="str">
        <x:v>Anterior facet greater trochanter</x:v>
      </x:c>
      <x:c r="J73" s="24" t="str">
        <x:v>Superior gluteal nerve</x:v>
      </x:c>
      <x:c r="K73" s="24" t="str">
        <x:v>L4-S1</x:v>
      </x:c>
      <x:c r="L73" s="24" t="str">
        <x:v>Gluteus minimus tendon and joint-capsule expansions</x:v>
      </x:c>
      <x:c r="M73" s="24" t="str">
        <x:v>Iliofemoral ligament adjacent</x:v>
      </x:c>
      <x:c r="N73" s="24" t="str">
        <x:v>Not established</x:v>
      </x:c>
      <x:c r="O73" s="24" t="str">
        <x:v>Not established</x:v>
      </x:c>
      <x:c r="P73" s="24" t="str">
        <x:v>Mixed Type I and Type II; ratio unverified</x:v>
      </x:c>
      <x:c r="Q73" s="24" t="str">
        <x:v>Published biopsies insufficient to state a reliable per-muscle percentage; no inference from function</x:v>
      </x:c>
      <x:c r="R73" s="24" t="str">
        <x:v>https://www.kenhub.com/en/library/anatomy/lower-extremity-anatomy</x:v>
      </x:c>
      <x:c r="S73" s="24" t="str">
        <x:v>https://pubmed.ncbi.nlm.nih.gov/39359186/</x:v>
      </x:c>
    </x:row>
    <x:row r="74" ht="46" customHeight="1">
      <x:c r="A74" s="24" t="str">
        <x:v>Inferior gemellus</x:v>
      </x:c>
      <x:c r="B74" s="24" t="str">
        <x:v>Deep gluteal</x:v>
      </x:c>
      <x:c r="C74" s="24" t="str">
        <x:v>Stabilizer</x:v>
      </x:c>
      <x:c r="D74" s="24" t="str">
        <x:v>No</x:v>
      </x:c>
      <x:c r="E74" s="24" t="str">
        <x:v>No</x:v>
      </x:c>
      <x:c r="F74" s="24" t="str">
        <x:v>Yes</x:v>
      </x:c>
      <x:c r="G74" s="24" t="str">
        <x:v>Externally rotates extended hip; abducts flexed hip</x:v>
      </x:c>
      <x:c r="H74" s="24" t="str">
        <x:v>Ischial tuberosity</x:v>
      </x:c>
      <x:c r="I74" s="24" t="str">
        <x:v>Medial greater trochanter with obturator internus</x:v>
      </x:c>
      <x:c r="J74" s="24" t="str">
        <x:v>Nerve to quadratus femoris</x:v>
      </x:c>
      <x:c r="K74" s="24" t="str">
        <x:v>L4-S1</x:v>
      </x:c>
      <x:c r="L74" s="24" t="str">
        <x:v>Common tendon with obturator internus</x:v>
      </x:c>
      <x:c r="M74" s="24" t="str">
        <x:v>Sacrotuberous ligament shares ischial tuberosity vicinity</x:v>
      </x:c>
      <x:c r="N74" s="24" t="str">
        <x:v>Not established</x:v>
      </x:c>
      <x:c r="O74" s="24" t="str">
        <x:v>Not established</x:v>
      </x:c>
      <x:c r="P74" s="24" t="str">
        <x:v>Mixed Type I and Type II; ratio unverified</x:v>
      </x:c>
      <x:c r="Q74" s="24" t="str">
        <x:v>Published biopsies insufficient to state a reliable per-muscle percentage; no inference from function</x:v>
      </x:c>
      <x:c r="R74" s="24" t="str">
        <x:v>https://www.kenhub.com/en/library/anatomy/lower-extremity-anatomy</x:v>
      </x:c>
      <x:c r="S74" s="24" t="str">
        <x:v>https://pubmed.ncbi.nlm.nih.gov/39359186/</x:v>
      </x:c>
    </x:row>
    <x:row r="75" ht="46" customHeight="1">
      <x:c r="A75" s="24" t="str">
        <x:v>Obturator internus</x:v>
      </x:c>
      <x:c r="B75" s="24" t="str">
        <x:v>Deep gluteal</x:v>
      </x:c>
      <x:c r="C75" s="24" t="str">
        <x:v>Stabilizer</x:v>
      </x:c>
      <x:c r="D75" s="24" t="str">
        <x:v>No</x:v>
      </x:c>
      <x:c r="E75" s="24" t="str">
        <x:v>No</x:v>
      </x:c>
      <x:c r="F75" s="24" t="str">
        <x:v>Yes</x:v>
      </x:c>
      <x:c r="G75" s="24" t="str">
        <x:v>External hip rotation; abduction of flexed thigh</x:v>
      </x:c>
      <x:c r="H75" s="24" t="str">
        <x:v>Pelvic surface obturator membrane; adjacent pubis/ischium</x:v>
      </x:c>
      <x:c r="I75" s="24" t="str">
        <x:v>Medial surface greater trochanter</x:v>
      </x:c>
      <x:c r="J75" s="24" t="str">
        <x:v>Nerve to obturator internus</x:v>
      </x:c>
      <x:c r="K75" s="24" t="str">
        <x:v>L5-S2</x:v>
      </x:c>
      <x:c r="L75" s="24" t="str">
        <x:v>Tendon bends around lesser sciatic notch</x:v>
      </x:c>
      <x:c r="M75" s="24" t="str">
        <x:v>Obturator membrane (fibrous membrane); sacrospinous ligament nearby</x:v>
      </x:c>
      <x:c r="N75" s="24" t="str">
        <x:v>Not established</x:v>
      </x:c>
      <x:c r="O75" s="24" t="str">
        <x:v>Not established</x:v>
      </x:c>
      <x:c r="P75" s="24" t="str">
        <x:v>Mixed Type I and Type II; ratio unverified</x:v>
      </x:c>
      <x:c r="Q75" s="24" t="str">
        <x:v>Published biopsies insufficient to state a reliable per-muscle percentage; no inference from function</x:v>
      </x:c>
      <x:c r="R75" s="24" t="str">
        <x:v>https://www.kenhub.com/en/library/anatomy/lower-extremity-anatomy</x:v>
      </x:c>
      <x:c r="S75" s="24" t="str">
        <x:v>https://pubmed.ncbi.nlm.nih.gov/39359186/</x:v>
      </x:c>
    </x:row>
    <x:row r="76" ht="46" customHeight="1">
      <x:c r="A76" s="24" t="str">
        <x:v>Piriformis</x:v>
      </x:c>
      <x:c r="B76" s="24" t="str">
        <x:v>Deep gluteal</x:v>
      </x:c>
      <x:c r="C76" s="24" t="str">
        <x:v>Stabilizer</x:v>
      </x:c>
      <x:c r="D76" s="24" t="str">
        <x:v>No</x:v>
      </x:c>
      <x:c r="E76" s="24" t="str">
        <x:v>No</x:v>
      </x:c>
      <x:c r="F76" s="24" t="str">
        <x:v>Yes</x:v>
      </x:c>
      <x:c r="G76" s="24" t="str">
        <x:v>Externally rotates extended hip; abducts flexed hip; steadies joint</x:v>
      </x:c>
      <x:c r="H76" s="24" t="str">
        <x:v>Pelvic/anterior sacrum S2-S4; sacrotuberous ligament variable</x:v>
      </x:c>
      <x:c r="I76" s="24" t="str">
        <x:v>Superior border greater trochanter</x:v>
      </x:c>
      <x:c r="J76" s="24" t="str">
        <x:v>Nerve to piriformis</x:v>
      </x:c>
      <x:c r="K76" s="24" t="str">
        <x:v>S1-S2</x:v>
      </x:c>
      <x:c r="L76" s="24" t="str">
        <x:v>Piriformis insertion tendon</x:v>
      </x:c>
      <x:c r="M76" s="24" t="str">
        <x:v>Sacrotuberous ligament can contribute to origin</x:v>
      </x:c>
      <x:c r="N76" s="24" t="str">
        <x:v>Not established</x:v>
      </x:c>
      <x:c r="O76" s="24" t="str">
        <x:v>Not established</x:v>
      </x:c>
      <x:c r="P76" s="24" t="str">
        <x:v>Mixed Type I and Type II; ratio unverified</x:v>
      </x:c>
      <x:c r="Q76" s="24" t="str">
        <x:v>Published biopsies insufficient to state a reliable per-muscle percentage; no inference from function</x:v>
      </x:c>
      <x:c r="R76" s="24" t="str">
        <x:v>https://www.kenhub.com/en/library/anatomy/lower-extremity-anatomy</x:v>
      </x:c>
      <x:c r="S76" s="24" t="str">
        <x:v>https://pubmed.ncbi.nlm.nih.gov/39359186/</x:v>
      </x:c>
    </x:row>
    <x:row r="77" ht="46" customHeight="1">
      <x:c r="A77" s="24" t="str">
        <x:v>Quadratus femoris</x:v>
      </x:c>
      <x:c r="B77" s="24" t="str">
        <x:v>Deep gluteal</x:v>
      </x:c>
      <x:c r="C77" s="24" t="str">
        <x:v>Stabilizer</x:v>
      </x:c>
      <x:c r="D77" s="24" t="str">
        <x:v>No</x:v>
      </x:c>
      <x:c r="E77" s="24" t="str">
        <x:v>No</x:v>
      </x:c>
      <x:c r="F77" s="24" t="str">
        <x:v>Yes</x:v>
      </x:c>
      <x:c r="G77" s="24" t="str">
        <x:v>Externally rotates/adducts hip; stabilizes femoral head</x:v>
      </x:c>
      <x:c r="H77" s="24" t="str">
        <x:v>Lateral border ischial tuberosity</x:v>
      </x:c>
      <x:c r="I77" s="24" t="str">
        <x:v>Quadrate tubercle of intertrochanteric crest</x:v>
      </x:c>
      <x:c r="J77" s="24" t="str">
        <x:v>Nerve to quadratus femoris</x:v>
      </x:c>
      <x:c r="K77" s="24" t="str">
        <x:v>L4-S1</x:v>
      </x:c>
      <x:c r="L77" s="24" t="str">
        <x:v>Short femoral insertion tendon</x:v>
      </x:c>
      <x:c r="M77" s="24" t="str">
        <x:v>Ischiofemoral ligament posterior to hip joint nearby</x:v>
      </x:c>
      <x:c r="N77" s="24" t="str">
        <x:v>Not established</x:v>
      </x:c>
      <x:c r="O77" s="24" t="str">
        <x:v>Not established</x:v>
      </x:c>
      <x:c r="P77" s="24" t="str">
        <x:v>Mixed Type I and Type II; ratio unverified</x:v>
      </x:c>
      <x:c r="Q77" s="24" t="str">
        <x:v>Published biopsies insufficient to state a reliable per-muscle percentage; no inference from function</x:v>
      </x:c>
      <x:c r="R77" s="24" t="str">
        <x:v>https://www.kenhub.com/en/library/anatomy/lower-extremity-anatomy</x:v>
      </x:c>
      <x:c r="S77" s="24" t="str">
        <x:v>https://pubmed.ncbi.nlm.nih.gov/39359186/</x:v>
      </x:c>
    </x:row>
    <x:row r="78" ht="46" customHeight="1">
      <x:c r="A78" s="24" t="str">
        <x:v>Superior gemellus</x:v>
      </x:c>
      <x:c r="B78" s="24" t="str">
        <x:v>Deep gluteal</x:v>
      </x:c>
      <x:c r="C78" s="24" t="str">
        <x:v>Stabilizer</x:v>
      </x:c>
      <x:c r="D78" s="24" t="str">
        <x:v>No</x:v>
      </x:c>
      <x:c r="E78" s="24" t="str">
        <x:v>No</x:v>
      </x:c>
      <x:c r="F78" s="24" t="str">
        <x:v>Yes</x:v>
      </x:c>
      <x:c r="G78" s="24" t="str">
        <x:v>Externally rotates extended hip; abducts flexed hip</x:v>
      </x:c>
      <x:c r="H78" s="24" t="str">
        <x:v>Ischial spine</x:v>
      </x:c>
      <x:c r="I78" s="24" t="str">
        <x:v>Medial greater trochanter with obturator internus</x:v>
      </x:c>
      <x:c r="J78" s="24" t="str">
        <x:v>Nerve to obturator internus</x:v>
      </x:c>
      <x:c r="K78" s="24" t="str">
        <x:v>L5-S2</x:v>
      </x:c>
      <x:c r="L78" s="24" t="str">
        <x:v>Common tendon with obturator internus</x:v>
      </x:c>
      <x:c r="M78" s="24" t="str">
        <x:v>Sacrospinous ligament attached to ischial spine nearby</x:v>
      </x:c>
      <x:c r="N78" s="24" t="str">
        <x:v>Not established</x:v>
      </x:c>
      <x:c r="O78" s="24" t="str">
        <x:v>Not established</x:v>
      </x:c>
      <x:c r="P78" s="24" t="str">
        <x:v>Mixed Type I and Type II; ratio unverified</x:v>
      </x:c>
      <x:c r="Q78" s="24" t="str">
        <x:v>Published biopsies insufficient to state a reliable per-muscle percentage; no inference from function</x:v>
      </x:c>
      <x:c r="R78" s="24" t="str">
        <x:v>https://www.kenhub.com/en/library/anatomy/lower-extremity-anatomy</x:v>
      </x:c>
      <x:c r="S78" s="24" t="str">
        <x:v>https://pubmed.ncbi.nlm.nih.gov/39359186/</x:v>
      </x:c>
    </x:row>
    <x:row r="79" ht="46" customHeight="1">
      <x:c r="A79" s="24" t="str">
        <x:v>Obturator externus</x:v>
      </x:c>
      <x:c r="B79" s="24" t="str">
        <x:v>Deep hip</x:v>
      </x:c>
      <x:c r="C79" s="24" t="str">
        <x:v>Stabilizer</x:v>
      </x:c>
      <x:c r="D79" s="24" t="str">
        <x:v>No</x:v>
      </x:c>
      <x:c r="E79" s="24" t="str">
        <x:v>No</x:v>
      </x:c>
      <x:c r="F79" s="24" t="str">
        <x:v>Yes</x:v>
      </x:c>
      <x:c r="G79" s="24" t="str">
        <x:v>Externally rotates hip; supports femoral head</x:v>
      </x:c>
      <x:c r="H79" s="24" t="str">
        <x:v>External obturator membrane; adjacent pubis and ischium</x:v>
      </x:c>
      <x:c r="I79" s="24" t="str">
        <x:v>Trochanteric fossa femur</x:v>
      </x:c>
      <x:c r="J79" s="24" t="str">
        <x:v>Obturator nerve posterior division</x:v>
      </x:c>
      <x:c r="K79" s="24" t="str">
        <x:v>L3-L4</x:v>
      </x:c>
      <x:c r="L79" s="24" t="str">
        <x:v>Obturator externus tendon</x:v>
      </x:c>
      <x:c r="M79" s="24" t="str">
        <x:v>Obturator membrane direct origin</x:v>
      </x:c>
      <x:c r="N79" s="24" t="str">
        <x:v>Not established</x:v>
      </x:c>
      <x:c r="O79" s="24" t="str">
        <x:v>Not established</x:v>
      </x:c>
      <x:c r="P79" s="24" t="str">
        <x:v>Mixed Type I and Type II; ratio unverified</x:v>
      </x:c>
      <x:c r="Q79" s="24" t="str">
        <x:v>Published biopsies insufficient to state a reliable per-muscle percentage; no inference from function</x:v>
      </x:c>
      <x:c r="R79" s="24" t="str">
        <x:v>https://www.kenhub.com/en/library/anatomy/lower-extremity-anatomy</x:v>
      </x:c>
      <x:c r="S79" s="24" t="str">
        <x:v>https://pubmed.ncbi.nlm.nih.gov/39359186/</x:v>
      </x:c>
    </x:row>
    <x:row r="80" ht="46" customHeight="1">
      <x:c r="A80" s="24" t="str">
        <x:v>Iliacus</x:v>
      </x:c>
      <x:c r="B80" s="24" t="str">
        <x:v>Iliopsoas</x:v>
      </x:c>
      <x:c r="C80" s="24" t="str">
        <x:v>Flexor; Stabilizer</x:v>
      </x:c>
      <x:c r="D80" s="24" t="str">
        <x:v>Yes</x:v>
      </x:c>
      <x:c r="E80" s="24" t="str">
        <x:v>No</x:v>
      </x:c>
      <x:c r="F80" s="24" t="str">
        <x:v>Yes</x:v>
      </x:c>
      <x:c r="G80" s="24" t="str">
        <x:v>Hip flexion; pelvic/anterior hip stability</x:v>
      </x:c>
      <x:c r="H80" s="24" t="str">
        <x:v>Iliac fossa; iliac crest; ala sacrum</x:v>
      </x:c>
      <x:c r="I80" s="24" t="str">
        <x:v>Lesser trochanter with psoas major</x:v>
      </x:c>
      <x:c r="J80" s="24" t="str">
        <x:v>Femoral nerve</x:v>
      </x:c>
      <x:c r="K80" s="24" t="str">
        <x:v>L2-L3</x:v>
      </x:c>
      <x:c r="L80" s="24" t="str">
        <x:v>Iliopsoas shared tendon</x:v>
      </x:c>
      <x:c r="M80" s="24" t="str">
        <x:v>Inguinal ligament crosses tendon anteriorly (not attachment)</x:v>
      </x:c>
      <x:c r="N80" s="24" t="str">
        <x:v>Not established</x:v>
      </x:c>
      <x:c r="O80" s="24" t="str">
        <x:v>Not established</x:v>
      </x:c>
      <x:c r="P80" s="24" t="str">
        <x:v>Mixed Type I and Type II; ratio unverified</x:v>
      </x:c>
      <x:c r="Q80" s="24" t="str">
        <x:v>Published biopsies insufficient to state a reliable per-muscle percentage; no inference from function</x:v>
      </x:c>
      <x:c r="R80" s="24" t="str">
        <x:v>https://www.kenhub.com/en/library/anatomy/lower-extremity-anatomy</x:v>
      </x:c>
      <x:c r="S80" s="24" t="str">
        <x:v>https://pubmed.ncbi.nlm.nih.gov/39359186/</x:v>
      </x:c>
    </x:row>
    <x:row r="81" ht="46" customHeight="1">
      <x:c r="A81" s="24" t="str">
        <x:v>Psoas major</x:v>
      </x:c>
      <x:c r="B81" s="24" t="str">
        <x:v>Iliopsoas</x:v>
      </x:c>
      <x:c r="C81" s="24" t="str">
        <x:v>Flexor; Stabilizer</x:v>
      </x:c>
      <x:c r="D81" s="24" t="str">
        <x:v>Yes</x:v>
      </x:c>
      <x:c r="E81" s="24" t="str">
        <x:v>No</x:v>
      </x:c>
      <x:c r="F81" s="24" t="str">
        <x:v>Yes</x:v>
      </x:c>
      <x:c r="G81" s="24" t="str">
        <x:v>Hip flexion; trunk flexion when femur fixed; lumbar stabilization</x:v>
      </x:c>
      <x:c r="H81" s="24" t="str">
        <x:v>Vertebral bodies/discs T12-L5 and transverse processes L1-L5</x:v>
      </x:c>
      <x:c r="I81" s="24" t="str">
        <x:v>Lesser trochanter via iliopsoas tendon</x:v>
      </x:c>
      <x:c r="J81" s="24" t="str">
        <x:v>Direct anterior rami lumbar spinal nerves</x:v>
      </x:c>
      <x:c r="K81" s="24" t="str">
        <x:v>L1-L3 (often L1-L4)</x:v>
      </x:c>
      <x:c r="L81" s="24" t="str">
        <x:v>Iliopsoas shared tendon</x:v>
      </x:c>
      <x:c r="M81" s="24" t="str">
        <x:v>Iliolumbar ligament nearby; not a standard tendon attachment</x:v>
      </x:c>
      <x:c r="N81" s="24" t="str">
        <x:v>Not established</x:v>
      </x:c>
      <x:c r="O81" s="24" t="str">
        <x:v>Not established</x:v>
      </x:c>
      <x:c r="P81" s="24" t="str">
        <x:v>Mixed Type I and Type II; ratio unverified</x:v>
      </x:c>
      <x:c r="Q81" s="24" t="str">
        <x:v>Published biopsies insufficient to state a reliable per-muscle percentage; no inference from function</x:v>
      </x:c>
      <x:c r="R81" s="24" t="str">
        <x:v>https://www.kenhub.com/en/library/anatomy/lower-extremity-anatomy</x:v>
      </x:c>
      <x:c r="S81" s="24" t="str">
        <x:v>https://pubmed.ncbi.nlm.nih.gov/39359186/</x:v>
      </x:c>
    </x:row>
    <x:row r="82" ht="46" customHeight="1">
      <x:c r="A82" s="24" t="str">
        <x:v>Psoas minor (variable/absent)</x:v>
      </x:c>
      <x:c r="B82" s="24" t="str">
        <x:v>Iliopsoas accessory</x:v>
      </x:c>
      <x:c r="C82" s="24" t="str">
        <x:v>Flexor</x:v>
      </x:c>
      <x:c r="D82" s="24" t="str">
        <x:v>Yes</x:v>
      </x:c>
      <x:c r="E82" s="24" t="str">
        <x:v>No</x:v>
      </x:c>
      <x:c r="F82" s="24" t="str">
        <x:v>No</x:v>
      </x:c>
      <x:c r="G82" s="24" t="str">
        <x:v>Weak trunk flexion and tension of iliac fascia</x:v>
      </x:c>
      <x:c r="H82" s="24" t="str">
        <x:v>Bodies/disc T12-L1</x:v>
      </x:c>
      <x:c r="I82" s="24" t="str">
        <x:v>Iliopectineal eminence and iliac fascia</x:v>
      </x:c>
      <x:c r="J82" s="24" t="str">
        <x:v>Anterior ramus L1</x:v>
      </x:c>
      <x:c r="K82" s="24" t="str">
        <x:v>L1</x:v>
      </x:c>
      <x:c r="L82" s="24" t="str">
        <x:v>Long psoas minor tendon</x:v>
      </x:c>
      <x:c r="M82" s="24" t="str">
        <x:v>Iliopubic tract nearby, not direct insertion</x:v>
      </x:c>
      <x:c r="N82" s="24" t="str">
        <x:v>Not established</x:v>
      </x:c>
      <x:c r="O82" s="24" t="str">
        <x:v>Not established</x:v>
      </x:c>
      <x:c r="P82" s="24" t="str">
        <x:v>Mixed Type I and Type II; ratio unverified</x:v>
      </x:c>
      <x:c r="Q82" s="24" t="str">
        <x:v>Published biopsies insufficient to state a reliable per-muscle percentage; no inference from function</x:v>
      </x:c>
      <x:c r="R82" s="24" t="str">
        <x:v>https://www.kenhub.com/en/library/anatomy/lower-extremity-anatomy</x:v>
      </x:c>
      <x:c r="S82" s="24" t="str">
        <x:v>https://pubmed.ncbi.nlm.nih.gov/39359186/</x:v>
      </x:c>
    </x:row>
    <x:row r="83" ht="46" customHeight="1">
      <x:c r="A83" s="24" t="str">
        <x:v>Tensor fasciae latae</x:v>
      </x:c>
      <x:c r="B83" s="24" t="str">
        <x:v>Lateral hip</x:v>
      </x:c>
      <x:c r="C83" s="24" t="str">
        <x:v>Flexor; Stabilizer</x:v>
      </x:c>
      <x:c r="D83" s="24" t="str">
        <x:v>Yes</x:v>
      </x:c>
      <x:c r="E83" s="24" t="str">
        <x:v>No</x:v>
      </x:c>
      <x:c r="F83" s="24" t="str">
        <x:v>Yes</x:v>
      </x:c>
      <x:c r="G83" s="24" t="str">
        <x:v>Flexes/abducts/medially rotates hip; stabilizes knee/pelvis</x:v>
      </x:c>
      <x:c r="H83" s="24" t="str">
        <x:v>ASIS and anterior iliac crest</x:v>
      </x:c>
      <x:c r="I83" s="24" t="str">
        <x:v>Iliotibial tract (lateral tibial condyle)</x:v>
      </x:c>
      <x:c r="J83" s="24" t="str">
        <x:v>Superior gluteal nerve</x:v>
      </x:c>
      <x:c r="K83" s="24" t="str">
        <x:v>L4-S1</x:v>
      </x:c>
      <x:c r="L83" s="24" t="str">
        <x:v>Iliotibial tract (fascial thickening)</x:v>
      </x:c>
      <x:c r="M83" s="24" t="str">
        <x:v>IT tract is fascia, not a ligament; capsule nearby</x:v>
      </x:c>
      <x:c r="N83" s="24" t="str">
        <x:v>Not established</x:v>
      </x:c>
      <x:c r="O83" s="24" t="str">
        <x:v>Not established</x:v>
      </x:c>
      <x:c r="P83" s="24" t="str">
        <x:v>Mixed Type I and Type II; ratio unverified</x:v>
      </x:c>
      <x:c r="Q83" s="24" t="str">
        <x:v>Published biopsies insufficient to state a reliable per-muscle percentage; no inference from function</x:v>
      </x:c>
      <x:c r="R83" s="24" t="str">
        <x:v>https://www.kenhub.com/en/library/anatomy/lower-extremity-anatomy</x:v>
      </x:c>
      <x:c r="S83" s="24" t="str">
        <x:v>https://pubmed.ncbi.nlm.nih.gov/39359186/</x:v>
      </x:c>
    </x:row>
    <x:row r="84" ht="46" customHeight="1">
      <x:c r="A84" s="24" t="str">
        <x:v>Gluteus maximus</x:v>
      </x:c>
      <x:c r="B84" s="24" t="str">
        <x:v>Superficial gluteal</x:v>
      </x:c>
      <x:c r="C84" s="24" t="str">
        <x:v>Extensor; Stabilizer</x:v>
      </x:c>
      <x:c r="D84" s="24" t="str">
        <x:v>No</x:v>
      </x:c>
      <x:c r="E84" s="24" t="str">
        <x:v>Yes</x:v>
      </x:c>
      <x:c r="F84" s="24" t="str">
        <x:v>Yes</x:v>
      </x:c>
      <x:c r="G84" s="24" t="str">
        <x:v>Powerful hip extension and external rotation; steadies pelvis</x:v>
      </x:c>
      <x:c r="H84" s="24" t="str">
        <x:v>Posterior ilium; sacrum; coccyx; sacrotuberous ligament</x:v>
      </x:c>
      <x:c r="I84" s="24" t="str">
        <x:v>Iliotibial tract and gluteal tuberosity femur</x:v>
      </x:c>
      <x:c r="J84" s="24" t="str">
        <x:v>Inferior gluteal nerve</x:v>
      </x:c>
      <x:c r="K84" s="24" t="str">
        <x:v>L5-S2</x:v>
      </x:c>
      <x:c r="L84" s="24" t="str">
        <x:v>Iliotibial tract aponeurosis and gluteal tendon</x:v>
      </x:c>
      <x:c r="M84" s="24" t="str">
        <x:v>Sacrotuberous ligament direct origin; IT tract is fascia</x:v>
      </x:c>
      <x:c r="N84" s="24" t="str">
        <x:v>Not established</x:v>
      </x:c>
      <x:c r="O84" s="24" t="str">
        <x:v>Not established</x:v>
      </x:c>
      <x:c r="P84" s="24" t="str">
        <x:v>Mixed Type I and Type II; ratio unverified</x:v>
      </x:c>
      <x:c r="Q84" s="24" t="str">
        <x:v>Published biopsies insufficient to state a reliable per-muscle percentage; no inference from function</x:v>
      </x:c>
      <x:c r="R84" s="24" t="str">
        <x:v>https://www.kenhub.com/en/library/anatomy/lower-extremity-anatomy</x:v>
      </x:c>
      <x:c r="S84" s="24" t="str">
        <x:v>https://pubmed.ncbi.nlm.nih.gov/39359186/</x:v>
      </x:c>
    </x:row>
    <x:row r="85" ht="46" customHeight="1">
      <x:c r="A85" s="24" t="str">
        <x:v>Gluteus medius</x:v>
      </x:c>
      <x:c r="B85" s="24" t="str">
        <x:v>Superficial gluteal</x:v>
      </x:c>
      <x:c r="C85" s="24" t="str">
        <x:v>Stabilizer</x:v>
      </x:c>
      <x:c r="D85" s="24" t="str">
        <x:v>No</x:v>
      </x:c>
      <x:c r="E85" s="24" t="str">
        <x:v>No</x:v>
      </x:c>
      <x:c r="F85" s="24" t="str">
        <x:v>Yes</x:v>
      </x:c>
      <x:c r="G85" s="24" t="str">
        <x:v>Abducts hip; stabilizes pelvis in single-leg stance</x:v>
      </x:c>
      <x:c r="H85" s="24" t="str">
        <x:v>External ilium between anterior and posterior gluteal lines</x:v>
      </x:c>
      <x:c r="I85" s="24" t="str">
        <x:v>Lateral surface greater trochanter</x:v>
      </x:c>
      <x:c r="J85" s="24" t="str">
        <x:v>Superior gluteal nerve</x:v>
      </x:c>
      <x:c r="K85" s="24" t="str">
        <x:v>L4-S1</x:v>
      </x:c>
      <x:c r="L85" s="24" t="str">
        <x:v>Gluteus medius tendon</x:v>
      </x:c>
      <x:c r="M85" s="24" t="str">
        <x:v>Iliofemoral ligament adjacent to joint, not direct origin</x:v>
      </x:c>
      <x:c r="N85" s="24" t="str">
        <x:v>Not established</x:v>
      </x:c>
      <x:c r="O85" s="24" t="str">
        <x:v>Not established</x:v>
      </x:c>
      <x:c r="P85" s="24" t="str">
        <x:v>Mixed Type I and Type II; ratio unverified</x:v>
      </x:c>
      <x:c r="Q85" s="24" t="str">
        <x:v>Published biopsies insufficient to state a reliable per-muscle percentage; no inference from function</x:v>
      </x:c>
      <x:c r="R85" s="24" t="str">
        <x:v>https://www.kenhub.com/en/library/anatomy/lower-extremity-anatomy</x:v>
      </x:c>
      <x:c r="S85" s="24" t="str">
        <x:v>https://pubmed.ncbi.nlm.nih.gov/39359186/</x:v>
      </x:c>
    </x:row>
    <x:row r="86" ht="46" customHeight="1">
      <x:c r="A86" s="24" t="str">
        <x:v>Sartorius</x:v>
      </x:c>
      <x:c r="B86" s="24" t="str">
        <x:v>Anterior thigh</x:v>
      </x:c>
      <x:c r="C86" s="24" t="str">
        <x:v>Flexor; Stabilizer</x:v>
      </x:c>
      <x:c r="D86" s="24" t="str">
        <x:v>Yes</x:v>
      </x:c>
      <x:c r="E86" s="24" t="str">
        <x:v>No</x:v>
      </x:c>
      <x:c r="F86" s="24" t="str">
        <x:v>Yes</x:v>
      </x:c>
      <x:c r="G86" s="24" t="str">
        <x:v>Hip flexion/abduction/external rotation; knee flexion</x:v>
      </x:c>
      <x:c r="H86" s="24" t="str">
        <x:v>Anterior superior iliac spine</x:v>
      </x:c>
      <x:c r="I86" s="24" t="str">
        <x:v>Superomedial tibia via pes anserinus</x:v>
      </x:c>
      <x:c r="J86" s="24" t="str">
        <x:v>Femoral nerve</x:v>
      </x:c>
      <x:c r="K86" s="24" t="str">
        <x:v>L2-L3</x:v>
      </x:c>
      <x:c r="L86" s="24" t="str">
        <x:v>Pes anserinus superficial tendon</x:v>
      </x:c>
      <x:c r="M86" s="24" t="str">
        <x:v>Medial collateral ligament of knee lies deep to pes anserinus</x:v>
      </x:c>
      <x:c r="N86" s="24" t="str">
        <x:v>Not established</x:v>
      </x:c>
      <x:c r="O86" s="24" t="str">
        <x:v>Not established</x:v>
      </x:c>
      <x:c r="P86" s="24" t="str">
        <x:v>Mixed Type I and Type II; ratio unverified</x:v>
      </x:c>
      <x:c r="Q86" s="24" t="str">
        <x:v>Published biopsies insufficient to state a reliable per-muscle percentage; no inference from function</x:v>
      </x:c>
      <x:c r="R86" s="24" t="str">
        <x:v>https://www.kenhub.com/en/library/anatomy/lower-extremity-anatomy</x:v>
      </x:c>
      <x:c r="S86" s="24" t="str">
        <x:v>https://pubmed.ncbi.nlm.nih.gov/39359186/</x:v>
      </x:c>
    </x:row>
    <x:row r="87" ht="46" customHeight="1">
      <x:c r="A87" s="24" t="str">
        <x:v>Rectus femoris reflected head</x:v>
      </x:c>
      <x:c r="B87" s="24" t="str">
        <x:v>Anterior thigh quadriceps</x:v>
      </x:c>
      <x:c r="C87" s="24" t="str">
        <x:v>Flexor; Extensor</x:v>
      </x:c>
      <x:c r="D87" s="24" t="str">
        <x:v>Yes</x:v>
      </x:c>
      <x:c r="E87" s="24" t="str">
        <x:v>Yes</x:v>
      </x:c>
      <x:c r="F87" s="24" t="str">
        <x:v>No</x:v>
      </x:c>
      <x:c r="G87" s="24" t="str">
        <x:v>Knee extension; hip flexion</x:v>
      </x:c>
      <x:c r="H87" s="24" t="str">
        <x:v>Supra-acetabular groove and hip capsule</x:v>
      </x:c>
      <x:c r="I87" s="24" t="str">
        <x:v>Patella then tibial tuberosity via patellar ligament</x:v>
      </x:c>
      <x:c r="J87" s="24" t="str">
        <x:v>Femoral nerve</x:v>
      </x:c>
      <x:c r="K87" s="24" t="str">
        <x:v>L2-L4</x:v>
      </x:c>
      <x:c r="L87" s="24" t="str">
        <x:v>Reflected proximal tendon; quadriceps tendon</x:v>
      </x:c>
      <x:c r="M87" s="24" t="str">
        <x:v>Hip capsule origin and patellar ligament distal continuation</x:v>
      </x:c>
      <x:c r="N87" s="24" t="str">
        <x:v>Not established</x:v>
      </x:c>
      <x:c r="O87" s="24" t="str">
        <x:v>Not established</x:v>
      </x:c>
      <x:c r="P87" s="24" t="str">
        <x:v>Mixed Type I and Type II; ratio unverified</x:v>
      </x:c>
      <x:c r="Q87" s="24" t="str">
        <x:v>Published biopsies insufficient to state a reliable per-muscle percentage; no inference from function</x:v>
      </x:c>
      <x:c r="R87" s="24" t="str">
        <x:v>https://www.kenhub.com/en/library/anatomy/lower-extremity-anatomy</x:v>
      </x:c>
      <x:c r="S87" s="24" t="str">
        <x:v>https://pubmed.ncbi.nlm.nih.gov/39359186/</x:v>
      </x:c>
    </x:row>
    <x:row r="88" ht="46" customHeight="1">
      <x:c r="A88" s="24" t="str">
        <x:v>Rectus femoris straight head</x:v>
      </x:c>
      <x:c r="B88" s="24" t="str">
        <x:v>Anterior thigh quadriceps</x:v>
      </x:c>
      <x:c r="C88" s="24" t="str">
        <x:v>Flexor; Extensor</x:v>
      </x:c>
      <x:c r="D88" s="24" t="str">
        <x:v>Yes</x:v>
      </x:c>
      <x:c r="E88" s="24" t="str">
        <x:v>Yes</x:v>
      </x:c>
      <x:c r="F88" s="24" t="str">
        <x:v>No</x:v>
      </x:c>
      <x:c r="G88" s="24" t="str">
        <x:v>Extends knee and flexes hip</x:v>
      </x:c>
      <x:c r="H88" s="24" t="str">
        <x:v>Anterior inferior iliac spine</x:v>
      </x:c>
      <x:c r="I88" s="24" t="str">
        <x:v>Patella and tibial tuberosity via patellar ligament</x:v>
      </x:c>
      <x:c r="J88" s="24" t="str">
        <x:v>Femoral nerve</x:v>
      </x:c>
      <x:c r="K88" s="24" t="str">
        <x:v>L2-L4</x:v>
      </x:c>
      <x:c r="L88" s="24" t="str">
        <x:v>Quadriceps tendon; patellar ligament continuation</x:v>
      </x:c>
      <x:c r="M88" s="24" t="str">
        <x:v>Patellar ligament directly transmits quadriceps force</x:v>
      </x:c>
      <x:c r="N88" s="24" t="str">
        <x:v>Not established</x:v>
      </x:c>
      <x:c r="O88" s="24" t="str">
        <x:v>Not established</x:v>
      </x:c>
      <x:c r="P88" s="24" t="str">
        <x:v>Mixed Type I and Type II; ratio unverified</x:v>
      </x:c>
      <x:c r="Q88" s="24" t="str">
        <x:v>Published biopsies insufficient to state a reliable per-muscle percentage; no inference from function</x:v>
      </x:c>
      <x:c r="R88" s="24" t="str">
        <x:v>https://www.kenhub.com/en/library/anatomy/lower-extremity-anatomy</x:v>
      </x:c>
      <x:c r="S88" s="24" t="str">
        <x:v>https://pubmed.ncbi.nlm.nih.gov/39359186/</x:v>
      </x:c>
    </x:row>
    <x:row r="89" ht="46" customHeight="1">
      <x:c r="A89" s="24" t="str">
        <x:v>Vastus intermedius</x:v>
      </x:c>
      <x:c r="B89" s="24" t="str">
        <x:v>Anterior thigh quadriceps</x:v>
      </x:c>
      <x:c r="C89" s="24" t="str">
        <x:v>Extensor</x:v>
      </x:c>
      <x:c r="D89" s="24" t="str">
        <x:v>No</x:v>
      </x:c>
      <x:c r="E89" s="24" t="str">
        <x:v>Yes</x:v>
      </x:c>
      <x:c r="F89" s="24" t="str">
        <x:v>No</x:v>
      </x:c>
      <x:c r="G89" s="24" t="str">
        <x:v>Extends knee</x:v>
      </x:c>
      <x:c r="H89" s="24" t="str">
        <x:v>Anterior/lateral proximal two-thirds femoral shaft</x:v>
      </x:c>
      <x:c r="I89" s="24" t="str">
        <x:v>Patella via quadriceps tendon; tibial tuberosity via patellar ligament</x:v>
      </x:c>
      <x:c r="J89" s="24" t="str">
        <x:v>Femoral nerve</x:v>
      </x:c>
      <x:c r="K89" s="24" t="str">
        <x:v>L2-L4</x:v>
      </x:c>
      <x:c r="L89" s="24" t="str">
        <x:v>Deep quadriceps tendon</x:v>
      </x:c>
      <x:c r="M89" s="24" t="str">
        <x:v>Patellar ligament distal continuation</x:v>
      </x:c>
      <x:c r="N89" s="24" t="str">
        <x:v>Not established</x:v>
      </x:c>
      <x:c r="O89" s="24" t="str">
        <x:v>Not established</x:v>
      </x:c>
      <x:c r="P89" s="24" t="str">
        <x:v>Mixed Type I and Type II; ratio unverified</x:v>
      </x:c>
      <x:c r="Q89" s="24" t="str">
        <x:v>Published biopsies insufficient to state a reliable per-muscle percentage; no inference from function</x:v>
      </x:c>
      <x:c r="R89" s="24" t="str">
        <x:v>https://www.kenhub.com/en/library/anatomy/lower-extremity-anatomy</x:v>
      </x:c>
      <x:c r="S89" s="24" t="str">
        <x:v>https://pubmed.ncbi.nlm.nih.gov/39359186/</x:v>
      </x:c>
    </x:row>
    <x:row r="90" ht="46" customHeight="1">
      <x:c r="A90" s="24" t="str">
        <x:v>Vastus lateralis</x:v>
      </x:c>
      <x:c r="B90" s="24" t="str">
        <x:v>Anterior thigh quadriceps</x:v>
      </x:c>
      <x:c r="C90" s="24" t="str">
        <x:v>Extensor; Stabilizer</x:v>
      </x:c>
      <x:c r="D90" s="24" t="str">
        <x:v>No</x:v>
      </x:c>
      <x:c r="E90" s="24" t="str">
        <x:v>Yes</x:v>
      </x:c>
      <x:c r="F90" s="24" t="str">
        <x:v>Yes</x:v>
      </x:c>
      <x:c r="G90" s="24" t="str">
        <x:v>Extends knee; lateral patellar restraint</x:v>
      </x:c>
      <x:c r="H90" s="24" t="str">
        <x:v>Greater trochanter; lateral lip linea aspera</x:v>
      </x:c>
      <x:c r="I90" s="24" t="str">
        <x:v>Patella via quadriceps tendon; tibial tuberosity via patellar ligament</x:v>
      </x:c>
      <x:c r="J90" s="24" t="str">
        <x:v>Femoral nerve</x:v>
      </x:c>
      <x:c r="K90" s="24" t="str">
        <x:v>L2-L4</x:v>
      </x:c>
      <x:c r="L90" s="24" t="str">
        <x:v>Quadriceps tendon and lateral retinaculum</x:v>
      </x:c>
      <x:c r="M90" s="24" t="str">
        <x:v>Patellar ligament is distal continuation</x:v>
      </x:c>
      <x:c r="N90" s="24" t="str">
        <x:v>Not established</x:v>
      </x:c>
      <x:c r="O90" s="24" t="str">
        <x:v>Not established</x:v>
      </x:c>
      <x:c r="P90" s="24" t="str">
        <x:v>Mixed Type I and Type II; ratio unverified</x:v>
      </x:c>
      <x:c r="Q90" s="24" t="str">
        <x:v>Published biopsies insufficient to state a reliable per-muscle percentage; no inference from function</x:v>
      </x:c>
      <x:c r="R90" s="24" t="str">
        <x:v>https://www.kenhub.com/en/library/anatomy/lower-extremity-anatomy</x:v>
      </x:c>
      <x:c r="S90" s="24" t="str">
        <x:v>https://pubmed.ncbi.nlm.nih.gov/39359186/</x:v>
      </x:c>
    </x:row>
    <x:row r="91" ht="46" customHeight="1">
      <x:c r="A91" s="24" t="str">
        <x:v>Vastus medialis</x:v>
      </x:c>
      <x:c r="B91" s="24" t="str">
        <x:v>Anterior thigh quadriceps</x:v>
      </x:c>
      <x:c r="C91" s="24" t="str">
        <x:v>Extensor; Stabilizer</x:v>
      </x:c>
      <x:c r="D91" s="24" t="str">
        <x:v>No</x:v>
      </x:c>
      <x:c r="E91" s="24" t="str">
        <x:v>Yes</x:v>
      </x:c>
      <x:c r="F91" s="24" t="str">
        <x:v>Yes</x:v>
      </x:c>
      <x:c r="G91" s="24" t="str">
        <x:v>Knee extension; medial patellar stabilization</x:v>
      </x:c>
      <x:c r="H91" s="24" t="str">
        <x:v>Intertrochanteric line; medial lip linea aspera</x:v>
      </x:c>
      <x:c r="I91" s="24" t="str">
        <x:v>Patella via quadriceps tendon; tibial tuberosity via patellar ligament</x:v>
      </x:c>
      <x:c r="J91" s="24" t="str">
        <x:v>Femoral nerve</x:v>
      </x:c>
      <x:c r="K91" s="24" t="str">
        <x:v>L2-L4</x:v>
      </x:c>
      <x:c r="L91" s="24" t="str">
        <x:v>Quadriceps tendon; medial patellar retinaculum</x:v>
      </x:c>
      <x:c r="M91" s="24" t="str">
        <x:v>Medial patellofemoral ligament adjacent to VM oblique fibers</x:v>
      </x:c>
      <x:c r="N91" s="24" t="str">
        <x:v>Not established</x:v>
      </x:c>
      <x:c r="O91" s="24" t="str">
        <x:v>Not established</x:v>
      </x:c>
      <x:c r="P91" s="24" t="str">
        <x:v>Mixed Type I and Type II; ratio unverified</x:v>
      </x:c>
      <x:c r="Q91" s="24" t="str">
        <x:v>Published biopsies insufficient to state a reliable per-muscle percentage; no inference from function</x:v>
      </x:c>
      <x:c r="R91" s="24" t="str">
        <x:v>https://www.kenhub.com/en/library/anatomy/lower-extremity-anatomy</x:v>
      </x:c>
      <x:c r="S91" s="24" t="str">
        <x:v>https://pubmed.ncbi.nlm.nih.gov/39359186/</x:v>
      </x:c>
    </x:row>
    <x:row r="92" ht="46" customHeight="1">
      <x:c r="A92" s="24" t="str">
        <x:v>Articularis genus</x:v>
      </x:c>
      <x:c r="B92" s="24" t="str">
        <x:v>Deep anterior thigh</x:v>
      </x:c>
      <x:c r="C92" s="24" t="str">
        <x:v>Stabilizer</x:v>
      </x:c>
      <x:c r="D92" s="24" t="str">
        <x:v>No</x:v>
      </x:c>
      <x:c r="E92" s="24" t="str">
        <x:v>No</x:v>
      </x:c>
      <x:c r="F92" s="24" t="str">
        <x:v>Yes</x:v>
      </x:c>
      <x:c r="G92" s="24" t="str">
        <x:v>Pulls suprapatellar bursa/capsule superiorly during extension</x:v>
      </x:c>
      <x:c r="H92" s="24" t="str">
        <x:v>Distal anterior femoral shaft</x:v>
      </x:c>
      <x:c r="I92" s="24" t="str">
        <x:v>Suprapatellar bursa and knee joint capsule</x:v>
      </x:c>
      <x:c r="J92" s="24" t="str">
        <x:v>Femoral nerve</x:v>
      </x:c>
      <x:c r="K92" s="24" t="str">
        <x:v>L2-L4</x:v>
      </x:c>
      <x:c r="L92" s="24" t="str">
        <x:v>Short capsular insertion slips</x:v>
      </x:c>
      <x:c r="M92" s="24" t="str">
        <x:v>Suprapatellar joint capsule associated</x:v>
      </x:c>
      <x:c r="N92" s="24" t="str">
        <x:v>Not established</x:v>
      </x:c>
      <x:c r="O92" s="24" t="str">
        <x:v>Not established</x:v>
      </x:c>
      <x:c r="P92" s="24" t="str">
        <x:v>Mixed Type I and Type II; ratio unverified</x:v>
      </x:c>
      <x:c r="Q92" s="24" t="str">
        <x:v>Published biopsies insufficient to state a reliable per-muscle percentage; no inference from function</x:v>
      </x:c>
      <x:c r="R92" s="24" t="str">
        <x:v>https://www.kenhub.com/en/library/anatomy/lower-extremity-anatomy</x:v>
      </x:c>
      <x:c r="S92" s="24" t="str">
        <x:v>https://pubmed.ncbi.nlm.nih.gov/39359186/</x:v>
      </x:c>
    </x:row>
    <x:row r="93" ht="46" customHeight="1">
      <x:c r="A93" s="24" t="str">
        <x:v>Adductor minimus (proximal magnus subdivision)</x:v>
      </x:c>
      <x:c r="B93" s="24" t="str">
        <x:v>Deep medial thigh</x:v>
      </x:c>
      <x:c r="C93" s="24" t="str">
        <x:v>Stabilizer</x:v>
      </x:c>
      <x:c r="D93" s="24" t="str">
        <x:v>No</x:v>
      </x:c>
      <x:c r="E93" s="24" t="str">
        <x:v>No</x:v>
      </x:c>
      <x:c r="F93" s="24" t="str">
        <x:v>Yes</x:v>
      </x:c>
      <x:c r="G93" s="24" t="str">
        <x:v>Adducts and externally rotates hip</x:v>
      </x:c>
      <x:c r="H93" s="24" t="str">
        <x:v>Ischiopubic ramus</x:v>
      </x:c>
      <x:c r="I93" s="24" t="str">
        <x:v>Gluteal tuberosity and upper linea aspera</x:v>
      </x:c>
      <x:c r="J93" s="24" t="str">
        <x:v>Obturator nerve posterior division</x:v>
      </x:c>
      <x:c r="K93" s="24" t="str">
        <x:v>L2-L4</x:v>
      </x:c>
      <x:c r="L93" s="24" t="str">
        <x:v>Broad short insertion</x:v>
      </x:c>
      <x:c r="M93" s="24" t="str">
        <x:v>No specific direct ligament attachment</x:v>
      </x:c>
      <x:c r="N93" s="24" t="str">
        <x:v>Not established</x:v>
      </x:c>
      <x:c r="O93" s="24" t="str">
        <x:v>Not established</x:v>
      </x:c>
      <x:c r="P93" s="24" t="str">
        <x:v>Mixed Type I and Type II; ratio unverified</x:v>
      </x:c>
      <x:c r="Q93" s="24" t="str">
        <x:v>Published biopsies insufficient to state a reliable per-muscle percentage; no inference from function</x:v>
      </x:c>
      <x:c r="R93" s="24" t="str">
        <x:v>https://www.kenhub.com/en/library/anatomy/lower-extremity-anatomy</x:v>
      </x:c>
      <x:c r="S93" s="24" t="str">
        <x:v>https://pubmed.ncbi.nlm.nih.gov/39359186/</x:v>
      </x:c>
    </x:row>
    <x:row r="94" ht="46" customHeight="1">
      <x:c r="A94" s="24" t="str">
        <x:v>Adductor brevis</x:v>
      </x:c>
      <x:c r="B94" s="24" t="str">
        <x:v>Medial thigh</x:v>
      </x:c>
      <x:c r="C94" s="24" t="str">
        <x:v>Flexor; Stabilizer</x:v>
      </x:c>
      <x:c r="D94" s="24" t="str">
        <x:v>Yes</x:v>
      </x:c>
      <x:c r="E94" s="24" t="str">
        <x:v>No</x:v>
      </x:c>
      <x:c r="F94" s="24" t="str">
        <x:v>Yes</x:v>
      </x:c>
      <x:c r="G94" s="24" t="str">
        <x:v>Hip adduction, weak flexion</x:v>
      </x:c>
      <x:c r="H94" s="24" t="str">
        <x:v>Body/inferior ramus pubis</x:v>
      </x:c>
      <x:c r="I94" s="24" t="str">
        <x:v>Pectineal line and proximal linea aspera</x:v>
      </x:c>
      <x:c r="J94" s="24" t="str">
        <x:v>Obturator nerve</x:v>
      </x:c>
      <x:c r="K94" s="24" t="str">
        <x:v>L2-L4</x:v>
      </x:c>
      <x:c r="L94" s="24" t="str">
        <x:v>Short proximal tendon</x:v>
      </x:c>
      <x:c r="M94" s="24" t="str">
        <x:v>Pubic symphysis ligament region near origin</x:v>
      </x:c>
      <x:c r="N94" s="24" t="str">
        <x:v>Not established</x:v>
      </x:c>
      <x:c r="O94" s="24" t="str">
        <x:v>Not established</x:v>
      </x:c>
      <x:c r="P94" s="24" t="str">
        <x:v>Mixed Type I and Type II; ratio unverified</x:v>
      </x:c>
      <x:c r="Q94" s="24" t="str">
        <x:v>Published biopsies insufficient to state a reliable per-muscle percentage; no inference from function</x:v>
      </x:c>
      <x:c r="R94" s="24" t="str">
        <x:v>https://www.kenhub.com/en/library/anatomy/lower-extremity-anatomy</x:v>
      </x:c>
      <x:c r="S94" s="24" t="str">
        <x:v>https://pubmed.ncbi.nlm.nih.gov/39359186/</x:v>
      </x:c>
    </x:row>
    <x:row r="95" ht="46" customHeight="1">
      <x:c r="A95" s="24" t="str">
        <x:v>Adductor longus</x:v>
      </x:c>
      <x:c r="B95" s="24" t="str">
        <x:v>Medial thigh</x:v>
      </x:c>
      <x:c r="C95" s="24" t="str">
        <x:v>Flexor; Stabilizer</x:v>
      </x:c>
      <x:c r="D95" s="24" t="str">
        <x:v>Yes</x:v>
      </x:c>
      <x:c r="E95" s="24" t="str">
        <x:v>No</x:v>
      </x:c>
      <x:c r="F95" s="24" t="str">
        <x:v>Yes</x:v>
      </x:c>
      <x:c r="G95" s="24" t="str">
        <x:v>Hip adduction; assists hip flexion</x:v>
      </x:c>
      <x:c r="H95" s="24" t="str">
        <x:v>Body of pubis inferior to pubic crest</x:v>
      </x:c>
      <x:c r="I95" s="24" t="str">
        <x:v>Middle third linea aspera femur</x:v>
      </x:c>
      <x:c r="J95" s="24" t="str">
        <x:v>Obturator nerve anterior division</x:v>
      </x:c>
      <x:c r="K95" s="24" t="str">
        <x:v>L2-L4</x:v>
      </x:c>
      <x:c r="L95" s="24" t="str">
        <x:v>Strong proximal tendon; broad distal aponeurosis</x:v>
      </x:c>
      <x:c r="M95" s="24" t="str">
        <x:v>Pubic symphysis ligaments near origin</x:v>
      </x:c>
      <x:c r="N95" s="24" t="str">
        <x:v>Not established</x:v>
      </x:c>
      <x:c r="O95" s="24" t="str">
        <x:v>Not established</x:v>
      </x:c>
      <x:c r="P95" s="24" t="str">
        <x:v>Mixed Type I and Type II; ratio unverified</x:v>
      </x:c>
      <x:c r="Q95" s="24" t="str">
        <x:v>Published biopsies insufficient to state a reliable per-muscle percentage; no inference from function</x:v>
      </x:c>
      <x:c r="R95" s="24" t="str">
        <x:v>https://www.kenhub.com/en/library/anatomy/lower-extremity-anatomy</x:v>
      </x:c>
      <x:c r="S95" s="24" t="str">
        <x:v>https://pubmed.ncbi.nlm.nih.gov/39359186/</x:v>
      </x:c>
    </x:row>
    <x:row r="96" ht="46" customHeight="1">
      <x:c r="A96" s="24" t="str">
        <x:v>Adductor magnus adductor part</x:v>
      </x:c>
      <x:c r="B96" s="24" t="str">
        <x:v>Medial thigh</x:v>
      </x:c>
      <x:c r="C96" s="24" t="str">
        <x:v>Flexor; Stabilizer</x:v>
      </x:c>
      <x:c r="D96" s="24" t="str">
        <x:v>Yes</x:v>
      </x:c>
      <x:c r="E96" s="24" t="str">
        <x:v>No</x:v>
      </x:c>
      <x:c r="F96" s="24" t="str">
        <x:v>Yes</x:v>
      </x:c>
      <x:c r="G96" s="24" t="str">
        <x:v>Powerful hip adduction; assists hip flexion</x:v>
      </x:c>
      <x:c r="H96" s="24" t="str">
        <x:v>Inferior pubic ramus and ischial ramus</x:v>
      </x:c>
      <x:c r="I96" s="24" t="str">
        <x:v>Gluteal tuberosity, linea aspera, medial supracondylar line</x:v>
      </x:c>
      <x:c r="J96" s="24" t="str">
        <x:v>Obturator nerve posterior division</x:v>
      </x:c>
      <x:c r="K96" s="24" t="str">
        <x:v>L2-L4</x:v>
      </x:c>
      <x:c r="L96" s="24" t="str">
        <x:v>Broad aponeurotic femoral insertion</x:v>
      </x:c>
      <x:c r="M96" s="24" t="str">
        <x:v>No specific direct ligament attachment</x:v>
      </x:c>
      <x:c r="N96" s="24" t="str">
        <x:v>Not established</x:v>
      </x:c>
      <x:c r="O96" s="24" t="str">
        <x:v>Not established</x:v>
      </x:c>
      <x:c r="P96" s="24" t="str">
        <x:v>Mixed Type I and Type II; ratio unverified</x:v>
      </x:c>
      <x:c r="Q96" s="24" t="str">
        <x:v>Published biopsies insufficient to state a reliable per-muscle percentage; no inference from function</x:v>
      </x:c>
      <x:c r="R96" s="24" t="str">
        <x:v>https://www.kenhub.com/en/library/anatomy/lower-extremity-anatomy</x:v>
      </x:c>
      <x:c r="S96" s="24" t="str">
        <x:v>https://pubmed.ncbi.nlm.nih.gov/39359186/</x:v>
      </x:c>
    </x:row>
    <x:row r="97" ht="46" customHeight="1">
      <x:c r="A97" s="24" t="str">
        <x:v>Gracilis</x:v>
      </x:c>
      <x:c r="B97" s="24" t="str">
        <x:v>Medial thigh superficial</x:v>
      </x:c>
      <x:c r="C97" s="24" t="str">
        <x:v>Flexor; Stabilizer</x:v>
      </x:c>
      <x:c r="D97" s="24" t="str">
        <x:v>Yes</x:v>
      </x:c>
      <x:c r="E97" s="24" t="str">
        <x:v>No</x:v>
      </x:c>
      <x:c r="F97" s="24" t="str">
        <x:v>Yes</x:v>
      </x:c>
      <x:c r="G97" s="24" t="str">
        <x:v>Hip adduction; knee flexion; internal tibial rotation</x:v>
      </x:c>
      <x:c r="H97" s="24" t="str">
        <x:v>Body and inferior ramus pubis</x:v>
      </x:c>
      <x:c r="I97" s="24" t="str">
        <x:v>Superomedial tibia via pes anserinus</x:v>
      </x:c>
      <x:c r="J97" s="24" t="str">
        <x:v>Obturator nerve</x:v>
      </x:c>
      <x:c r="K97" s="24" t="str">
        <x:v>L2-L3</x:v>
      </x:c>
      <x:c r="L97" s="24" t="str">
        <x:v>Gracilis pes anserinus tendon</x:v>
      </x:c>
      <x:c r="M97" s="24" t="str">
        <x:v>Medial collateral ligament beneath pes anserinus</x:v>
      </x:c>
      <x:c r="N97" s="24" t="str">
        <x:v>Not established</x:v>
      </x:c>
      <x:c r="O97" s="24" t="str">
        <x:v>Not established</x:v>
      </x:c>
      <x:c r="P97" s="24" t="str">
        <x:v>Mixed Type I and Type II; ratio unverified</x:v>
      </x:c>
      <x:c r="Q97" s="24" t="str">
        <x:v>Published biopsies insufficient to state a reliable per-muscle percentage; no inference from function</x:v>
      </x:c>
      <x:c r="R97" s="24" t="str">
        <x:v>https://www.kenhub.com/en/library/anatomy/lower-extremity-anatomy</x:v>
      </x:c>
      <x:c r="S97" s="24" t="str">
        <x:v>https://pubmed.ncbi.nlm.nih.gov/39359186/</x:v>
      </x:c>
    </x:row>
    <x:row r="98" ht="46" customHeight="1">
      <x:c r="A98" s="24" t="str">
        <x:v>Pectineus</x:v>
      </x:c>
      <x:c r="B98" s="24" t="str">
        <x:v>Medial/anterior thigh</x:v>
      </x:c>
      <x:c r="C98" s="24" t="str">
        <x:v>Flexor; Stabilizer</x:v>
      </x:c>
      <x:c r="D98" s="24" t="str">
        <x:v>Yes</x:v>
      </x:c>
      <x:c r="E98" s="24" t="str">
        <x:v>No</x:v>
      </x:c>
      <x:c r="F98" s="24" t="str">
        <x:v>Yes</x:v>
      </x:c>
      <x:c r="G98" s="24" t="str">
        <x:v>Adducts and flexes hip</x:v>
      </x:c>
      <x:c r="H98" s="24" t="str">
        <x:v>Pecten pubis (superior pubic ramus)</x:v>
      </x:c>
      <x:c r="I98" s="24" t="str">
        <x:v>Pectineal line femur</x:v>
      </x:c>
      <x:c r="J98" s="24" t="str">
        <x:v>Femoral nerve (sometimes obturator)</x:v>
      </x:c>
      <x:c r="K98" s="24" t="str">
        <x:v>L2-L3</x:v>
      </x:c>
      <x:c r="L98" s="24" t="str">
        <x:v>Flat pectineus insertion</x:v>
      </x:c>
      <x:c r="M98" s="24" t="str">
        <x:v>Pubofemoral ligament near hip, not direct tendon attachment</x:v>
      </x:c>
      <x:c r="N98" s="24" t="str">
        <x:v>Not established</x:v>
      </x:c>
      <x:c r="O98" s="24" t="str">
        <x:v>Not established</x:v>
      </x:c>
      <x:c r="P98" s="24" t="str">
        <x:v>Mixed Type I and Type II; ratio unverified</x:v>
      </x:c>
      <x:c r="Q98" s="24" t="str">
        <x:v>Published biopsies insufficient to state a reliable per-muscle percentage; no inference from function</x:v>
      </x:c>
      <x:c r="R98" s="24" t="str">
        <x:v>https://www.kenhub.com/en/library/anatomy/lower-extremity-anatomy</x:v>
      </x:c>
      <x:c r="S98" s="24" t="str">
        <x:v>https://pubmed.ncbi.nlm.nih.gov/39359186/</x:v>
      </x:c>
    </x:row>
    <x:row r="99" ht="46" customHeight="1">
      <x:c r="A99" s="24" t="str">
        <x:v>Biceps femoris long head</x:v>
      </x:c>
      <x:c r="B99" s="24" t="str">
        <x:v>Posterior thigh hamstrings</x:v>
      </x:c>
      <x:c r="C99" s="24" t="str">
        <x:v>Flexor; Extensor</x:v>
      </x:c>
      <x:c r="D99" s="24" t="str">
        <x:v>Yes</x:v>
      </x:c>
      <x:c r="E99" s="24" t="str">
        <x:v>Yes</x:v>
      </x:c>
      <x:c r="F99" s="24" t="str">
        <x:v>No</x:v>
      </x:c>
      <x:c r="G99" s="24" t="str">
        <x:v>Extends hip; flexes knee; laterally rotates flexed knee</x:v>
      </x:c>
      <x:c r="H99" s="24" t="str">
        <x:v>Ischial tuberosity with semitendinosus</x:v>
      </x:c>
      <x:c r="I99" s="24" t="str">
        <x:v>Head of fibula</x:v>
      </x:c>
      <x:c r="J99" s="24" t="str">
        <x:v>Tibial division sciatic nerve</x:v>
      </x:c>
      <x:c r="K99" s="24" t="str">
        <x:v>L5-S2</x:v>
      </x:c>
      <x:c r="L99" s="24" t="str">
        <x:v>Common hamstring proximal tendon; distal biceps tendon</x:v>
      </x:c>
      <x:c r="M99" s="24" t="str">
        <x:v>Fibular collateral ligament adjacent to distal insertion</x:v>
      </x:c>
      <x:c r="N99" s="24" t="str">
        <x:v>Not established</x:v>
      </x:c>
      <x:c r="O99" s="24" t="str">
        <x:v>Not established</x:v>
      </x:c>
      <x:c r="P99" s="24" t="str">
        <x:v>Mixed Type I and Type II; ratio unverified</x:v>
      </x:c>
      <x:c r="Q99" s="24" t="str">
        <x:v>Published biopsies insufficient to state a reliable per-muscle percentage; no inference from function</x:v>
      </x:c>
      <x:c r="R99" s="24" t="str">
        <x:v>https://www.kenhub.com/en/library/anatomy/lower-extremity-anatomy</x:v>
      </x:c>
      <x:c r="S99" s="24" t="str">
        <x:v>https://pubmed.ncbi.nlm.nih.gov/39359186/</x:v>
      </x:c>
    </x:row>
    <x:row r="100" ht="46" customHeight="1">
      <x:c r="A100" s="24" t="str">
        <x:v>Biceps femoris short head</x:v>
      </x:c>
      <x:c r="B100" s="24" t="str">
        <x:v>Posterior thigh hamstrings</x:v>
      </x:c>
      <x:c r="C100" s="24" t="str">
        <x:v>Flexor</x:v>
      </x:c>
      <x:c r="D100" s="24" t="str">
        <x:v>Yes</x:v>
      </x:c>
      <x:c r="E100" s="24" t="str">
        <x:v>No</x:v>
      </x:c>
      <x:c r="F100" s="24" t="str">
        <x:v>No</x:v>
      </x:c>
      <x:c r="G100" s="24" t="str">
        <x:v>Flexes knee; laterally rotates flexed knee</x:v>
      </x:c>
      <x:c r="H100" s="24" t="str">
        <x:v>Lateral lip linea aspera and lateral supracondylar line</x:v>
      </x:c>
      <x:c r="I100" s="24" t="str">
        <x:v>Head of fibula</x:v>
      </x:c>
      <x:c r="J100" s="24" t="str">
        <x:v>Common fibular division sciatic nerve</x:v>
      </x:c>
      <x:c r="K100" s="24" t="str">
        <x:v>L5-S2</x:v>
      </x:c>
      <x:c r="L100" s="24" t="str">
        <x:v>Common biceps femoris distal tendon</x:v>
      </x:c>
      <x:c r="M100" s="24" t="str">
        <x:v>Fibular collateral ligament close to fibular attachment</x:v>
      </x:c>
      <x:c r="N100" s="24" t="str">
        <x:v>Not established</x:v>
      </x:c>
      <x:c r="O100" s="24" t="str">
        <x:v>Not established</x:v>
      </x:c>
      <x:c r="P100" s="24" t="str">
        <x:v>Mixed Type I and Type II; ratio unverified</x:v>
      </x:c>
      <x:c r="Q100" s="24" t="str">
        <x:v>Published biopsies insufficient to state a reliable per-muscle percentage; no inference from function</x:v>
      </x:c>
      <x:c r="R100" s="24" t="str">
        <x:v>https://www.kenhub.com/en/library/anatomy/lower-extremity-anatomy</x:v>
      </x:c>
      <x:c r="S100" s="24" t="str">
        <x:v>https://pubmed.ncbi.nlm.nih.gov/39359186/</x:v>
      </x:c>
    </x:row>
    <x:row r="101" ht="46" customHeight="1">
      <x:c r="A101" s="24" t="str">
        <x:v>Semimembranosus</x:v>
      </x:c>
      <x:c r="B101" s="24" t="str">
        <x:v>Posterior thigh hamstrings</x:v>
      </x:c>
      <x:c r="C101" s="24" t="str">
        <x:v>Flexor; Extensor; Stabilizer</x:v>
      </x:c>
      <x:c r="D101" s="24" t="str">
        <x:v>Yes</x:v>
      </x:c>
      <x:c r="E101" s="24" t="str">
        <x:v>Yes</x:v>
      </x:c>
      <x:c r="F101" s="24" t="str">
        <x:v>Yes</x:v>
      </x:c>
      <x:c r="G101" s="24" t="str">
        <x:v>Extends hip; flexes knee; medially rotates flexed tibia</x:v>
      </x:c>
      <x:c r="H101" s="24" t="str">
        <x:v>Ischial tuberosity</x:v>
      </x:c>
      <x:c r="I101" s="24" t="str">
        <x:v>Posteromedial tibial condyle</x:v>
      </x:c>
      <x:c r="J101" s="24" t="str">
        <x:v>Tibial division sciatic nerve</x:v>
      </x:c>
      <x:c r="K101" s="24" t="str">
        <x:v>L5-S2</x:v>
      </x:c>
      <x:c r="L101" s="24" t="str">
        <x:v>Broad proximal membrane; distal semimembranosus tendon</x:v>
      </x:c>
      <x:c r="M101" s="24" t="str">
        <x:v>Oblique popliteal ligament is tendon expansion; capsule and arcuate system nearby</x:v>
      </x:c>
      <x:c r="N101" s="24" t="str">
        <x:v>Not established</x:v>
      </x:c>
      <x:c r="O101" s="24" t="str">
        <x:v>Not established</x:v>
      </x:c>
      <x:c r="P101" s="24" t="str">
        <x:v>Mixed Type I and Type II; ratio unverified</x:v>
      </x:c>
      <x:c r="Q101" s="24" t="str">
        <x:v>Published biopsies insufficient to state a reliable per-muscle percentage; no inference from function</x:v>
      </x:c>
      <x:c r="R101" s="24" t="str">
        <x:v>https://www.kenhub.com/en/library/anatomy/lower-extremity-anatomy</x:v>
      </x:c>
      <x:c r="S101" s="24" t="str">
        <x:v>https://pubmed.ncbi.nlm.nih.gov/39359186/</x:v>
      </x:c>
    </x:row>
    <x:row r="102" ht="46" customHeight="1">
      <x:c r="A102" s="24" t="str">
        <x:v>Semitendinosus</x:v>
      </x:c>
      <x:c r="B102" s="24" t="str">
        <x:v>Posterior thigh hamstrings</x:v>
      </x:c>
      <x:c r="C102" s="24" t="str">
        <x:v>Flexor; Extensor</x:v>
      </x:c>
      <x:c r="D102" s="24" t="str">
        <x:v>Yes</x:v>
      </x:c>
      <x:c r="E102" s="24" t="str">
        <x:v>Yes</x:v>
      </x:c>
      <x:c r="F102" s="24" t="str">
        <x:v>No</x:v>
      </x:c>
      <x:c r="G102" s="24" t="str">
        <x:v>Extends hip; flexes knee; medially rotates flexed tibia</x:v>
      </x:c>
      <x:c r="H102" s="24" t="str">
        <x:v>Ischial tuberosity with biceps long head</x:v>
      </x:c>
      <x:c r="I102" s="24" t="str">
        <x:v>Superomedial tibia via pes anserinus</x:v>
      </x:c>
      <x:c r="J102" s="24" t="str">
        <x:v>Tibial division sciatic nerve</x:v>
      </x:c>
      <x:c r="K102" s="24" t="str">
        <x:v>L5-S2</x:v>
      </x:c>
      <x:c r="L102" s="24" t="str">
        <x:v>Long distal pes anserinus tendon</x:v>
      </x:c>
      <x:c r="M102" s="24" t="str">
        <x:v>Medial collateral ligament deep to pes anserinus</x:v>
      </x:c>
      <x:c r="N102" s="24" t="str">
        <x:v>Not established</x:v>
      </x:c>
      <x:c r="O102" s="24" t="str">
        <x:v>Not established</x:v>
      </x:c>
      <x:c r="P102" s="24" t="str">
        <x:v>Mixed Type I and Type II; ratio unverified</x:v>
      </x:c>
      <x:c r="Q102" s="24" t="str">
        <x:v>Published biopsies insufficient to state a reliable per-muscle percentage; no inference from function</x:v>
      </x:c>
      <x:c r="R102" s="24" t="str">
        <x:v>https://www.kenhub.com/en/library/anatomy/lower-extremity-anatomy</x:v>
      </x:c>
      <x:c r="S102" s="24" t="str">
        <x:v>https://pubmed.ncbi.nlm.nih.gov/39359186/</x:v>
      </x:c>
    </x:row>
    <x:row r="103" ht="46" customHeight="1">
      <x:c r="A103" s="24" t="str">
        <x:v>Adductor magnus hamstring part</x:v>
      </x:c>
      <x:c r="B103" s="24" t="str">
        <x:v>Posteromedial thigh</x:v>
      </x:c>
      <x:c r="C103" s="24" t="str">
        <x:v>Extensor; Stabilizer</x:v>
      </x:c>
      <x:c r="D103" s="24" t="str">
        <x:v>No</x:v>
      </x:c>
      <x:c r="E103" s="24" t="str">
        <x:v>Yes</x:v>
      </x:c>
      <x:c r="F103" s="24" t="str">
        <x:v>Yes</x:v>
      </x:c>
      <x:c r="G103" s="24" t="str">
        <x:v>Hip extension and adduction</x:v>
      </x:c>
      <x:c r="H103" s="24" t="str">
        <x:v>Ischial tuberosity</x:v>
      </x:c>
      <x:c r="I103" s="24" t="str">
        <x:v>Adductor tubercle medial femur</x:v>
      </x:c>
      <x:c r="J103" s="24" t="str">
        <x:v>Tibial division sciatic nerve</x:v>
      </x:c>
      <x:c r="K103" s="24" t="str">
        <x:v>L4 (often L4-L5)</x:v>
      </x:c>
      <x:c r="L103" s="24" t="str">
        <x:v>Thick adductor magnus hamstring tendon</x:v>
      </x:c>
      <x:c r="M103" s="24" t="str">
        <x:v>Sacrotuberous ligament shares ischial attachment area</x:v>
      </x:c>
      <x:c r="N103" s="24" t="str">
        <x:v>Not established</x:v>
      </x:c>
      <x:c r="O103" s="24" t="str">
        <x:v>Not established</x:v>
      </x:c>
      <x:c r="P103" s="24" t="str">
        <x:v>Mixed Type I and Type II; ratio unverified</x:v>
      </x:c>
      <x:c r="Q103" s="24" t="str">
        <x:v>Published biopsies insufficient to state a reliable per-muscle percentage; no inference from function</x:v>
      </x:c>
      <x:c r="R103" s="24" t="str">
        <x:v>https://www.kenhub.com/en/library/anatomy/lower-extremity-anatomy</x:v>
      </x:c>
      <x:c r="S103" s="24" t="str">
        <x:v>https://pubmed.ncbi.nlm.nih.gov/39359186/</x:v>
      </x:c>
    </x:row>
    <x:row r="104" ht="46" customHeight="1">
      <x:c r="A104" s="24" t="str">
        <x:v>Extensor digitorum longus</x:v>
      </x:c>
      <x:c r="B104" s="24" t="str">
        <x:v>Anterior leg</x:v>
      </x:c>
      <x:c r="C104" s="24" t="str">
        <x:v>Extensor</x:v>
      </x:c>
      <x:c r="D104" s="24" t="str">
        <x:v>No</x:v>
      </x:c>
      <x:c r="E104" s="24" t="str">
        <x:v>Yes</x:v>
      </x:c>
      <x:c r="F104" s="24" t="str">
        <x:v>No</x:v>
      </x:c>
      <x:c r="G104" s="24" t="str">
        <x:v>Extends toes 2-5; dorsiflexes ankle</x:v>
      </x:c>
      <x:c r="H104" s="24" t="str">
        <x:v>Lateral tibial condyle; anterior fibula; interosseous membrane</x:v>
      </x:c>
      <x:c r="I104" s="24" t="str">
        <x:v>Dorsal digital expansions toes 2-5</x:v>
      </x:c>
      <x:c r="J104" s="24" t="str">
        <x:v>Deep fibular nerve</x:v>
      </x:c>
      <x:c r="K104" s="24" t="str">
        <x:v>L5-S1</x:v>
      </x:c>
      <x:c r="L104" s="24" t="str">
        <x:v>Four extensor digitorum longus tendons</x:v>
      </x:c>
      <x:c r="M104" s="24" t="str">
        <x:v>Extensor retinacula restrain tendons</x:v>
      </x:c>
      <x:c r="N104" s="24" t="str">
        <x:v>Not established</x:v>
      </x:c>
      <x:c r="O104" s="24" t="str">
        <x:v>Not established</x:v>
      </x:c>
      <x:c r="P104" s="24" t="str">
        <x:v>Mixed Type I and Type II; ratio unverified</x:v>
      </x:c>
      <x:c r="Q104" s="24" t="str">
        <x:v>Published biopsies insufficient to state a reliable per-muscle percentage; no inference from function</x:v>
      </x:c>
      <x:c r="R104" s="24" t="str">
        <x:v>https://www.kenhub.com/en/library/anatomy/leg-muscles</x:v>
      </x:c>
      <x:c r="S104" s="24" t="str">
        <x:v>https://pubmed.ncbi.nlm.nih.gov/39359186/</x:v>
      </x:c>
    </x:row>
    <x:row r="105" ht="46" customHeight="1">
      <x:c r="A105" s="24" t="str">
        <x:v>Extensor hallucis longus</x:v>
      </x:c>
      <x:c r="B105" s="24" t="str">
        <x:v>Anterior leg</x:v>
      </x:c>
      <x:c r="C105" s="24" t="str">
        <x:v>Extensor</x:v>
      </x:c>
      <x:c r="D105" s="24" t="str">
        <x:v>No</x:v>
      </x:c>
      <x:c r="E105" s="24" t="str">
        <x:v>Yes</x:v>
      </x:c>
      <x:c r="F105" s="24" t="str">
        <x:v>No</x:v>
      </x:c>
      <x:c r="G105" s="24" t="str">
        <x:v>Extends hallux; dorsiflexes ankle</x:v>
      </x:c>
      <x:c r="H105" s="24" t="str">
        <x:v>Middle anterior fibula; interosseous membrane</x:v>
      </x:c>
      <x:c r="I105" s="24" t="str">
        <x:v>Dorsal base distal phalanx hallux</x:v>
      </x:c>
      <x:c r="J105" s="24" t="str">
        <x:v>Deep fibular nerve</x:v>
      </x:c>
      <x:c r="K105" s="24" t="str">
        <x:v>L5-S1</x:v>
      </x:c>
      <x:c r="L105" s="24" t="str">
        <x:v>EHL tendon</x:v>
      </x:c>
      <x:c r="M105" s="24" t="str">
        <x:v>Extensor retinacula restrain tendon</x:v>
      </x:c>
      <x:c r="N105" s="24" t="str">
        <x:v>Not established</x:v>
      </x:c>
      <x:c r="O105" s="24" t="str">
        <x:v>Not established</x:v>
      </x:c>
      <x:c r="P105" s="24" t="str">
        <x:v>Mixed Type I and Type II; ratio unverified</x:v>
      </x:c>
      <x:c r="Q105" s="24" t="str">
        <x:v>Published biopsies insufficient to state a reliable per-muscle percentage; no inference from function</x:v>
      </x:c>
      <x:c r="R105" s="24" t="str">
        <x:v>https://www.kenhub.com/en/library/anatomy/leg-muscles</x:v>
      </x:c>
      <x:c r="S105" s="24" t="str">
        <x:v>https://pubmed.ncbi.nlm.nih.gov/39359186/</x:v>
      </x:c>
    </x:row>
    <x:row r="106" ht="46" customHeight="1">
      <x:c r="A106" s="24" t="str">
        <x:v>Fibularis tertius</x:v>
      </x:c>
      <x:c r="B106" s="24" t="str">
        <x:v>Anterior leg</x:v>
      </x:c>
      <x:c r="C106" s="24" t="str">
        <x:v>Flexor; Stabilizer</x:v>
      </x:c>
      <x:c r="D106" s="24" t="str">
        <x:v>Yes</x:v>
      </x:c>
      <x:c r="E106" s="24" t="str">
        <x:v>No</x:v>
      </x:c>
      <x:c r="F106" s="24" t="str">
        <x:v>Yes</x:v>
      </x:c>
      <x:c r="G106" s="24" t="str">
        <x:v>Dorsiflexes and everts foot</x:v>
      </x:c>
      <x:c r="H106" s="24" t="str">
        <x:v>Distal anterior fibula and interosseous membrane</x:v>
      </x:c>
      <x:c r="I106" s="24" t="str">
        <x:v>Dorsal base metatarsal 5</x:v>
      </x:c>
      <x:c r="J106" s="24" t="str">
        <x:v>Deep fibular nerve</x:v>
      </x:c>
      <x:c r="K106" s="24" t="str">
        <x:v>L5-S1</x:v>
      </x:c>
      <x:c r="L106" s="24" t="str">
        <x:v>Fibularis tertius tendon</x:v>
      </x:c>
      <x:c r="M106" s="24" t="str">
        <x:v>Inferior extensor retinaculum retains tendon</x:v>
      </x:c>
      <x:c r="N106" s="24" t="str">
        <x:v>Not established</x:v>
      </x:c>
      <x:c r="O106" s="24" t="str">
        <x:v>Not established</x:v>
      </x:c>
      <x:c r="P106" s="24" t="str">
        <x:v>Mixed Type I and Type II; ratio unverified</x:v>
      </x:c>
      <x:c r="Q106" s="24" t="str">
        <x:v>Published biopsies insufficient to state a reliable per-muscle percentage; no inference from function</x:v>
      </x:c>
      <x:c r="R106" s="24" t="str">
        <x:v>https://www.kenhub.com/en/library/anatomy/leg-muscles</x:v>
      </x:c>
      <x:c r="S106" s="24" t="str">
        <x:v>https://pubmed.ncbi.nlm.nih.gov/39359186/</x:v>
      </x:c>
    </x:row>
    <x:row r="107" ht="46" customHeight="1">
      <x:c r="A107" s="24" t="str">
        <x:v>Tibialis anterior</x:v>
      </x:c>
      <x:c r="B107" s="24" t="str">
        <x:v>Anterior leg</x:v>
      </x:c>
      <x:c r="C107" s="24" t="str">
        <x:v>Flexor; Stabilizer</x:v>
      </x:c>
      <x:c r="D107" s="24" t="str">
        <x:v>Yes</x:v>
      </x:c>
      <x:c r="E107" s="24" t="str">
        <x:v>No</x:v>
      </x:c>
      <x:c r="F107" s="24" t="str">
        <x:v>Yes</x:v>
      </x:c>
      <x:c r="G107" s="24" t="str">
        <x:v>Ankle dorsiflexion and inversion; medial arch support</x:v>
      </x:c>
      <x:c r="H107" s="24" t="str">
        <x:v>Lateral tibial condyle; proximal lateral tibia; interosseous membrane</x:v>
      </x:c>
      <x:c r="I107" s="24" t="str">
        <x:v>Medial cuneiform and base metatarsal 1</x:v>
      </x:c>
      <x:c r="J107" s="24" t="str">
        <x:v>Deep fibular nerve</x:v>
      </x:c>
      <x:c r="K107" s="24" t="str">
        <x:v>L4-L5</x:v>
      </x:c>
      <x:c r="L107" s="24" t="str">
        <x:v>Tibialis anterior tendon</x:v>
      </x:c>
      <x:c r="M107" s="24" t="str">
        <x:v>Superior/inferior extensor retinacula hold tendon (retinacula)</x:v>
      </x:c>
      <x:c r="N107" s="24" t="str">
        <x:v>Not established</x:v>
      </x:c>
      <x:c r="O107" s="24" t="str">
        <x:v>Not established</x:v>
      </x:c>
      <x:c r="P107" s="24" t="str">
        <x:v>Mixed Type I and Type II; ratio unverified</x:v>
      </x:c>
      <x:c r="Q107" s="24" t="str">
        <x:v>Published biopsies insufficient to state a reliable per-muscle percentage; no inference from function</x:v>
      </x:c>
      <x:c r="R107" s="24" t="str">
        <x:v>https://www.kenhub.com/en/library/anatomy/leg-muscles</x:v>
      </x:c>
      <x:c r="S107" s="24" t="str">
        <x:v>https://pubmed.ncbi.nlm.nih.gov/39359186/</x:v>
      </x:c>
    </x:row>
    <x:row r="108" ht="46" customHeight="1">
      <x:c r="A108" s="24" t="str">
        <x:v>Fibularis brevis</x:v>
      </x:c>
      <x:c r="B108" s="24" t="str">
        <x:v>Lateral leg</x:v>
      </x:c>
      <x:c r="C108" s="24" t="str">
        <x:v>Stabilizer</x:v>
      </x:c>
      <x:c r="D108" s="24" t="str">
        <x:v>No</x:v>
      </x:c>
      <x:c r="E108" s="24" t="str">
        <x:v>No</x:v>
      </x:c>
      <x:c r="F108" s="24" t="str">
        <x:v>Yes</x:v>
      </x:c>
      <x:c r="G108" s="24" t="str">
        <x:v>Everts and plantarflexes foot</x:v>
      </x:c>
      <x:c r="H108" s="24" t="str">
        <x:v>Distal two-thirds lateral fibula</x:v>
      </x:c>
      <x:c r="I108" s="24" t="str">
        <x:v>Tuberosity base metatarsal 5</x:v>
      </x:c>
      <x:c r="J108" s="24" t="str">
        <x:v>Superficial fibular nerve</x:v>
      </x:c>
      <x:c r="K108" s="24" t="str">
        <x:v>L5-S2</x:v>
      </x:c>
      <x:c r="L108" s="24" t="str">
        <x:v>Fibularis brevis tendon</x:v>
      </x:c>
      <x:c r="M108" s="24" t="str">
        <x:v>Superior/inferior fibular retinacula retain tendon</x:v>
      </x:c>
      <x:c r="N108" s="24" t="str">
        <x:v>Not established</x:v>
      </x:c>
      <x:c r="O108" s="24" t="str">
        <x:v>Not established</x:v>
      </x:c>
      <x:c r="P108" s="24" t="str">
        <x:v>Mixed Type I and Type II; ratio unverified</x:v>
      </x:c>
      <x:c r="Q108" s="24" t="str">
        <x:v>Published biopsies insufficient to state a reliable per-muscle percentage; no inference from function</x:v>
      </x:c>
      <x:c r="R108" s="24" t="str">
        <x:v>https://www.kenhub.com/en/library/anatomy/leg-muscles</x:v>
      </x:c>
      <x:c r="S108" s="24" t="str">
        <x:v>https://pubmed.ncbi.nlm.nih.gov/39359186/</x:v>
      </x:c>
    </x:row>
    <x:row r="109" ht="46" customHeight="1">
      <x:c r="A109" s="24" t="str">
        <x:v>Fibularis longus</x:v>
      </x:c>
      <x:c r="B109" s="24" t="str">
        <x:v>Lateral leg</x:v>
      </x:c>
      <x:c r="C109" s="24" t="str">
        <x:v>Stabilizer</x:v>
      </x:c>
      <x:c r="D109" s="24" t="str">
        <x:v>No</x:v>
      </x:c>
      <x:c r="E109" s="24" t="str">
        <x:v>No</x:v>
      </x:c>
      <x:c r="F109" s="24" t="str">
        <x:v>Yes</x:v>
      </x:c>
      <x:c r="G109" s="24" t="str">
        <x:v>Everts/plantarflexes foot; supports transverse arch</x:v>
      </x:c>
      <x:c r="H109" s="24" t="str">
        <x:v>Fibular head and proximal lateral fibula</x:v>
      </x:c>
      <x:c r="I109" s="24" t="str">
        <x:v>Plantar medial cuneiform and base metatarsal 1</x:v>
      </x:c>
      <x:c r="J109" s="24" t="str">
        <x:v>Superficial fibular nerve</x:v>
      </x:c>
      <x:c r="K109" s="24" t="str">
        <x:v>L5-S2</x:v>
      </x:c>
      <x:c r="L109" s="24" t="str">
        <x:v>Fibularis longus tendon runs beneath cuboid</x:v>
      </x:c>
      <x:c r="M109" s="24" t="str">
        <x:v>Superior/inferior fibular retinacula retain tendon; long plantar ligament forms tunnel region</x:v>
      </x:c>
      <x:c r="N109" s="24" t="str">
        <x:v>Not established</x:v>
      </x:c>
      <x:c r="O109" s="24" t="str">
        <x:v>Not established</x:v>
      </x:c>
      <x:c r="P109" s="24" t="str">
        <x:v>Mixed Type I and Type II; ratio unverified</x:v>
      </x:c>
      <x:c r="Q109" s="24" t="str">
        <x:v>Published biopsies insufficient to state a reliable per-muscle percentage; no inference from function</x:v>
      </x:c>
      <x:c r="R109" s="24" t="str">
        <x:v>https://www.kenhub.com/en/library/anatomy/leg-muscles</x:v>
      </x:c>
      <x:c r="S109" s="24" t="str">
        <x:v>https://pubmed.ncbi.nlm.nih.gov/39359186/</x:v>
      </x:c>
    </x:row>
    <x:row r="110" ht="46" customHeight="1">
      <x:c r="A110" s="24" t="str">
        <x:v>Flexor digitorum longus</x:v>
      </x:c>
      <x:c r="B110" s="24" t="str">
        <x:v>Posterior leg deep</x:v>
      </x:c>
      <x:c r="C110" s="24" t="str">
        <x:v>Flexor; Stabilizer</x:v>
      </x:c>
      <x:c r="D110" s="24" t="str">
        <x:v>Yes</x:v>
      </x:c>
      <x:c r="E110" s="24" t="str">
        <x:v>No</x:v>
      </x:c>
      <x:c r="F110" s="24" t="str">
        <x:v>Yes</x:v>
      </x:c>
      <x:c r="G110" s="24" t="str">
        <x:v>Flexes toes 2-5; plantarflexes; supports arch</x:v>
      </x:c>
      <x:c r="H110" s="24" t="str">
        <x:v>Posterior tibia inferior to soleal line</x:v>
      </x:c>
      <x:c r="I110" s="24" t="str">
        <x:v>Plantar bases distal phalanges toes 2-5</x:v>
      </x:c>
      <x:c r="J110" s="24" t="str">
        <x:v>Tibial nerve</x:v>
      </x:c>
      <x:c r="K110" s="24" t="str">
        <x:v>L5-S2</x:v>
      </x:c>
      <x:c r="L110" s="24" t="str">
        <x:v>Four FDL toe tendons; knot of Henry crossover with FHL</x:v>
      </x:c>
      <x:c r="M110" s="24" t="str">
        <x:v>Flexor retinaculum at ankle; plantar ligament complex supports arches</x:v>
      </x:c>
      <x:c r="N110" s="24" t="str">
        <x:v>Not established</x:v>
      </x:c>
      <x:c r="O110" s="24" t="str">
        <x:v>Not established</x:v>
      </x:c>
      <x:c r="P110" s="24" t="str">
        <x:v>Mixed Type I and Type II; ratio unverified</x:v>
      </x:c>
      <x:c r="Q110" s="24" t="str">
        <x:v>Published biopsies insufficient to state a reliable per-muscle percentage; no inference from function</x:v>
      </x:c>
      <x:c r="R110" s="24" t="str">
        <x:v>https://www.kenhub.com/en/library/anatomy/leg-muscles</x:v>
      </x:c>
      <x:c r="S110" s="24" t="str">
        <x:v>https://pubmed.ncbi.nlm.nih.gov/39359186/</x:v>
      </x:c>
    </x:row>
    <x:row r="111" ht="46" customHeight="1">
      <x:c r="A111" s="24" t="str">
        <x:v>Flexor hallucis longus</x:v>
      </x:c>
      <x:c r="B111" s="24" t="str">
        <x:v>Posterior leg deep</x:v>
      </x:c>
      <x:c r="C111" s="24" t="str">
        <x:v>Flexor; Stabilizer</x:v>
      </x:c>
      <x:c r="D111" s="24" t="str">
        <x:v>Yes</x:v>
      </x:c>
      <x:c r="E111" s="24" t="str">
        <x:v>No</x:v>
      </x:c>
      <x:c r="F111" s="24" t="str">
        <x:v>Yes</x:v>
      </x:c>
      <x:c r="G111" s="24" t="str">
        <x:v>Flexes hallux; plantarflexes ankle; supports medial arch</x:v>
      </x:c>
      <x:c r="H111" s="24" t="str">
        <x:v>Distal posterior fibula and interosseous membrane</x:v>
      </x:c>
      <x:c r="I111" s="24" t="str">
        <x:v>Plantar base distal phalanx hallux</x:v>
      </x:c>
      <x:c r="J111" s="24" t="str">
        <x:v>Tibial nerve</x:v>
      </x:c>
      <x:c r="K111" s="24" t="str">
        <x:v>S2-S3 (also S1)</x:v>
      </x:c>
      <x:c r="L111" s="24" t="str">
        <x:v>FHL long tendon</x:v>
      </x:c>
      <x:c r="M111" s="24" t="str">
        <x:v>Flexor retinaculum retains tendon; spring ligament supported indirectly</x:v>
      </x:c>
      <x:c r="N111" s="24" t="str">
        <x:v>Not established</x:v>
      </x:c>
      <x:c r="O111" s="24" t="str">
        <x:v>Not established</x:v>
      </x:c>
      <x:c r="P111" s="24" t="str">
        <x:v>Mixed Type I and Type II; ratio unverified</x:v>
      </x:c>
      <x:c r="Q111" s="24" t="str">
        <x:v>Published biopsies insufficient to state a reliable per-muscle percentage; no inference from function</x:v>
      </x:c>
      <x:c r="R111" s="24" t="str">
        <x:v>https://www.kenhub.com/en/library/anatomy/leg-muscles</x:v>
      </x:c>
      <x:c r="S111" s="24" t="str">
        <x:v>https://pubmed.ncbi.nlm.nih.gov/39359186/</x:v>
      </x:c>
    </x:row>
    <x:row r="112" ht="46" customHeight="1">
      <x:c r="A112" s="24" t="str">
        <x:v>Popliteus</x:v>
      </x:c>
      <x:c r="B112" s="24" t="str">
        <x:v>Posterior leg deep</x:v>
      </x:c>
      <x:c r="C112" s="24" t="str">
        <x:v>Stabilizer</x:v>
      </x:c>
      <x:c r="D112" s="24" t="str">
        <x:v>No</x:v>
      </x:c>
      <x:c r="E112" s="24" t="str">
        <x:v>No</x:v>
      </x:c>
      <x:c r="F112" s="24" t="str">
        <x:v>Yes</x:v>
      </x:c>
      <x:c r="G112" s="24" t="str">
        <x:v>Unlocks knee by medial rotation of tibia; posterior knee stabilization</x:v>
      </x:c>
      <x:c r="H112" s="24" t="str">
        <x:v>Lateral femoral condyle; posterior horn lateral meniscus</x:v>
      </x:c>
      <x:c r="I112" s="24" t="str">
        <x:v>Posterior tibia above soleal line</x:v>
      </x:c>
      <x:c r="J112" s="24" t="str">
        <x:v>Tibial nerve</x:v>
      </x:c>
      <x:c r="K112" s="24" t="str">
        <x:v>L4-S1</x:v>
      </x:c>
      <x:c r="L112" s="24" t="str">
        <x:v>Popliteus proximal tendon</x:v>
      </x:c>
      <x:c r="M112" s="24" t="str">
        <x:v>Arcuate popliteal ligament arches over tendon; popliteofibular ligament may connect</x:v>
      </x:c>
      <x:c r="N112" s="24" t="str">
        <x:v>Not established</x:v>
      </x:c>
      <x:c r="O112" s="24" t="str">
        <x:v>Not established</x:v>
      </x:c>
      <x:c r="P112" s="24" t="str">
        <x:v>Mixed Type I and Type II; ratio unverified</x:v>
      </x:c>
      <x:c r="Q112" s="24" t="str">
        <x:v>Published biopsies insufficient to state a reliable per-muscle percentage; no inference from function</x:v>
      </x:c>
      <x:c r="R112" s="24" t="str">
        <x:v>https://www.kenhub.com/en/library/anatomy/leg-muscles</x:v>
      </x:c>
      <x:c r="S112" s="24" t="str">
        <x:v>https://pubmed.ncbi.nlm.nih.gov/39359186/</x:v>
      </x:c>
    </x:row>
    <x:row r="113" ht="46" customHeight="1">
      <x:c r="A113" s="24" t="str">
        <x:v>Tibialis posterior</x:v>
      </x:c>
      <x:c r="B113" s="24" t="str">
        <x:v>Posterior leg deep</x:v>
      </x:c>
      <x:c r="C113" s="24" t="str">
        <x:v>Stabilizer</x:v>
      </x:c>
      <x:c r="D113" s="24" t="str">
        <x:v>No</x:v>
      </x:c>
      <x:c r="E113" s="24" t="str">
        <x:v>No</x:v>
      </x:c>
      <x:c r="F113" s="24" t="str">
        <x:v>Yes</x:v>
      </x:c>
      <x:c r="G113" s="24" t="str">
        <x:v>Inverts/plantarflexes foot; supports medial longitudinal arch</x:v>
      </x:c>
      <x:c r="H113" s="24" t="str">
        <x:v>Posterior tibia/fibula and interosseous membrane</x:v>
      </x:c>
      <x:c r="I113" s="24" t="str">
        <x:v>Navicular tuberosity; cuneiforms; cuboid and metatarsal bases</x:v>
      </x:c>
      <x:c r="J113" s="24" t="str">
        <x:v>Tibial nerve</x:v>
      </x:c>
      <x:c r="K113" s="24" t="str">
        <x:v>L4-L5</x:v>
      </x:c>
      <x:c r="L113" s="24" t="str">
        <x:v>Tibialis posterior multi-slip tendon</x:v>
      </x:c>
      <x:c r="M113" s="24" t="str">
        <x:v>Flexor retinaculum covers tendon; spring ligament supported by tendon</x:v>
      </x:c>
      <x:c r="N113" s="24" t="str">
        <x:v>Not established</x:v>
      </x:c>
      <x:c r="O113" s="24" t="str">
        <x:v>Not established</x:v>
      </x:c>
      <x:c r="P113" s="24" t="str">
        <x:v>Mixed Type I and Type II; ratio unverified</x:v>
      </x:c>
      <x:c r="Q113" s="24" t="str">
        <x:v>Published biopsies insufficient to state a reliable per-muscle percentage; no inference from function</x:v>
      </x:c>
      <x:c r="R113" s="24" t="str">
        <x:v>https://www.kenhub.com/en/library/anatomy/leg-muscles</x:v>
      </x:c>
      <x:c r="S113" s="24" t="str">
        <x:v>https://pubmed.ncbi.nlm.nih.gov/39359186/</x:v>
      </x:c>
    </x:row>
    <x:row r="114" ht="46" customHeight="1">
      <x:c r="A114" s="24" t="str">
        <x:v>Gastrocnemius lateral head</x:v>
      </x:c>
      <x:c r="B114" s="24" t="str">
        <x:v>Posterior leg superficial</x:v>
      </x:c>
      <x:c r="C114" s="24" t="str">
        <x:v>Flexor; Stabilizer</x:v>
      </x:c>
      <x:c r="D114" s="24" t="str">
        <x:v>Yes</x:v>
      </x:c>
      <x:c r="E114" s="24" t="str">
        <x:v>No</x:v>
      </x:c>
      <x:c r="F114" s="24" t="str">
        <x:v>Yes</x:v>
      </x:c>
      <x:c r="G114" s="24" t="str">
        <x:v>Plantarflexes ankle; flexes knee</x:v>
      </x:c>
      <x:c r="H114" s="24" t="str">
        <x:v>Lateral femoral condyle and adjacent capsule</x:v>
      </x:c>
      <x:c r="I114" s="24" t="str">
        <x:v>Posterior calcaneus via calcaneal (Achilles) tendon</x:v>
      </x:c>
      <x:c r="J114" s="24" t="str">
        <x:v>Tibial nerve</x:v>
      </x:c>
      <x:c r="K114" s="24" t="str">
        <x:v>S1-S2</x:v>
      </x:c>
      <x:c r="L114" s="24" t="str">
        <x:v>Calcaneal (Achilles) tendon</x:v>
      </x:c>
      <x:c r="M114" s="24" t="str">
        <x:v>Arcuate popliteal complex near origin</x:v>
      </x:c>
      <x:c r="N114" s="24" t="str">
        <x:v>Not established</x:v>
      </x:c>
      <x:c r="O114" s="24" t="str">
        <x:v>Not established</x:v>
      </x:c>
      <x:c r="P114" s="24" t="str">
        <x:v>Mixed Type I and Type II; ratio unverified</x:v>
      </x:c>
      <x:c r="Q114" s="24" t="str">
        <x:v>Published biopsies insufficient to state a reliable per-muscle percentage; no inference from function</x:v>
      </x:c>
      <x:c r="R114" s="24" t="str">
        <x:v>https://www.kenhub.com/en/library/anatomy/leg-muscles</x:v>
      </x:c>
      <x:c r="S114" s="24" t="str">
        <x:v>https://pubmed.ncbi.nlm.nih.gov/39359186/</x:v>
      </x:c>
    </x:row>
    <x:row r="115" ht="46" customHeight="1">
      <x:c r="A115" s="24" t="str">
        <x:v>Gastrocnemius medial head</x:v>
      </x:c>
      <x:c r="B115" s="24" t="str">
        <x:v>Posterior leg superficial</x:v>
      </x:c>
      <x:c r="C115" s="24" t="str">
        <x:v>Flexor; Stabilizer</x:v>
      </x:c>
      <x:c r="D115" s="24" t="str">
        <x:v>Yes</x:v>
      </x:c>
      <x:c r="E115" s="24" t="str">
        <x:v>No</x:v>
      </x:c>
      <x:c r="F115" s="24" t="str">
        <x:v>Yes</x:v>
      </x:c>
      <x:c r="G115" s="24" t="str">
        <x:v>Plantarflexes ankle; flexes knee</x:v>
      </x:c>
      <x:c r="H115" s="24" t="str">
        <x:v>Posterior medial femoral condyle and adjacent capsule</x:v>
      </x:c>
      <x:c r="I115" s="24" t="str">
        <x:v>Posterior calcaneus via calcaneal (Achilles) tendon</x:v>
      </x:c>
      <x:c r="J115" s="24" t="str">
        <x:v>Tibial nerve</x:v>
      </x:c>
      <x:c r="K115" s="24" t="str">
        <x:v>S1-S2</x:v>
      </x:c>
      <x:c r="L115" s="24" t="str">
        <x:v>Calcaneal (Achilles) tendon</x:v>
      </x:c>
      <x:c r="M115" s="24" t="str">
        <x:v>Posterior capsule/oblique popliteal ligament near origin</x:v>
      </x:c>
      <x:c r="N115" s="24" t="str">
        <x:v>64.7% (sample mean, 40 individuals)</x:v>
      </x:c>
      <x:c r="O115" s="24" t="str">
        <x:v>35.3% (mean remainder, not a normative cutoff)</x:v>
      </x:c>
      <x:c r="P115" s="24" t="str">
        <x:v>Mixed; Type I-enriched in cited sample</x:v>
      </x:c>
      <x:c r="Q115" s="24" t="str">
        <x:v>Study mean measured in gastrocnemius medialis; site-to-site variability considerable</x:v>
      </x:c>
      <x:c r="R115" s="24" t="str">
        <x:v>https://www.kenhub.com/en/library/anatomy/leg-muscles</x:v>
      </x:c>
      <x:c r="S115" s="24" t="str">
        <x:v>https://pubmed.ncbi.nlm.nih.gov/39359186/</x:v>
      </x:c>
    </x:row>
    <x:row r="116" ht="46" customHeight="1">
      <x:c r="A116" s="24" t="str">
        <x:v>Plantaris</x:v>
      </x:c>
      <x:c r="B116" s="24" t="str">
        <x:v>Posterior leg superficial</x:v>
      </x:c>
      <x:c r="C116" s="24" t="str">
        <x:v>Flexor</x:v>
      </x:c>
      <x:c r="D116" s="24" t="str">
        <x:v>Yes</x:v>
      </x:c>
      <x:c r="E116" s="24" t="str">
        <x:v>No</x:v>
      </x:c>
      <x:c r="F116" s="24" t="str">
        <x:v>No</x:v>
      </x:c>
      <x:c r="G116" s="24" t="str">
        <x:v>Weak ankle plantarflexion and knee flexion</x:v>
      </x:c>
      <x:c r="H116" s="24" t="str">
        <x:v>Lateral supracondylar femoral line; oblique popliteal ligament</x:v>
      </x:c>
      <x:c r="I116" s="24" t="str">
        <x:v>Posterior calcaneus or Achilles tendon</x:v>
      </x:c>
      <x:c r="J116" s="24" t="str">
        <x:v>Tibial nerve</x:v>
      </x:c>
      <x:c r="K116" s="24" t="str">
        <x:v>S1-S2</x:v>
      </x:c>
      <x:c r="L116" s="24" t="str">
        <x:v>Long thin plantaris tendon</x:v>
      </x:c>
      <x:c r="M116" s="24" t="str">
        <x:v>Oblique popliteal ligament contributes to origin</x:v>
      </x:c>
      <x:c r="N116" s="24" t="str">
        <x:v>Not established</x:v>
      </x:c>
      <x:c r="O116" s="24" t="str">
        <x:v>Not established</x:v>
      </x:c>
      <x:c r="P116" s="24" t="str">
        <x:v>Mixed Type I and Type II; ratio unverified</x:v>
      </x:c>
      <x:c r="Q116" s="24" t="str">
        <x:v>Published biopsies insufficient to state a reliable per-muscle percentage; no inference from function</x:v>
      </x:c>
      <x:c r="R116" s="24" t="str">
        <x:v>https://www.kenhub.com/en/library/anatomy/leg-muscles</x:v>
      </x:c>
      <x:c r="S116" s="24" t="str">
        <x:v>https://pubmed.ncbi.nlm.nih.gov/39359186/</x:v>
      </x:c>
    </x:row>
    <x:row r="117" ht="46" customHeight="1">
      <x:c r="A117" s="24" t="str">
        <x:v>Soleus</x:v>
      </x:c>
      <x:c r="B117" s="24" t="str">
        <x:v>Posterior leg superficial</x:v>
      </x:c>
      <x:c r="C117" s="24" t="str">
        <x:v>Stabilizer</x:v>
      </x:c>
      <x:c r="D117" s="24" t="str">
        <x:v>No</x:v>
      </x:c>
      <x:c r="E117" s="24" t="str">
        <x:v>No</x:v>
      </x:c>
      <x:c r="F117" s="24" t="str">
        <x:v>Yes</x:v>
      </x:c>
      <x:c r="G117" s="24" t="str">
        <x:v>Plantarflexes ankle; tonic postural sway control</x:v>
      </x:c>
      <x:c r="H117" s="24" t="str">
        <x:v>Soleal line and medial tibial border; fibular head; tendinous soleal arch</x:v>
      </x:c>
      <x:c r="I117" s="24" t="str">
        <x:v>Posterior calcaneus via calcaneal tendon</x:v>
      </x:c>
      <x:c r="J117" s="24" t="str">
        <x:v>Tibial nerve</x:v>
      </x:c>
      <x:c r="K117" s="24" t="str">
        <x:v>S1-S2</x:v>
      </x:c>
      <x:c r="L117" s="24" t="str">
        <x:v>Broad soleus aponeurosis joining Achilles tendon</x:v>
      </x:c>
      <x:c r="M117" s="24" t="str">
        <x:v>Soleal tendinous arch is tendon/aponeurosis, not ligament</x:v>
      </x:c>
      <x:c r="N117" s="24" t="str">
        <x:v>70–80% (reported typical range)</x:v>
      </x:c>
      <x:c r="O117" s="24" t="str">
        <x:v>20–30% (complement; method dependent)</x:v>
      </x:c>
      <x:c r="P117" s="24" t="str">
        <x:v>Slow / Type I-rich</x:v>
      </x:c>
      <x:c r="Q117" s="24" t="str">
        <x:v>Literature estimate; varies by person/region; not patient-specific</x:v>
      </x:c>
      <x:c r="R117" s="24" t="str">
        <x:v>https://www.kenhub.com/en/library/anatomy/leg-muscles</x:v>
      </x:c>
      <x:c r="S117" s="24" t="str">
        <x:v>https://journals.physiology.org/doi/full/10.1152/japplphysiol.00394.2024</x:v>
      </x:c>
    </x:row>
    <x:row r="118" ht="46" customHeight="1">
      <x:c r="A118" s="24" t="str">
        <x:v>Extensor digitorum brevis</x:v>
      </x:c>
      <x:c r="B118" s="24" t="str">
        <x:v>Dorsal foot</x:v>
      </x:c>
      <x:c r="C118" s="24" t="str">
        <x:v>Extensor</x:v>
      </x:c>
      <x:c r="D118" s="24" t="str">
        <x:v>No</x:v>
      </x:c>
      <x:c r="E118" s="24" t="str">
        <x:v>Yes</x:v>
      </x:c>
      <x:c r="F118" s="24" t="str">
        <x:v>No</x:v>
      </x:c>
      <x:c r="G118" s="24" t="str">
        <x:v>Extends toes 2-4</x:v>
      </x:c>
      <x:c r="H118" s="24" t="str">
        <x:v>Superolateral/dorsal calcaneus; inferior extensor retinaculum</x:v>
      </x:c>
      <x:c r="I118" s="24" t="str">
        <x:v>Tendons to dorsal digital expansions toes 2-4</x:v>
      </x:c>
      <x:c r="J118" s="24" t="str">
        <x:v>Deep fibular nerve</x:v>
      </x:c>
      <x:c r="K118" s="24" t="str">
        <x:v>L5-S1</x:v>
      </x:c>
      <x:c r="L118" s="24" t="str">
        <x:v>Three EDB tendons blending with long extensor tendons</x:v>
      </x:c>
      <x:c r="M118" s="24" t="str">
        <x:v>Inferior extensor retinaculum direct proximal relationship</x:v>
      </x:c>
      <x:c r="N118" s="24" t="str">
        <x:v>Not established</x:v>
      </x:c>
      <x:c r="O118" s="24" t="str">
        <x:v>Not established</x:v>
      </x:c>
      <x:c r="P118" s="24" t="str">
        <x:v>Mixed Type I and Type II; ratio unverified</x:v>
      </x:c>
      <x:c r="Q118" s="24" t="str">
        <x:v>Published biopsies insufficient to state a reliable per-muscle percentage; no inference from function</x:v>
      </x:c>
      <x:c r="R118" s="24" t="str">
        <x:v>https://www.kenhub.com/en/library/anatomy/ankle-and-foot-anatomy</x:v>
      </x:c>
      <x:c r="S118" s="24" t="str">
        <x:v>https://pubmed.ncbi.nlm.nih.gov/39359186/</x:v>
      </x:c>
    </x:row>
    <x:row r="119" ht="46" customHeight="1">
      <x:c r="A119" s="24" t="str">
        <x:v>Extensor hallucis brevis</x:v>
      </x:c>
      <x:c r="B119" s="24" t="str">
        <x:v>Dorsal foot</x:v>
      </x:c>
      <x:c r="C119" s="24" t="str">
        <x:v>Extensor</x:v>
      </x:c>
      <x:c r="D119" s="24" t="str">
        <x:v>No</x:v>
      </x:c>
      <x:c r="E119" s="24" t="str">
        <x:v>Yes</x:v>
      </x:c>
      <x:c r="F119" s="24" t="str">
        <x:v>No</x:v>
      </x:c>
      <x:c r="G119" s="24" t="str">
        <x:v>Extends hallux MCP joint</x:v>
      </x:c>
      <x:c r="H119" s="24" t="str">
        <x:v>Superolateral calcaneus</x:v>
      </x:c>
      <x:c r="I119" s="24" t="str">
        <x:v>Dorsal base proximal phalanx hallux</x:v>
      </x:c>
      <x:c r="J119" s="24" t="str">
        <x:v>Deep fibular nerve</x:v>
      </x:c>
      <x:c r="K119" s="24" t="str">
        <x:v>L5-S1</x:v>
      </x:c>
      <x:c r="L119" s="24" t="str">
        <x:v>EHB tendon</x:v>
      </x:c>
      <x:c r="M119" s="24" t="str">
        <x:v>Inferior extensor retinaculum adjacent at origin</x:v>
      </x:c>
      <x:c r="N119" s="24" t="str">
        <x:v>Not established</x:v>
      </x:c>
      <x:c r="O119" s="24" t="str">
        <x:v>Not established</x:v>
      </x:c>
      <x:c r="P119" s="24" t="str">
        <x:v>Mixed Type I and Type II; ratio unverified</x:v>
      </x:c>
      <x:c r="Q119" s="24" t="str">
        <x:v>Published biopsies insufficient to state a reliable per-muscle percentage; no inference from function</x:v>
      </x:c>
      <x:c r="R119" s="24" t="str">
        <x:v>https://www.kenhub.com/en/library/anatomy/ankle-and-foot-anatomy</x:v>
      </x:c>
      <x:c r="S119" s="24" t="str">
        <x:v>https://pubmed.ncbi.nlm.nih.gov/39359186/</x:v>
      </x:c>
    </x:row>
    <x:row r="120" ht="46" customHeight="1">
      <x:c r="A120" s="24" t="str">
        <x:v>Abductor digiti minimi (foot)</x:v>
      </x:c>
      <x:c r="B120" s="24" t="str">
        <x:v>Plantar layer 1</x:v>
      </x:c>
      <x:c r="C120" s="24" t="str">
        <x:v>Flexor; Stabilizer</x:v>
      </x:c>
      <x:c r="D120" s="24" t="str">
        <x:v>Yes</x:v>
      </x:c>
      <x:c r="E120" s="24" t="str">
        <x:v>No</x:v>
      </x:c>
      <x:c r="F120" s="24" t="str">
        <x:v>Yes</x:v>
      </x:c>
      <x:c r="G120" s="24" t="str">
        <x:v>Abducts/flexes fifth toe; supports lateral arch</x:v>
      </x:c>
      <x:c r="H120" s="24" t="str">
        <x:v>Medial/lateral calcaneal tubercles; plantar aponeurosis</x:v>
      </x:c>
      <x:c r="I120" s="24" t="str">
        <x:v>Lateral base proximal phalanx fifth toe</x:v>
      </x:c>
      <x:c r="J120" s="24" t="str">
        <x:v>Lateral plantar nerve</x:v>
      </x:c>
      <x:c r="K120" s="24" t="str">
        <x:v>S1-S3</x:v>
      </x:c>
      <x:c r="L120" s="24" t="str">
        <x:v>Distal insertion tendon</x:v>
      </x:c>
      <x:c r="M120" s="24" t="str">
        <x:v>Plantar aponeurosis direct origin</x:v>
      </x:c>
      <x:c r="N120" s="24" t="str">
        <x:v>Not established</x:v>
      </x:c>
      <x:c r="O120" s="24" t="str">
        <x:v>Not established</x:v>
      </x:c>
      <x:c r="P120" s="24" t="str">
        <x:v>Mixed Type I and Type II; ratio unverified</x:v>
      </x:c>
      <x:c r="Q120" s="24" t="str">
        <x:v>Published biopsies insufficient to state a reliable per-muscle percentage; no inference from function</x:v>
      </x:c>
      <x:c r="R120" s="24" t="str">
        <x:v>https://www.kenhub.com/en/library/anatomy/ankle-and-foot-anatomy</x:v>
      </x:c>
      <x:c r="S120" s="24" t="str">
        <x:v>https://pubmed.ncbi.nlm.nih.gov/39359186/</x:v>
      </x:c>
    </x:row>
    <x:row r="121" ht="46" customHeight="1">
      <x:c r="A121" s="24" t="str">
        <x:v>Abductor hallucis</x:v>
      </x:c>
      <x:c r="B121" s="24" t="str">
        <x:v>Plantar layer 1</x:v>
      </x:c>
      <x:c r="C121" s="24" t="str">
        <x:v>Flexor; Stabilizer</x:v>
      </x:c>
      <x:c r="D121" s="24" t="str">
        <x:v>Yes</x:v>
      </x:c>
      <x:c r="E121" s="24" t="str">
        <x:v>No</x:v>
      </x:c>
      <x:c r="F121" s="24" t="str">
        <x:v>Yes</x:v>
      </x:c>
      <x:c r="G121" s="24" t="str">
        <x:v>Abducts/flexes hallux; stabilizes medial arch</x:v>
      </x:c>
      <x:c r="H121" s="24" t="str">
        <x:v>Medial calcaneal tubercle; plantar aponeurosis; flexor retinaculum</x:v>
      </x:c>
      <x:c r="I121" s="24" t="str">
        <x:v>Medial base proximal phalanx hallux via sesamoid</x:v>
      </x:c>
      <x:c r="J121" s="24" t="str">
        <x:v>Medial plantar nerve</x:v>
      </x:c>
      <x:c r="K121" s="24" t="str">
        <x:v>S1-S2</x:v>
      </x:c>
      <x:c r="L121" s="24" t="str">
        <x:v>Medial hallucal sesamoid insertion tendon</x:v>
      </x:c>
      <x:c r="M121" s="24" t="str">
        <x:v>Flexor retinaculum direct origin; plantar aponeurosis attachment</x:v>
      </x:c>
      <x:c r="N121" s="24" t="str">
        <x:v>Not established</x:v>
      </x:c>
      <x:c r="O121" s="24" t="str">
        <x:v>Not established</x:v>
      </x:c>
      <x:c r="P121" s="24" t="str">
        <x:v>Mixed Type I and Type II; ratio unverified</x:v>
      </x:c>
      <x:c r="Q121" s="24" t="str">
        <x:v>Published biopsies insufficient to state a reliable per-muscle percentage; no inference from function</x:v>
      </x:c>
      <x:c r="R121" s="24" t="str">
        <x:v>https://www.kenhub.com/en/library/anatomy/ankle-and-foot-anatomy</x:v>
      </x:c>
      <x:c r="S121" s="24" t="str">
        <x:v>https://pubmed.ncbi.nlm.nih.gov/39359186/</x:v>
      </x:c>
    </x:row>
    <x:row r="122" ht="46" customHeight="1">
      <x:c r="A122" s="24" t="str">
        <x:v>Flexor digitorum brevis</x:v>
      </x:c>
      <x:c r="B122" s="24" t="str">
        <x:v>Plantar layer 1</x:v>
      </x:c>
      <x:c r="C122" s="24" t="str">
        <x:v>Flexor</x:v>
      </x:c>
      <x:c r="D122" s="24" t="str">
        <x:v>Yes</x:v>
      </x:c>
      <x:c r="E122" s="24" t="str">
        <x:v>No</x:v>
      </x:c>
      <x:c r="F122" s="24" t="str">
        <x:v>No</x:v>
      </x:c>
      <x:c r="G122" s="24" t="str">
        <x:v>Flexes PIP joints toes 2-5</x:v>
      </x:c>
      <x:c r="H122" s="24" t="str">
        <x:v>Medial calcaneal tubercle; plantar aponeurosis</x:v>
      </x:c>
      <x:c r="I122" s="24" t="str">
        <x:v>Sides middle phalanges toes 2-5</x:v>
      </x:c>
      <x:c r="J122" s="24" t="str">
        <x:v>Medial plantar nerve</x:v>
      </x:c>
      <x:c r="K122" s="24" t="str">
        <x:v>S1-S2</x:v>
      </x:c>
      <x:c r="L122" s="24" t="str">
        <x:v>Four bifurcating digital tendons</x:v>
      </x:c>
      <x:c r="M122" s="24" t="str">
        <x:v>Plantar aponeurosis direct origin; digital fibrous sheaths</x:v>
      </x:c>
      <x:c r="N122" s="24" t="str">
        <x:v>Not established</x:v>
      </x:c>
      <x:c r="O122" s="24" t="str">
        <x:v>Not established</x:v>
      </x:c>
      <x:c r="P122" s="24" t="str">
        <x:v>Mixed Type I and Type II; ratio unverified</x:v>
      </x:c>
      <x:c r="Q122" s="24" t="str">
        <x:v>Published biopsies insufficient to state a reliable per-muscle percentage; no inference from function</x:v>
      </x:c>
      <x:c r="R122" s="24" t="str">
        <x:v>https://www.kenhub.com/en/library/anatomy/ankle-and-foot-anatomy</x:v>
      </x:c>
      <x:c r="S122" s="24" t="str">
        <x:v>https://pubmed.ncbi.nlm.nih.gov/39359186/</x:v>
      </x:c>
    </x:row>
    <x:row r="123" ht="46" customHeight="1">
      <x:c r="A123" s="24" t="str">
        <x:v>Lumbrical 1 (foot)</x:v>
      </x:c>
      <x:c r="B123" s="24" t="str">
        <x:v>Plantar layer 2</x:v>
      </x:c>
      <x:c r="C123" s="24" t="str">
        <x:v>Flexor; Extensor</x:v>
      </x:c>
      <x:c r="D123" s="24" t="str">
        <x:v>Yes</x:v>
      </x:c>
      <x:c r="E123" s="24" t="str">
        <x:v>Yes</x:v>
      </x:c>
      <x:c r="F123" s="24" t="str">
        <x:v>No</x:v>
      </x:c>
      <x:c r="G123" s="24" t="str">
        <x:v>Flexes MTP and extends IP toe 2</x:v>
      </x:c>
      <x:c r="H123" s="24" t="str">
        <x:v>Medial side first FDL tendon</x:v>
      </x:c>
      <x:c r="I123" s="24" t="str">
        <x:v>Medial extensor expansion and proximal phalanx toe 2</x:v>
      </x:c>
      <x:c r="J123" s="24" t="str">
        <x:v>Medial plantar nerve</x:v>
      </x:c>
      <x:c r="K123" s="24" t="str">
        <x:v>S2-S3 (variable S1)</x:v>
      </x:c>
      <x:c r="L123" s="24" t="str">
        <x:v>FDL tendon origin; extensor hood insertion</x:v>
      </x:c>
      <x:c r="M123" s="24" t="str">
        <x:v>Plantar plates of MTP joints adjacent</x:v>
      </x:c>
      <x:c r="N123" s="24" t="str">
        <x:v>Not established</x:v>
      </x:c>
      <x:c r="O123" s="24" t="str">
        <x:v>Not established</x:v>
      </x:c>
      <x:c r="P123" s="24" t="str">
        <x:v>Mixed Type I and Type II; ratio unverified</x:v>
      </x:c>
      <x:c r="Q123" s="24" t="str">
        <x:v>Published biopsies insufficient to state a reliable per-muscle percentage; no inference from function</x:v>
      </x:c>
      <x:c r="R123" s="24" t="str">
        <x:v>https://www.kenhub.com/en/library/anatomy/ankle-and-foot-anatomy</x:v>
      </x:c>
      <x:c r="S123" s="24" t="str">
        <x:v>https://pubmed.ncbi.nlm.nih.gov/39359186/</x:v>
      </x:c>
    </x:row>
    <x:row r="124" ht="46" customHeight="1">
      <x:c r="A124" s="24" t="str">
        <x:v>Lumbrical 2 (foot)</x:v>
      </x:c>
      <x:c r="B124" s="24" t="str">
        <x:v>Plantar layer 2</x:v>
      </x:c>
      <x:c r="C124" s="24" t="str">
        <x:v>Flexor; Extensor</x:v>
      </x:c>
      <x:c r="D124" s="24" t="str">
        <x:v>Yes</x:v>
      </x:c>
      <x:c r="E124" s="24" t="str">
        <x:v>Yes</x:v>
      </x:c>
      <x:c r="F124" s="24" t="str">
        <x:v>No</x:v>
      </x:c>
      <x:c r="G124" s="24" t="str">
        <x:v>Flexes MTP and extends IP toe 3</x:v>
      </x:c>
      <x:c r="H124" s="24" t="str">
        <x:v>Adjacent FDL tendons to toes 2 and 3</x:v>
      </x:c>
      <x:c r="I124" s="24" t="str">
        <x:v>Medial extensor expansion toe 3</x:v>
      </x:c>
      <x:c r="J124" s="24" t="str">
        <x:v>Lateral plantar nerve</x:v>
      </x:c>
      <x:c r="K124" s="24" t="str">
        <x:v>S2-S3</x:v>
      </x:c>
      <x:c r="L124" s="24" t="str">
        <x:v>FDL tendon origin; extensor expansion</x:v>
      </x:c>
      <x:c r="M124" s="24" t="str">
        <x:v>MTP plantar plate nearby</x:v>
      </x:c>
      <x:c r="N124" s="24" t="str">
        <x:v>Not established</x:v>
      </x:c>
      <x:c r="O124" s="24" t="str">
        <x:v>Not established</x:v>
      </x:c>
      <x:c r="P124" s="24" t="str">
        <x:v>Mixed Type I and Type II; ratio unverified</x:v>
      </x:c>
      <x:c r="Q124" s="24" t="str">
        <x:v>Published biopsies insufficient to state a reliable per-muscle percentage; no inference from function</x:v>
      </x:c>
      <x:c r="R124" s="24" t="str">
        <x:v>https://www.kenhub.com/en/library/anatomy/ankle-and-foot-anatomy</x:v>
      </x:c>
      <x:c r="S124" s="24" t="str">
        <x:v>https://pubmed.ncbi.nlm.nih.gov/39359186/</x:v>
      </x:c>
    </x:row>
    <x:row r="125" ht="46" customHeight="1">
      <x:c r="A125" s="24" t="str">
        <x:v>Lumbrical 3 (foot)</x:v>
      </x:c>
      <x:c r="B125" s="24" t="str">
        <x:v>Plantar layer 2</x:v>
      </x:c>
      <x:c r="C125" s="24" t="str">
        <x:v>Flexor; Extensor</x:v>
      </x:c>
      <x:c r="D125" s="24" t="str">
        <x:v>Yes</x:v>
      </x:c>
      <x:c r="E125" s="24" t="str">
        <x:v>Yes</x:v>
      </x:c>
      <x:c r="F125" s="24" t="str">
        <x:v>No</x:v>
      </x:c>
      <x:c r="G125" s="24" t="str">
        <x:v>Flexes MTP and extends IP toe 4</x:v>
      </x:c>
      <x:c r="H125" s="24" t="str">
        <x:v>Adjacent FDL tendons toes 3 and 4</x:v>
      </x:c>
      <x:c r="I125" s="24" t="str">
        <x:v>Medial extensor expansion toe 4</x:v>
      </x:c>
      <x:c r="J125" s="24" t="str">
        <x:v>Lateral plantar nerve</x:v>
      </x:c>
      <x:c r="K125" s="24" t="str">
        <x:v>S2-S3</x:v>
      </x:c>
      <x:c r="L125" s="24" t="str">
        <x:v>FDL tendon origin; extensor expansion</x:v>
      </x:c>
      <x:c r="M125" s="24" t="str">
        <x:v>MTP plantar plate nearby</x:v>
      </x:c>
      <x:c r="N125" s="24" t="str">
        <x:v>Not established</x:v>
      </x:c>
      <x:c r="O125" s="24" t="str">
        <x:v>Not established</x:v>
      </x:c>
      <x:c r="P125" s="24" t="str">
        <x:v>Mixed Type I and Type II; ratio unverified</x:v>
      </x:c>
      <x:c r="Q125" s="24" t="str">
        <x:v>Published biopsies insufficient to state a reliable per-muscle percentage; no inference from function</x:v>
      </x:c>
      <x:c r="R125" s="24" t="str">
        <x:v>https://www.kenhub.com/en/library/anatomy/ankle-and-foot-anatomy</x:v>
      </x:c>
      <x:c r="S125" s="24" t="str">
        <x:v>https://pubmed.ncbi.nlm.nih.gov/39359186/</x:v>
      </x:c>
    </x:row>
    <x:row r="126" ht="46" customHeight="1">
      <x:c r="A126" s="24" t="str">
        <x:v>Lumbrical 4 (foot)</x:v>
      </x:c>
      <x:c r="B126" s="24" t="str">
        <x:v>Plantar layer 2</x:v>
      </x:c>
      <x:c r="C126" s="24" t="str">
        <x:v>Flexor; Extensor</x:v>
      </x:c>
      <x:c r="D126" s="24" t="str">
        <x:v>Yes</x:v>
      </x:c>
      <x:c r="E126" s="24" t="str">
        <x:v>Yes</x:v>
      </x:c>
      <x:c r="F126" s="24" t="str">
        <x:v>No</x:v>
      </x:c>
      <x:c r="G126" s="24" t="str">
        <x:v>Flexes MTP and extends IP toe 5</x:v>
      </x:c>
      <x:c r="H126" s="24" t="str">
        <x:v>Adjacent FDL tendons toes 4 and 5</x:v>
      </x:c>
      <x:c r="I126" s="24" t="str">
        <x:v>Medial extensor expansion toe 5</x:v>
      </x:c>
      <x:c r="J126" s="24" t="str">
        <x:v>Lateral plantar nerve</x:v>
      </x:c>
      <x:c r="K126" s="24" t="str">
        <x:v>S2-S3</x:v>
      </x:c>
      <x:c r="L126" s="24" t="str">
        <x:v>FDL tendon origin; extensor expansion</x:v>
      </x:c>
      <x:c r="M126" s="24" t="str">
        <x:v>MTP plantar plate nearby</x:v>
      </x:c>
      <x:c r="N126" s="24" t="str">
        <x:v>Not established</x:v>
      </x:c>
      <x:c r="O126" s="24" t="str">
        <x:v>Not established</x:v>
      </x:c>
      <x:c r="P126" s="24" t="str">
        <x:v>Mixed Type I and Type II; ratio unverified</x:v>
      </x:c>
      <x:c r="Q126" s="24" t="str">
        <x:v>Published biopsies insufficient to state a reliable per-muscle percentage; no inference from function</x:v>
      </x:c>
      <x:c r="R126" s="24" t="str">
        <x:v>https://www.kenhub.com/en/library/anatomy/ankle-and-foot-anatomy</x:v>
      </x:c>
      <x:c r="S126" s="24" t="str">
        <x:v>https://pubmed.ncbi.nlm.nih.gov/39359186/</x:v>
      </x:c>
    </x:row>
    <x:row r="127" ht="46" customHeight="1">
      <x:c r="A127" s="24" t="str">
        <x:v>Quadratus plantae lateral head</x:v>
      </x:c>
      <x:c r="B127" s="24" t="str">
        <x:v>Plantar layer 2</x:v>
      </x:c>
      <x:c r="C127" s="24" t="str">
        <x:v>Flexor; Stabilizer</x:v>
      </x:c>
      <x:c r="D127" s="24" t="str">
        <x:v>Yes</x:v>
      </x:c>
      <x:c r="E127" s="24" t="str">
        <x:v>No</x:v>
      </x:c>
      <x:c r="F127" s="24" t="str">
        <x:v>Yes</x:v>
      </x:c>
      <x:c r="G127" s="24" t="str">
        <x:v>Redirects FDL pull; assists toe flexion</x:v>
      </x:c>
      <x:c r="H127" s="24" t="str">
        <x:v>Lateral calcaneal tubercle and long plantar ligament</x:v>
      </x:c>
      <x:c r="I127" s="24" t="str">
        <x:v>Lateral edge FDL tendon</x:v>
      </x:c>
      <x:c r="J127" s="24" t="str">
        <x:v>Lateral plantar nerve</x:v>
      </x:c>
      <x:c r="K127" s="24" t="str">
        <x:v>S1-S3</x:v>
      </x:c>
      <x:c r="L127" s="24" t="str">
        <x:v>Insertion to FDL tendon</x:v>
      </x:c>
      <x:c r="M127" s="24" t="str">
        <x:v>Long plantar ligament may contribute to origin</x:v>
      </x:c>
      <x:c r="N127" s="24" t="str">
        <x:v>Not established</x:v>
      </x:c>
      <x:c r="O127" s="24" t="str">
        <x:v>Not established</x:v>
      </x:c>
      <x:c r="P127" s="24" t="str">
        <x:v>Mixed Type I and Type II; ratio unverified</x:v>
      </x:c>
      <x:c r="Q127" s="24" t="str">
        <x:v>Published biopsies insufficient to state a reliable per-muscle percentage; no inference from function</x:v>
      </x:c>
      <x:c r="R127" s="24" t="str">
        <x:v>https://www.kenhub.com/en/library/anatomy/ankle-and-foot-anatomy</x:v>
      </x:c>
      <x:c r="S127" s="24" t="str">
        <x:v>https://pubmed.ncbi.nlm.nih.gov/39359186/</x:v>
      </x:c>
    </x:row>
    <x:row r="128" ht="46" customHeight="1">
      <x:c r="A128" s="24" t="str">
        <x:v>Quadratus plantae medial head</x:v>
      </x:c>
      <x:c r="B128" s="24" t="str">
        <x:v>Plantar layer 2</x:v>
      </x:c>
      <x:c r="C128" s="24" t="str">
        <x:v>Flexor; Stabilizer</x:v>
      </x:c>
      <x:c r="D128" s="24" t="str">
        <x:v>Yes</x:v>
      </x:c>
      <x:c r="E128" s="24" t="str">
        <x:v>No</x:v>
      </x:c>
      <x:c r="F128" s="24" t="str">
        <x:v>Yes</x:v>
      </x:c>
      <x:c r="G128" s="24" t="str">
        <x:v>Redirects FDL pull to flex toes 2-5</x:v>
      </x:c>
      <x:c r="H128" s="24" t="str">
        <x:v>Medial surface calcaneus</x:v>
      </x:c>
      <x:c r="I128" s="24" t="str">
        <x:v>Posterolateral edge flexor digitorum longus tendon</x:v>
      </x:c>
      <x:c r="J128" s="24" t="str">
        <x:v>Lateral plantar nerve</x:v>
      </x:c>
      <x:c r="K128" s="24" t="str">
        <x:v>S1-S3</x:v>
      </x:c>
      <x:c r="L128" s="24" t="str">
        <x:v>Attaches directly to FDL tendon</x:v>
      </x:c>
      <x:c r="M128" s="24" t="str">
        <x:v>Long plantar ligament nearby (no direct ligament insertion)</x:v>
      </x:c>
      <x:c r="N128" s="24" t="str">
        <x:v>Not established</x:v>
      </x:c>
      <x:c r="O128" s="24" t="str">
        <x:v>Not established</x:v>
      </x:c>
      <x:c r="P128" s="24" t="str">
        <x:v>Mixed Type I and Type II; ratio unverified</x:v>
      </x:c>
      <x:c r="Q128" s="24" t="str">
        <x:v>Published biopsies insufficient to state a reliable per-muscle percentage; no inference from function</x:v>
      </x:c>
      <x:c r="R128" s="24" t="str">
        <x:v>https://www.kenhub.com/en/library/anatomy/ankle-and-foot-anatomy</x:v>
      </x:c>
      <x:c r="S128" s="24" t="str">
        <x:v>https://pubmed.ncbi.nlm.nih.gov/39359186/</x:v>
      </x:c>
    </x:row>
    <x:row r="129" ht="46" customHeight="1">
      <x:c r="A129" s="24" t="str">
        <x:v>Adductor hallucis oblique head</x:v>
      </x:c>
      <x:c r="B129" s="24" t="str">
        <x:v>Plantar layer 3</x:v>
      </x:c>
      <x:c r="C129" s="24" t="str">
        <x:v>Stabilizer</x:v>
      </x:c>
      <x:c r="D129" s="24" t="str">
        <x:v>No</x:v>
      </x:c>
      <x:c r="E129" s="24" t="str">
        <x:v>No</x:v>
      </x:c>
      <x:c r="F129" s="24" t="str">
        <x:v>Yes</x:v>
      </x:c>
      <x:c r="G129" s="24" t="str">
        <x:v>Adducts hallux; supports transverse arch</x:v>
      </x:c>
      <x:c r="H129" s="24" t="str">
        <x:v>Bases metatarsals 2-4; long plantar ligament; fibularis longus tendon sheath</x:v>
      </x:c>
      <x:c r="I129" s="24" t="str">
        <x:v>Lateral base proximal phalanx hallux with sesamoid</x:v>
      </x:c>
      <x:c r="J129" s="24" t="str">
        <x:v>Deep branch lateral plantar nerve</x:v>
      </x:c>
      <x:c r="K129" s="24" t="str">
        <x:v>S2-S3</x:v>
      </x:c>
      <x:c r="L129" s="24" t="str">
        <x:v>Tendon via lateral sesamoid</x:v>
      </x:c>
      <x:c r="M129" s="24" t="str">
        <x:v>Long plantar ligament contributes origin</x:v>
      </x:c>
      <x:c r="N129" s="24" t="str">
        <x:v>Not established</x:v>
      </x:c>
      <x:c r="O129" s="24" t="str">
        <x:v>Not established</x:v>
      </x:c>
      <x:c r="P129" s="24" t="str">
        <x:v>Mixed Type I and Type II; ratio unverified</x:v>
      </x:c>
      <x:c r="Q129" s="24" t="str">
        <x:v>Published biopsies insufficient to state a reliable per-muscle percentage; no inference from function</x:v>
      </x:c>
      <x:c r="R129" s="24" t="str">
        <x:v>https://www.kenhub.com/en/library/anatomy/ankle-and-foot-anatomy</x:v>
      </x:c>
      <x:c r="S129" s="24" t="str">
        <x:v>https://pubmed.ncbi.nlm.nih.gov/39359186/</x:v>
      </x:c>
    </x:row>
    <x:row r="130" ht="46" customHeight="1">
      <x:c r="A130" s="24" t="str">
        <x:v>Adductor hallucis transverse head</x:v>
      </x:c>
      <x:c r="B130" s="24" t="str">
        <x:v>Plantar layer 3</x:v>
      </x:c>
      <x:c r="C130" s="24" t="str">
        <x:v>Stabilizer</x:v>
      </x:c>
      <x:c r="D130" s="24" t="str">
        <x:v>No</x:v>
      </x:c>
      <x:c r="E130" s="24" t="str">
        <x:v>No</x:v>
      </x:c>
      <x:c r="F130" s="24" t="str">
        <x:v>Yes</x:v>
      </x:c>
      <x:c r="G130" s="24" t="str">
        <x:v>Adducts hallux; supports transverse arch</x:v>
      </x:c>
      <x:c r="H130" s="24" t="str">
        <x:v>Plantar plates of MTP joints toes 3-5; deep transverse metatarsal ligaments</x:v>
      </x:c>
      <x:c r="I130" s="24" t="str">
        <x:v>Lateral base proximal phalanx hallux</x:v>
      </x:c>
      <x:c r="J130" s="24" t="str">
        <x:v>Deep branch lateral plantar nerve</x:v>
      </x:c>
      <x:c r="K130" s="24" t="str">
        <x:v>S2-S3</x:v>
      </x:c>
      <x:c r="L130" s="24" t="str">
        <x:v>Common adductor tendon</x:v>
      </x:c>
      <x:c r="M130" s="24" t="str">
        <x:v>Deep transverse metatarsal ligaments direct origins</x:v>
      </x:c>
      <x:c r="N130" s="24" t="str">
        <x:v>Not established</x:v>
      </x:c>
      <x:c r="O130" s="24" t="str">
        <x:v>Not established</x:v>
      </x:c>
      <x:c r="P130" s="24" t="str">
        <x:v>Mixed Type I and Type II; ratio unverified</x:v>
      </x:c>
      <x:c r="Q130" s="24" t="str">
        <x:v>Published biopsies insufficient to state a reliable per-muscle percentage; no inference from function</x:v>
      </x:c>
      <x:c r="R130" s="24" t="str">
        <x:v>https://www.kenhub.com/en/library/anatomy/ankle-and-foot-anatomy</x:v>
      </x:c>
      <x:c r="S130" s="24" t="str">
        <x:v>https://pubmed.ncbi.nlm.nih.gov/39359186/</x:v>
      </x:c>
    </x:row>
    <x:row r="131" ht="46" customHeight="1">
      <x:c r="A131" s="24" t="str">
        <x:v>Flexor digiti minimi brevis (foot)</x:v>
      </x:c>
      <x:c r="B131" s="24" t="str">
        <x:v>Plantar layer 3</x:v>
      </x:c>
      <x:c r="C131" s="24" t="str">
        <x:v>Flexor</x:v>
      </x:c>
      <x:c r="D131" s="24" t="str">
        <x:v>Yes</x:v>
      </x:c>
      <x:c r="E131" s="24" t="str">
        <x:v>No</x:v>
      </x:c>
      <x:c r="F131" s="24" t="str">
        <x:v>No</x:v>
      </x:c>
      <x:c r="G131" s="24" t="str">
        <x:v>Flexes fifth MTP joint</x:v>
      </x:c>
      <x:c r="H131" s="24" t="str">
        <x:v>Base metatarsal 5; long plantar ligament</x:v>
      </x:c>
      <x:c r="I131" s="24" t="str">
        <x:v>Base proximal phalanx fifth toe</x:v>
      </x:c>
      <x:c r="J131" s="24" t="str">
        <x:v>Superficial branch lateral plantar nerve</x:v>
      </x:c>
      <x:c r="K131" s="24" t="str">
        <x:v>S2-S3</x:v>
      </x:c>
      <x:c r="L131" s="24" t="str">
        <x:v>Distal tendon to fifth toe</x:v>
      </x:c>
      <x:c r="M131" s="24" t="str">
        <x:v>Long plantar ligament contributes to origin</x:v>
      </x:c>
      <x:c r="N131" s="24" t="str">
        <x:v>Not established</x:v>
      </x:c>
      <x:c r="O131" s="24" t="str">
        <x:v>Not established</x:v>
      </x:c>
      <x:c r="P131" s="24" t="str">
        <x:v>Mixed Type I and Type II; ratio unverified</x:v>
      </x:c>
      <x:c r="Q131" s="24" t="str">
        <x:v>Published biopsies insufficient to state a reliable per-muscle percentage; no inference from function</x:v>
      </x:c>
      <x:c r="R131" s="24" t="str">
        <x:v>https://www.kenhub.com/en/library/anatomy/ankle-and-foot-anatomy</x:v>
      </x:c>
      <x:c r="S131" s="24" t="str">
        <x:v>https://pubmed.ncbi.nlm.nih.gov/39359186/</x:v>
      </x:c>
    </x:row>
    <x:row r="132" ht="46" customHeight="1">
      <x:c r="A132" s="24" t="str">
        <x:v>Flexor hallucis brevis lateral head</x:v>
      </x:c>
      <x:c r="B132" s="24" t="str">
        <x:v>Plantar layer 3</x:v>
      </x:c>
      <x:c r="C132" s="24" t="str">
        <x:v>Flexor</x:v>
      </x:c>
      <x:c r="D132" s="24" t="str">
        <x:v>Yes</x:v>
      </x:c>
      <x:c r="E132" s="24" t="str">
        <x:v>No</x:v>
      </x:c>
      <x:c r="F132" s="24" t="str">
        <x:v>No</x:v>
      </x:c>
      <x:c r="G132" s="24" t="str">
        <x:v>Flexes hallux MTP</x:v>
      </x:c>
      <x:c r="H132" s="24" t="str">
        <x:v>Cuboid/lateral cuneiform; tibialis posterior tendon</x:v>
      </x:c>
      <x:c r="I132" s="24" t="str">
        <x:v>Lateral sesamoid and base proximal hallux phalanx</x:v>
      </x:c>
      <x:c r="J132" s="24" t="str">
        <x:v>Medial plantar nerve (variable deep lateral plantar contribution)</x:v>
      </x:c>
      <x:c r="K132" s="24" t="str">
        <x:v>S1-S2</x:v>
      </x:c>
      <x:c r="L132" s="24" t="str">
        <x:v>Tendon via lateral hallucal sesamoid</x:v>
      </x:c>
      <x:c r="M132" s="24" t="str">
        <x:v>Plantar plate and collateral ligaments at MTP nearby</x:v>
      </x:c>
      <x:c r="N132" s="24" t="str">
        <x:v>Not established</x:v>
      </x:c>
      <x:c r="O132" s="24" t="str">
        <x:v>Not established</x:v>
      </x:c>
      <x:c r="P132" s="24" t="str">
        <x:v>Mixed Type I and Type II; ratio unverified</x:v>
      </x:c>
      <x:c r="Q132" s="24" t="str">
        <x:v>Published biopsies insufficient to state a reliable per-muscle percentage; no inference from function</x:v>
      </x:c>
      <x:c r="R132" s="24" t="str">
        <x:v>https://www.kenhub.com/en/library/anatomy/ankle-and-foot-anatomy</x:v>
      </x:c>
      <x:c r="S132" s="24" t="str">
        <x:v>https://pubmed.ncbi.nlm.nih.gov/39359186/</x:v>
      </x:c>
    </x:row>
    <x:row r="133" ht="46" customHeight="1">
      <x:c r="A133" s="24" t="str">
        <x:v>Flexor hallucis brevis medial head</x:v>
      </x:c>
      <x:c r="B133" s="24" t="str">
        <x:v>Plantar layer 3</x:v>
      </x:c>
      <x:c r="C133" s="24" t="str">
        <x:v>Flexor; Stabilizer</x:v>
      </x:c>
      <x:c r="D133" s="24" t="str">
        <x:v>Yes</x:v>
      </x:c>
      <x:c r="E133" s="24" t="str">
        <x:v>No</x:v>
      </x:c>
      <x:c r="F133" s="24" t="str">
        <x:v>Yes</x:v>
      </x:c>
      <x:c r="G133" s="24" t="str">
        <x:v>Flexes hallux MTP; supports medial arch</x:v>
      </x:c>
      <x:c r="H133" s="24" t="str">
        <x:v>Medial cuneiform; cuboid region; tibialis posterior tendon fibers</x:v>
      </x:c>
      <x:c r="I133" s="24" t="str">
        <x:v>Medial sesamoid and base proximal hallux phalanx</x:v>
      </x:c>
      <x:c r="J133" s="24" t="str">
        <x:v>Medial plantar nerve</x:v>
      </x:c>
      <x:c r="K133" s="24" t="str">
        <x:v>S1-S2</x:v>
      </x:c>
      <x:c r="L133" s="24" t="str">
        <x:v>Short tendon via medial hallucal sesamoid</x:v>
      </x:c>
      <x:c r="M133" s="24" t="str">
        <x:v>Plantar plate/medial collateral ligament at MTP nearby</x:v>
      </x:c>
      <x:c r="N133" s="24" t="str">
        <x:v>Not established</x:v>
      </x:c>
      <x:c r="O133" s="24" t="str">
        <x:v>Not established</x:v>
      </x:c>
      <x:c r="P133" s="24" t="str">
        <x:v>Mixed Type I and Type II; ratio unverified</x:v>
      </x:c>
      <x:c r="Q133" s="24" t="str">
        <x:v>Published biopsies insufficient to state a reliable per-muscle percentage; no inference from function</x:v>
      </x:c>
      <x:c r="R133" s="24" t="str">
        <x:v>https://www.kenhub.com/en/library/anatomy/ankle-and-foot-anatomy</x:v>
      </x:c>
      <x:c r="S133" s="24" t="str">
        <x:v>https://pubmed.ncbi.nlm.nih.gov/39359186/</x:v>
      </x:c>
    </x:row>
    <x:row r="134" ht="46" customHeight="1">
      <x:c r="A134" s="24" t="str">
        <x:v>Opponens digiti minimi (foot, variable)</x:v>
      </x:c>
      <x:c r="B134" s="24" t="str">
        <x:v>Plantar layer 3</x:v>
      </x:c>
      <x:c r="C134" s="24" t="str">
        <x:v>Stabilizer</x:v>
      </x:c>
      <x:c r="D134" s="24" t="str">
        <x:v>No</x:v>
      </x:c>
      <x:c r="E134" s="24" t="str">
        <x:v>No</x:v>
      </x:c>
      <x:c r="F134" s="24" t="str">
        <x:v>Yes</x:v>
      </x:c>
      <x:c r="G134" s="24" t="str">
        <x:v>Draws fifth metatarsal plantarly; supports lateral arch</x:v>
      </x:c>
      <x:c r="H134" s="24" t="str">
        <x:v>Long plantar ligament and cuboid/fifth metatarsal base</x:v>
      </x:c>
      <x:c r="I134" s="24" t="str">
        <x:v>Lateral shaft fifth metatarsal</x:v>
      </x:c>
      <x:c r="J134" s="24" t="str">
        <x:v>Lateral plantar nerve</x:v>
      </x:c>
      <x:c r="K134" s="24" t="str">
        <x:v>S2-S3</x:v>
      </x:c>
      <x:c r="L134" s="24" t="str">
        <x:v>Small insertion tendinous fibers</x:v>
      </x:c>
      <x:c r="M134" s="24" t="str">
        <x:v>Long plantar ligament origin; muscle absent in some individuals</x:v>
      </x:c>
      <x:c r="N134" s="24" t="str">
        <x:v>Not established</x:v>
      </x:c>
      <x:c r="O134" s="24" t="str">
        <x:v>Not established</x:v>
      </x:c>
      <x:c r="P134" s="24" t="str">
        <x:v>Mixed Type I and Type II; ratio unverified</x:v>
      </x:c>
      <x:c r="Q134" s="24" t="str">
        <x:v>Published biopsies insufficient to state a reliable per-muscle percentage; no inference from function</x:v>
      </x:c>
      <x:c r="R134" s="24" t="str">
        <x:v>https://www.kenhub.com/en/library/anatomy/ankle-and-foot-anatomy</x:v>
      </x:c>
      <x:c r="S134" s="24" t="str">
        <x:v>https://pubmed.ncbi.nlm.nih.gov/39359186/</x:v>
      </x:c>
    </x:row>
    <x:row r="135" ht="46" customHeight="1">
      <x:c r="A135" s="24" t="str">
        <x:v>Dorsal interosseous 1 (foot)</x:v>
      </x:c>
      <x:c r="B135" s="24" t="str">
        <x:v>Plantar layer 4</x:v>
      </x:c>
      <x:c r="C135" s="24" t="str">
        <x:v>Flexor; Extensor; Stabilizer</x:v>
      </x:c>
      <x:c r="D135" s="24" t="str">
        <x:v>Yes</x:v>
      </x:c>
      <x:c r="E135" s="24" t="str">
        <x:v>Yes</x:v>
      </x:c>
      <x:c r="F135" s="24" t="str">
        <x:v>Yes</x:v>
      </x:c>
      <x:c r="G135" s="24" t="str">
        <x:v>Abducts second toe medially; MTP flexion/IP extension</x:v>
      </x:c>
      <x:c r="H135" s="24" t="str">
        <x:v>Facing shafts metatarsals 1-2</x:v>
      </x:c>
      <x:c r="I135" s="24" t="str">
        <x:v>Medial base proximal phalanx toe 2</x:v>
      </x:c>
      <x:c r="J135" s="24" t="str">
        <x:v>Deep branch lateral plantar nerve</x:v>
      </x:c>
      <x:c r="K135" s="24" t="str">
        <x:v>S2-S3</x:v>
      </x:c>
      <x:c r="L135" s="24" t="str">
        <x:v>Distal interosseous tendon</x:v>
      </x:c>
      <x:c r="M135" s="24" t="str">
        <x:v>Deep transverse metatarsal ligament adjacent</x:v>
      </x:c>
      <x:c r="N135" s="24" t="str">
        <x:v>Not established</x:v>
      </x:c>
      <x:c r="O135" s="24" t="str">
        <x:v>Not established</x:v>
      </x:c>
      <x:c r="P135" s="24" t="str">
        <x:v>Mixed Type I and Type II; ratio unverified</x:v>
      </x:c>
      <x:c r="Q135" s="24" t="str">
        <x:v>Published biopsies insufficient to state a reliable per-muscle percentage; no inference from function</x:v>
      </x:c>
      <x:c r="R135" s="24" t="str">
        <x:v>https://www.kenhub.com/en/library/anatomy/ankle-and-foot-anatomy</x:v>
      </x:c>
      <x:c r="S135" s="24" t="str">
        <x:v>https://pubmed.ncbi.nlm.nih.gov/39359186/</x:v>
      </x:c>
    </x:row>
    <x:row r="136" ht="46" customHeight="1">
      <x:c r="A136" s="24" t="str">
        <x:v>Dorsal interosseous 2 (foot)</x:v>
      </x:c>
      <x:c r="B136" s="24" t="str">
        <x:v>Plantar layer 4</x:v>
      </x:c>
      <x:c r="C136" s="24" t="str">
        <x:v>Flexor; Extensor; Stabilizer</x:v>
      </x:c>
      <x:c r="D136" s="24" t="str">
        <x:v>Yes</x:v>
      </x:c>
      <x:c r="E136" s="24" t="str">
        <x:v>Yes</x:v>
      </x:c>
      <x:c r="F136" s="24" t="str">
        <x:v>Yes</x:v>
      </x:c>
      <x:c r="G136" s="24" t="str">
        <x:v>Abducts second toe laterally; MTP flexion/IP extension</x:v>
      </x:c>
      <x:c r="H136" s="24" t="str">
        <x:v>Facing shafts metatarsals 2-3</x:v>
      </x:c>
      <x:c r="I136" s="24" t="str">
        <x:v>Lateral base proximal phalanx toe 2</x:v>
      </x:c>
      <x:c r="J136" s="24" t="str">
        <x:v>Deep branch lateral plantar nerve</x:v>
      </x:c>
      <x:c r="K136" s="24" t="str">
        <x:v>S2-S3</x:v>
      </x:c>
      <x:c r="L136" s="24" t="str">
        <x:v>Distal interosseous tendon</x:v>
      </x:c>
      <x:c r="M136" s="24" t="str">
        <x:v>Deep transverse metatarsal ligament adjacent</x:v>
      </x:c>
      <x:c r="N136" s="24" t="str">
        <x:v>Not established</x:v>
      </x:c>
      <x:c r="O136" s="24" t="str">
        <x:v>Not established</x:v>
      </x:c>
      <x:c r="P136" s="24" t="str">
        <x:v>Mixed Type I and Type II; ratio unverified</x:v>
      </x:c>
      <x:c r="Q136" s="24" t="str">
        <x:v>Published biopsies insufficient to state a reliable per-muscle percentage; no inference from function</x:v>
      </x:c>
      <x:c r="R136" s="24" t="str">
        <x:v>https://www.kenhub.com/en/library/anatomy/ankle-and-foot-anatomy</x:v>
      </x:c>
      <x:c r="S136" s="24" t="str">
        <x:v>https://pubmed.ncbi.nlm.nih.gov/39359186/</x:v>
      </x:c>
    </x:row>
    <x:row r="137" ht="46" customHeight="1">
      <x:c r="A137" s="24" t="str">
        <x:v>Dorsal interosseous 3 (foot)</x:v>
      </x:c>
      <x:c r="B137" s="24" t="str">
        <x:v>Plantar layer 4</x:v>
      </x:c>
      <x:c r="C137" s="24" t="str">
        <x:v>Flexor; Extensor; Stabilizer</x:v>
      </x:c>
      <x:c r="D137" s="24" t="str">
        <x:v>Yes</x:v>
      </x:c>
      <x:c r="E137" s="24" t="str">
        <x:v>Yes</x:v>
      </x:c>
      <x:c r="F137" s="24" t="str">
        <x:v>Yes</x:v>
      </x:c>
      <x:c r="G137" s="24" t="str">
        <x:v>Abducts third toe; assists MTP flexion/IP extension</x:v>
      </x:c>
      <x:c r="H137" s="24" t="str">
        <x:v>Facing shafts metatarsals 3-4</x:v>
      </x:c>
      <x:c r="I137" s="24" t="str">
        <x:v>Lateral base proximal phalanx toe 3</x:v>
      </x:c>
      <x:c r="J137" s="24" t="str">
        <x:v>Deep branch lateral plantar nerve</x:v>
      </x:c>
      <x:c r="K137" s="24" t="str">
        <x:v>S2-S3</x:v>
      </x:c>
      <x:c r="L137" s="24" t="str">
        <x:v>Distal interosseous tendon</x:v>
      </x:c>
      <x:c r="M137" s="24" t="str">
        <x:v>Deep transverse metatarsal ligament adjacent</x:v>
      </x:c>
      <x:c r="N137" s="24" t="str">
        <x:v>Not established</x:v>
      </x:c>
      <x:c r="O137" s="24" t="str">
        <x:v>Not established</x:v>
      </x:c>
      <x:c r="P137" s="24" t="str">
        <x:v>Mixed Type I and Type II; ratio unverified</x:v>
      </x:c>
      <x:c r="Q137" s="24" t="str">
        <x:v>Published biopsies insufficient to state a reliable per-muscle percentage; no inference from function</x:v>
      </x:c>
      <x:c r="R137" s="24" t="str">
        <x:v>https://www.kenhub.com/en/library/anatomy/ankle-and-foot-anatomy</x:v>
      </x:c>
      <x:c r="S137" s="24" t="str">
        <x:v>https://pubmed.ncbi.nlm.nih.gov/39359186/</x:v>
      </x:c>
    </x:row>
    <x:row r="138" ht="46" customHeight="1">
      <x:c r="A138" s="24" t="str">
        <x:v>Dorsal interosseous 4 (foot)</x:v>
      </x:c>
      <x:c r="B138" s="24" t="str">
        <x:v>Plantar layer 4</x:v>
      </x:c>
      <x:c r="C138" s="24" t="str">
        <x:v>Flexor; Extensor; Stabilizer</x:v>
      </x:c>
      <x:c r="D138" s="24" t="str">
        <x:v>Yes</x:v>
      </x:c>
      <x:c r="E138" s="24" t="str">
        <x:v>Yes</x:v>
      </x:c>
      <x:c r="F138" s="24" t="str">
        <x:v>Yes</x:v>
      </x:c>
      <x:c r="G138" s="24" t="str">
        <x:v>Abducts fourth toe; assists MTP flexion/IP extension</x:v>
      </x:c>
      <x:c r="H138" s="24" t="str">
        <x:v>Facing shafts metatarsals 4-5</x:v>
      </x:c>
      <x:c r="I138" s="24" t="str">
        <x:v>Lateral base proximal phalanx toe 4</x:v>
      </x:c>
      <x:c r="J138" s="24" t="str">
        <x:v>Deep branch lateral plantar nerve</x:v>
      </x:c>
      <x:c r="K138" s="24" t="str">
        <x:v>S2-S3</x:v>
      </x:c>
      <x:c r="L138" s="24" t="str">
        <x:v>Distal interosseous tendon</x:v>
      </x:c>
      <x:c r="M138" s="24" t="str">
        <x:v>Deep transverse metatarsal ligament adjacent</x:v>
      </x:c>
      <x:c r="N138" s="24" t="str">
        <x:v>Not established</x:v>
      </x:c>
      <x:c r="O138" s="24" t="str">
        <x:v>Not established</x:v>
      </x:c>
      <x:c r="P138" s="24" t="str">
        <x:v>Mixed Type I and Type II; ratio unverified</x:v>
      </x:c>
      <x:c r="Q138" s="24" t="str">
        <x:v>Published biopsies insufficient to state a reliable per-muscle percentage; no inference from function</x:v>
      </x:c>
      <x:c r="R138" s="24" t="str">
        <x:v>https://www.kenhub.com/en/library/anatomy/ankle-and-foot-anatomy</x:v>
      </x:c>
      <x:c r="S138" s="24" t="str">
        <x:v>https://pubmed.ncbi.nlm.nih.gov/39359186/</x:v>
      </x:c>
    </x:row>
    <x:row r="139" ht="46" customHeight="1">
      <x:c r="A139" s="24" t="str">
        <x:v>Plantar interosseous 1 (third toe)</x:v>
      </x:c>
      <x:c r="B139" s="24" t="str">
        <x:v>Plantar layer 4</x:v>
      </x:c>
      <x:c r="C139" s="24" t="str">
        <x:v>Flexor; Extensor; Stabilizer</x:v>
      </x:c>
      <x:c r="D139" s="24" t="str">
        <x:v>Yes</x:v>
      </x:c>
      <x:c r="E139" s="24" t="str">
        <x:v>Yes</x:v>
      </x:c>
      <x:c r="F139" s="24" t="str">
        <x:v>Yes</x:v>
      </x:c>
      <x:c r="G139" s="24" t="str">
        <x:v>Adducts third toe toward second; assists MTP flexion/IP extension</x:v>
      </x:c>
      <x:c r="H139" s="24" t="str">
        <x:v>Medial side metatarsal 3</x:v>
      </x:c>
      <x:c r="I139" s="24" t="str">
        <x:v>Medial proximal phalanx and extensor hood toe 3</x:v>
      </x:c>
      <x:c r="J139" s="24" t="str">
        <x:v>Deep branch lateral plantar nerve</x:v>
      </x:c>
      <x:c r="K139" s="24" t="str">
        <x:v>S2-S3</x:v>
      </x:c>
      <x:c r="L139" s="24" t="str">
        <x:v>Interosseous tendon to extensor hood</x:v>
      </x:c>
      <x:c r="M139" s="24" t="str">
        <x:v>Deep transverse metatarsal ligament nearby</x:v>
      </x:c>
      <x:c r="N139" s="24" t="str">
        <x:v>Not established</x:v>
      </x:c>
      <x:c r="O139" s="24" t="str">
        <x:v>Not established</x:v>
      </x:c>
      <x:c r="P139" s="24" t="str">
        <x:v>Mixed Type I and Type II; ratio unverified</x:v>
      </x:c>
      <x:c r="Q139" s="24" t="str">
        <x:v>Published biopsies insufficient to state a reliable per-muscle percentage; no inference from function</x:v>
      </x:c>
      <x:c r="R139" s="24" t="str">
        <x:v>https://www.kenhub.com/en/library/anatomy/ankle-and-foot-anatomy</x:v>
      </x:c>
      <x:c r="S139" s="24" t="str">
        <x:v>https://pubmed.ncbi.nlm.nih.gov/39359186/</x:v>
      </x:c>
    </x:row>
    <x:row r="140" ht="46" customHeight="1">
      <x:c r="A140" s="24" t="str">
        <x:v>Plantar interosseous 2 (fourth toe)</x:v>
      </x:c>
      <x:c r="B140" s="24" t="str">
        <x:v>Plantar layer 4</x:v>
      </x:c>
      <x:c r="C140" s="24" t="str">
        <x:v>Flexor; Extensor; Stabilizer</x:v>
      </x:c>
      <x:c r="D140" s="24" t="str">
        <x:v>Yes</x:v>
      </x:c>
      <x:c r="E140" s="24" t="str">
        <x:v>Yes</x:v>
      </x:c>
      <x:c r="F140" s="24" t="str">
        <x:v>Yes</x:v>
      </x:c>
      <x:c r="G140" s="24" t="str">
        <x:v>Adducts fourth toe; assists MTP flexion/IP extension</x:v>
      </x:c>
      <x:c r="H140" s="24" t="str">
        <x:v>Medial side metatarsal 4</x:v>
      </x:c>
      <x:c r="I140" s="24" t="str">
        <x:v>Medial proximal phalanx/extensor hood toe 4</x:v>
      </x:c>
      <x:c r="J140" s="24" t="str">
        <x:v>Deep branch lateral plantar nerve</x:v>
      </x:c>
      <x:c r="K140" s="24" t="str">
        <x:v>S2-S3</x:v>
      </x:c>
      <x:c r="L140" s="24" t="str">
        <x:v>Interosseous tendon to extensor hood</x:v>
      </x:c>
      <x:c r="M140" s="24" t="str">
        <x:v>Deep transverse metatarsal ligament nearby</x:v>
      </x:c>
      <x:c r="N140" s="24" t="str">
        <x:v>Not established</x:v>
      </x:c>
      <x:c r="O140" s="24" t="str">
        <x:v>Not established</x:v>
      </x:c>
      <x:c r="P140" s="24" t="str">
        <x:v>Mixed Type I and Type II; ratio unverified</x:v>
      </x:c>
      <x:c r="Q140" s="24" t="str">
        <x:v>Published biopsies insufficient to state a reliable per-muscle percentage; no inference from function</x:v>
      </x:c>
      <x:c r="R140" s="24" t="str">
        <x:v>https://www.kenhub.com/en/library/anatomy/ankle-and-foot-anatomy</x:v>
      </x:c>
      <x:c r="S140" s="24" t="str">
        <x:v>https://pubmed.ncbi.nlm.nih.gov/39359186/</x:v>
      </x:c>
    </x:row>
    <x:row r="141" ht="46" customHeight="1">
      <x:c r="A141" s="24" t="str">
        <x:v>Plantar interosseous 3 (fifth toe)</x:v>
      </x:c>
      <x:c r="B141" s="24" t="str">
        <x:v>Plantar layer 4</x:v>
      </x:c>
      <x:c r="C141" s="24" t="str">
        <x:v>Flexor; Extensor; Stabilizer</x:v>
      </x:c>
      <x:c r="D141" s="24" t="str">
        <x:v>Yes</x:v>
      </x:c>
      <x:c r="E141" s="24" t="str">
        <x:v>Yes</x:v>
      </x:c>
      <x:c r="F141" s="24" t="str">
        <x:v>Yes</x:v>
      </x:c>
      <x:c r="G141" s="24" t="str">
        <x:v>Adducts fifth toe; assists MTP flexion/IP extension</x:v>
      </x:c>
      <x:c r="H141" s="24" t="str">
        <x:v>Medial side metatarsal 5</x:v>
      </x:c>
      <x:c r="I141" s="24" t="str">
        <x:v>Medial proximal phalanx/extensor hood toe 5</x:v>
      </x:c>
      <x:c r="J141" s="24" t="str">
        <x:v>Deep branch lateral plantar nerve</x:v>
      </x:c>
      <x:c r="K141" s="24" t="str">
        <x:v>S2-S3</x:v>
      </x:c>
      <x:c r="L141" s="24" t="str">
        <x:v>Interosseous tendon to extensor hood</x:v>
      </x:c>
      <x:c r="M141" s="24" t="str">
        <x:v>Deep transverse metatarsal ligament nearby</x:v>
      </x:c>
      <x:c r="N141" s="24" t="str">
        <x:v>Not established</x:v>
      </x:c>
      <x:c r="O141" s="24" t="str">
        <x:v>Not established</x:v>
      </x:c>
      <x:c r="P141" s="24" t="str">
        <x:v>Mixed Type I and Type II; ratio unverified</x:v>
      </x:c>
      <x:c r="Q141" s="24" t="str">
        <x:v>Published biopsies insufficient to state a reliable per-muscle percentage; no inference from function</x:v>
      </x:c>
      <x:c r="R141" s="24" t="str">
        <x:v>https://www.kenhub.com/en/library/anatomy/ankle-and-foot-anatomy</x:v>
      </x:c>
      <x:c r="S141" s="24" t="str">
        <x:v>https://pubmed.ncbi.nlm.nih.gov/39359186/</x:v>
      </x:c>
    </x:row>
    <x:row r="142" ht="46" customHeight="1">
      <x:c r="A142" s="24" t="str">
        <x:v>Rectus abdominis</x:v>
      </x:c>
      <x:c r="B142" s="24" t="str">
        <x:v>Anterior abdominal wall</x:v>
      </x:c>
      <x:c r="C142" s="24" t="str">
        <x:v>Flexor; Stabilizer</x:v>
      </x:c>
      <x:c r="D142" s="24" t="str">
        <x:v>Yes</x:v>
      </x:c>
      <x:c r="E142" s="24" t="str">
        <x:v>No</x:v>
      </x:c>
      <x:c r="F142" s="24" t="str">
        <x:v>Yes</x:v>
      </x:c>
      <x:c r="G142" s="24" t="str">
        <x:v>Flexes trunk; compresses abdominal viscera; posterior pelvic tilt</x:v>
      </x:c>
      <x:c r="H142" s="24" t="str">
        <x:v>Pubic crest and pubic symphysis</x:v>
      </x:c>
      <x:c r="I142" s="24" t="str">
        <x:v>Xiphoid process and costal cartilages ribs 5-7</x:v>
      </x:c>
      <x:c r="J142" s="24" t="str">
        <x:v>Thoracoabdominal nerves</x:v>
      </x:c>
      <x:c r="K142" s="24" t="str">
        <x:v>T6-T12</x:v>
      </x:c>
      <x:c r="L142" s="24" t="str">
        <x:v>Tendinous intersections and rectus sheath insertion</x:v>
      </x:c>
      <x:c r="M142" s="24" t="str">
        <x:v>Linea alba and rectus sheath are aponeurotic, not ligament</x:v>
      </x:c>
      <x:c r="N142" s="24" t="str">
        <x:v>Not established</x:v>
      </x:c>
      <x:c r="O142" s="24" t="str">
        <x:v>Not established</x:v>
      </x:c>
      <x:c r="P142" s="24" t="str">
        <x:v>Mixed Type I and Type II; ratio unverified</x:v>
      </x:c>
      <x:c r="Q142" s="24" t="str">
        <x:v>Published biopsies insufficient to state a reliable per-muscle percentage; no inference from function</x:v>
      </x:c>
      <x:c r="R142" s="24" t="str">
        <x:v>https://www.kenhub.com/en/library/anatomy/anterior-abdominal-wall</x:v>
      </x:c>
      <x:c r="S142" s="24" t="str">
        <x:v>https://pubmed.ncbi.nlm.nih.gov/39359186/</x:v>
      </x:c>
    </x:row>
    <x:row r="143" ht="46" customHeight="1">
      <x:c r="A143" s="24" t="str">
        <x:v>Pyramidalis</x:v>
      </x:c>
      <x:c r="B143" s="24" t="str">
        <x:v>Anterior abdominal wall (variable)</x:v>
      </x:c>
      <x:c r="C143" s="24" t="str">
        <x:v>Stabilizer</x:v>
      </x:c>
      <x:c r="D143" s="24" t="str">
        <x:v>No</x:v>
      </x:c>
      <x:c r="E143" s="24" t="str">
        <x:v>No</x:v>
      </x:c>
      <x:c r="F143" s="24" t="str">
        <x:v>Yes</x:v>
      </x:c>
      <x:c r="G143" s="24" t="str">
        <x:v>Tenses linea alba</x:v>
      </x:c>
      <x:c r="H143" s="24" t="str">
        <x:v>Anterior pubis and pubic symphysis</x:v>
      </x:c>
      <x:c r="I143" s="24" t="str">
        <x:v>Inferior linea alba</x:v>
      </x:c>
      <x:c r="J143" s="24" t="str">
        <x:v>Subcostal nerve</x:v>
      </x:c>
      <x:c r="K143" s="24" t="str">
        <x:v>T12</x:v>
      </x:c>
      <x:c r="L143" s="24" t="str">
        <x:v>Small aponeurotic insertion to linea alba</x:v>
      </x:c>
      <x:c r="M143" s="24" t="str">
        <x:v>No specific direct ligament attachment</x:v>
      </x:c>
      <x:c r="N143" s="24" t="str">
        <x:v>Not established</x:v>
      </x:c>
      <x:c r="O143" s="24" t="str">
        <x:v>Not established</x:v>
      </x:c>
      <x:c r="P143" s="24" t="str">
        <x:v>Mixed Type I and Type II; ratio unverified</x:v>
      </x:c>
      <x:c r="Q143" s="24" t="str">
        <x:v>Published biopsies insufficient to state a reliable per-muscle percentage; no inference from function</x:v>
      </x:c>
      <x:c r="R143" s="24" t="str">
        <x:v>https://www.kenhub.com/en/library/anatomy/anterior-abdominal-wall</x:v>
      </x:c>
      <x:c r="S143" s="24" t="str">
        <x:v>https://pubmed.ncbi.nlm.nih.gov/39359186/</x:v>
      </x:c>
    </x:row>
    <x:row r="144" ht="46" customHeight="1">
      <x:c r="A144" s="24" t="str">
        <x:v>Transversus abdominis</x:v>
      </x:c>
      <x:c r="B144" s="24" t="str">
        <x:v>Deep abdominal wall</x:v>
      </x:c>
      <x:c r="C144" s="24" t="str">
        <x:v>Stabilizer</x:v>
      </x:c>
      <x:c r="D144" s="24" t="str">
        <x:v>No</x:v>
      </x:c>
      <x:c r="E144" s="24" t="str">
        <x:v>No</x:v>
      </x:c>
      <x:c r="F144" s="24" t="str">
        <x:v>Yes</x:v>
      </x:c>
      <x:c r="G144" s="24" t="str">
        <x:v>Abdominal compression; anticipatory lumbar stabilization</x:v>
      </x:c>
      <x:c r="H144" s="24" t="str">
        <x:v>Internal lower six costal cartilages; thoracolumbar fascia; iliac crest; lateral inguinal ligament</x:v>
      </x:c>
      <x:c r="I144" s="24" t="str">
        <x:v>Linea alba; pubic crest/pecten via conjoint tendon</x:v>
      </x:c>
      <x:c r="J144" s="24" t="str">
        <x:v>Thoracoabdominal/subcostal and L1 branches</x:v>
      </x:c>
      <x:c r="K144" s="24" t="str">
        <x:v>T6-L1</x:v>
      </x:c>
      <x:c r="L144" s="24" t="str">
        <x:v>Transversus aponeurosis; conjoint tendon</x:v>
      </x:c>
      <x:c r="M144" s="24" t="str">
        <x:v>Inguinal ligament direct origin of lower fibers</x:v>
      </x:c>
      <x:c r="N144" s="24" t="str">
        <x:v>Not established</x:v>
      </x:c>
      <x:c r="O144" s="24" t="str">
        <x:v>Not established</x:v>
      </x:c>
      <x:c r="P144" s="24" t="str">
        <x:v>Mixed Type I and Type II; ratio unverified</x:v>
      </x:c>
      <x:c r="Q144" s="24" t="str">
        <x:v>Published biopsies insufficient to state a reliable per-muscle percentage; no inference from function</x:v>
      </x:c>
      <x:c r="R144" s="24" t="str">
        <x:v>https://www.kenhub.com/en/library/anatomy/anterior-abdominal-wall</x:v>
      </x:c>
      <x:c r="S144" s="24" t="str">
        <x:v>https://pubmed.ncbi.nlm.nih.gov/39359186/</x:v>
      </x:c>
    </x:row>
    <x:row r="145" ht="46" customHeight="1">
      <x:c r="A145" s="24" t="str">
        <x:v>Cremaster</x:v>
      </x:c>
      <x:c r="B145" s="24" t="str">
        <x:v>Inguinal canal / male anatomy</x:v>
      </x:c>
      <x:c r="C145" s="24" t="str">
        <x:v>Stabilizer</x:v>
      </x:c>
      <x:c r="D145" s="24" t="str">
        <x:v>No</x:v>
      </x:c>
      <x:c r="E145" s="24" t="str">
        <x:v>No</x:v>
      </x:c>
      <x:c r="F145" s="24" t="str">
        <x:v>Yes</x:v>
      </x:c>
      <x:c r="G145" s="24" t="str">
        <x:v>Elevates testis</x:v>
      </x:c>
      <x:c r="H145" s="24" t="str">
        <x:v>Internal oblique fibers and inguinal ligament region</x:v>
      </x:c>
      <x:c r="I145" s="24" t="str">
        <x:v>Spermatic cord and testis coverings</x:v>
      </x:c>
      <x:c r="J145" s="24" t="str">
        <x:v>Genital branch genitofemoral nerve</x:v>
      </x:c>
      <x:c r="K145" s="24" t="str">
        <x:v>L1-L2</x:v>
      </x:c>
      <x:c r="L145" s="24" t="str">
        <x:v>Cremasteric fascial fibers</x:v>
      </x:c>
      <x:c r="M145" s="24" t="str">
        <x:v>Inguinal ligament region near origin</x:v>
      </x:c>
      <x:c r="N145" s="24" t="str">
        <x:v>Not established</x:v>
      </x:c>
      <x:c r="O145" s="24" t="str">
        <x:v>Not established</x:v>
      </x:c>
      <x:c r="P145" s="24" t="str">
        <x:v>Mixed Type I and Type II; ratio unverified</x:v>
      </x:c>
      <x:c r="Q145" s="24" t="str">
        <x:v>Published biopsies insufficient to state a reliable per-muscle percentage; no inference from function</x:v>
      </x:c>
      <x:c r="R145" s="24" t="str">
        <x:v>https://www.kenhub.com/en/library/anatomy/anterior-abdominal-wall</x:v>
      </x:c>
      <x:c r="S145" s="24" t="str">
        <x:v>https://pubmed.ncbi.nlm.nih.gov/39359186/</x:v>
      </x:c>
    </x:row>
    <x:row r="146" ht="46" customHeight="1">
      <x:c r="A146" s="24" t="str">
        <x:v>External oblique</x:v>
      </x:c>
      <x:c r="B146" s="24" t="str">
        <x:v>Lateral abdominal wall</x:v>
      </x:c>
      <x:c r="C146" s="24" t="str">
        <x:v>Flexor; Stabilizer</x:v>
      </x:c>
      <x:c r="D146" s="24" t="str">
        <x:v>Yes</x:v>
      </x:c>
      <x:c r="E146" s="24" t="str">
        <x:v>No</x:v>
      </x:c>
      <x:c r="F146" s="24" t="str">
        <x:v>Yes</x:v>
      </x:c>
      <x:c r="G146" s="24" t="str">
        <x:v>Contralateral trunk rotation; trunk flexion; abdominal compression</x:v>
      </x:c>
      <x:c r="H146" s="24" t="str">
        <x:v>External surfaces ribs 5-12</x:v>
      </x:c>
      <x:c r="I146" s="24" t="str">
        <x:v>Linea alba; pubic tubercle; anterior iliac crest</x:v>
      </x:c>
      <x:c r="J146" s="24" t="str">
        <x:v>Thoracoabdominal and subcostal nerves</x:v>
      </x:c>
      <x:c r="K146" s="24" t="str">
        <x:v>T7-T12</x:v>
      </x:c>
      <x:c r="L146" s="24" t="str">
        <x:v>Broad external oblique aponeurosis</x:v>
      </x:c>
      <x:c r="M146" s="24" t="str">
        <x:v>Inferior rolled aponeurosis forms inguinal ligament</x:v>
      </x:c>
      <x:c r="N146" s="24" t="str">
        <x:v>Not established</x:v>
      </x:c>
      <x:c r="O146" s="24" t="str">
        <x:v>Not established</x:v>
      </x:c>
      <x:c r="P146" s="24" t="str">
        <x:v>Mixed Type I and Type II; ratio unverified</x:v>
      </x:c>
      <x:c r="Q146" s="24" t="str">
        <x:v>Published biopsies insufficient to state a reliable per-muscle percentage; no inference from function</x:v>
      </x:c>
      <x:c r="R146" s="24" t="str">
        <x:v>https://www.kenhub.com/en/library/anatomy/anterior-abdominal-wall</x:v>
      </x:c>
      <x:c r="S146" s="24" t="str">
        <x:v>https://pubmed.ncbi.nlm.nih.gov/39359186/</x:v>
      </x:c>
    </x:row>
    <x:row r="147" ht="46" customHeight="1">
      <x:c r="A147" s="24" t="str">
        <x:v>Internal oblique</x:v>
      </x:c>
      <x:c r="B147" s="24" t="str">
        <x:v>Lateral abdominal wall</x:v>
      </x:c>
      <x:c r="C147" s="24" t="str">
        <x:v>Flexor; Stabilizer</x:v>
      </x:c>
      <x:c r="D147" s="24" t="str">
        <x:v>Yes</x:v>
      </x:c>
      <x:c r="E147" s="24" t="str">
        <x:v>No</x:v>
      </x:c>
      <x:c r="F147" s="24" t="str">
        <x:v>Yes</x:v>
      </x:c>
      <x:c r="G147" s="24" t="str">
        <x:v>Ipsilateral trunk rotation; flexion; abdominal compression</x:v>
      </x:c>
      <x:c r="H147" s="24" t="str">
        <x:v>Thoracolumbar fascia; anterior iliac crest; lateral inguinal ligament</x:v>
      </x:c>
      <x:c r="I147" s="24" t="str">
        <x:v>Inferior ribs 10-12; linea alba; pubis via conjoint tendon</x:v>
      </x:c>
      <x:c r="J147" s="24" t="str">
        <x:v>Thoracoabdominal, subcostal; iliohypogastric and ilioinguinal nerves</x:v>
      </x:c>
      <x:c r="K147" s="24" t="str">
        <x:v>T6-L1</x:v>
      </x:c>
      <x:c r="L147" s="24" t="str">
        <x:v>Internal oblique aponeurosis; conjoint tendon</x:v>
      </x:c>
      <x:c r="M147" s="24" t="str">
        <x:v>Inguinal ligament direct origin; conjoint tendon complex</x:v>
      </x:c>
      <x:c r="N147" s="24" t="str">
        <x:v>Not established</x:v>
      </x:c>
      <x:c r="O147" s="24" t="str">
        <x:v>Not established</x:v>
      </x:c>
      <x:c r="P147" s="24" t="str">
        <x:v>Mixed Type I and Type II; ratio unverified</x:v>
      </x:c>
      <x:c r="Q147" s="24" t="str">
        <x:v>Published biopsies insufficient to state a reliable per-muscle percentage; no inference from function</x:v>
      </x:c>
      <x:c r="R147" s="24" t="str">
        <x:v>https://www.kenhub.com/en/library/anatomy/anterior-abdominal-wall</x:v>
      </x:c>
      <x:c r="S147" s="24" t="str">
        <x:v>https://pubmed.ncbi.nlm.nih.gov/39359186/</x:v>
      </x:c>
    </x:row>
    <x:row r="148" ht="46" customHeight="1">
      <x:c r="A148" s="24" t="str">
        <x:v>Quadratus lumborum</x:v>
      </x:c>
      <x:c r="B148" s="24" t="str">
        <x:v>Posterior abdominal wall</x:v>
      </x:c>
      <x:c r="C148" s="24" t="str">
        <x:v>Stabilizer</x:v>
      </x:c>
      <x:c r="D148" s="24" t="str">
        <x:v>No</x:v>
      </x:c>
      <x:c r="E148" s="24" t="str">
        <x:v>No</x:v>
      </x:c>
      <x:c r="F148" s="24" t="str">
        <x:v>Yes</x:v>
      </x:c>
      <x:c r="G148" s="24" t="str">
        <x:v>Ipsilateral trunk side-bending; fixes rib 12; lumbar stability</x:v>
      </x:c>
      <x:c r="H148" s="24" t="str">
        <x:v>Iliac crest and iliolumbar ligament</x:v>
      </x:c>
      <x:c r="I148" s="24" t="str">
        <x:v>Rib 12 and transverse processes L1-L4</x:v>
      </x:c>
      <x:c r="J148" s="24" t="str">
        <x:v>Anterior rami T12-L4</x:v>
      </x:c>
      <x:c r="K148" s="24" t="str">
        <x:v>T12-L4</x:v>
      </x:c>
      <x:c r="L148" s="24" t="str">
        <x:v>Short aponeuroses to lumbar transverse processes</x:v>
      </x:c>
      <x:c r="M148" s="24" t="str">
        <x:v>Iliolumbar ligament direct origin</x:v>
      </x:c>
      <x:c r="N148" s="24" t="str">
        <x:v>Not established</x:v>
      </x:c>
      <x:c r="O148" s="24" t="str">
        <x:v>Not established</x:v>
      </x:c>
      <x:c r="P148" s="24" t="str">
        <x:v>Mixed Type I and Type II; ratio unverified</x:v>
      </x:c>
      <x:c r="Q148" s="24" t="str">
        <x:v>Published biopsies insufficient to state a reliable per-muscle percentage; no inference from function</x:v>
      </x:c>
      <x:c r="R148" s="24" t="str">
        <x:v>https://www.kenhub.com/en/library/anatomy/anterior-abdominal-wall</x:v>
      </x:c>
      <x:c r="S148" s="24" t="str">
        <x:v>https://pubmed.ncbi.nlm.nih.gov/39359186/</x:v>
      </x:c>
    </x:row>
    <x:row r="149" ht="46" customHeight="1">
      <x:c r="A149" s="24" t="str">
        <x:v>Diaphragm costal part</x:v>
      </x:c>
      <x:c r="B149" s="24" t="str">
        <x:v>Thoracoabdominal divider</x:v>
      </x:c>
      <x:c r="C149" s="24" t="str">
        <x:v>Stabilizer</x:v>
      </x:c>
      <x:c r="D149" s="24" t="str">
        <x:v>No</x:v>
      </x:c>
      <x:c r="E149" s="24" t="str">
        <x:v>No</x:v>
      </x:c>
      <x:c r="F149" s="24" t="str">
        <x:v>Yes</x:v>
      </x:c>
      <x:c r="G149" s="24" t="str">
        <x:v>Primary inspiration; intra-abdominal pressure</x:v>
      </x:c>
      <x:c r="H149" s="24" t="str">
        <x:v>Internal lower ribs and costal cartilages 7-12</x:v>
      </x:c>
      <x:c r="I149" s="24" t="str">
        <x:v>Central tendon of diaphragm</x:v>
      </x:c>
      <x:c r="J149" s="24" t="str">
        <x:v>Phrenic nerve</x:v>
      </x:c>
      <x:c r="K149" s="24" t="str">
        <x:v>C3-C5</x:v>
      </x:c>
      <x:c r="L149" s="24" t="str">
        <x:v>Central tendon</x:v>
      </x:c>
      <x:c r="M149" s="24" t="str">
        <x:v>Arcuate ligaments are tendinous arches related to lumbar part</x:v>
      </x:c>
      <x:c r="N149" s="24" t="str">
        <x:v>Not established</x:v>
      </x:c>
      <x:c r="O149" s="24" t="str">
        <x:v>Not established</x:v>
      </x:c>
      <x:c r="P149" s="24" t="str">
        <x:v>Mixed Type I and Type II; ratio unverified</x:v>
      </x:c>
      <x:c r="Q149" s="24" t="str">
        <x:v>Published biopsies insufficient to state a reliable per-muscle percentage; no inference from function</x:v>
      </x:c>
      <x:c r="R149" s="24" t="str">
        <x:v>https://www.kenhub.com/en/library/anatomy/anterior-abdominal-wall</x:v>
      </x:c>
      <x:c r="S149" s="24" t="str">
        <x:v>https://pubmed.ncbi.nlm.nih.gov/39359186/</x:v>
      </x:c>
    </x:row>
    <x:row r="150" ht="46" customHeight="1">
      <x:c r="A150" s="24" t="str">
        <x:v>Diaphragm lumbar part / crura</x:v>
      </x:c>
      <x:c r="B150" s="24" t="str">
        <x:v>Thoracoabdominal divider</x:v>
      </x:c>
      <x:c r="C150" s="24" t="str">
        <x:v>Stabilizer</x:v>
      </x:c>
      <x:c r="D150" s="24" t="str">
        <x:v>No</x:v>
      </x:c>
      <x:c r="E150" s="24" t="str">
        <x:v>No</x:v>
      </x:c>
      <x:c r="F150" s="24" t="str">
        <x:v>Yes</x:v>
      </x:c>
      <x:c r="G150" s="24" t="str">
        <x:v>Inspiration; stabilizes pressure and lumbar column</x:v>
      </x:c>
      <x:c r="H150" s="24" t="str">
        <x:v>Right crus L1-L3; left crus L1-L2; arcuate ligament complexes</x:v>
      </x:c>
      <x:c r="I150" s="24" t="str">
        <x:v>Central tendon of diaphragm</x:v>
      </x:c>
      <x:c r="J150" s="24" t="str">
        <x:v>Phrenic nerve</x:v>
      </x:c>
      <x:c r="K150" s="24" t="str">
        <x:v>C3-C5</x:v>
      </x:c>
      <x:c r="L150" s="24" t="str">
        <x:v>Central tendon; crural tendons</x:v>
      </x:c>
      <x:c r="M150" s="24" t="str">
        <x:v>Medial/lateral arcuate ligaments are tendinous arches of diaphragmatic origin</x:v>
      </x:c>
      <x:c r="N150" s="24" t="str">
        <x:v>Not established</x:v>
      </x:c>
      <x:c r="O150" s="24" t="str">
        <x:v>Not established</x:v>
      </x:c>
      <x:c r="P150" s="24" t="str">
        <x:v>Mixed Type I and Type II; ratio unverified</x:v>
      </x:c>
      <x:c r="Q150" s="24" t="str">
        <x:v>Published biopsies insufficient to state a reliable per-muscle percentage; no inference from function</x:v>
      </x:c>
      <x:c r="R150" s="24" t="str">
        <x:v>https://www.kenhub.com/en/library/anatomy/anterior-abdominal-wall</x:v>
      </x:c>
      <x:c r="S150" s="24" t="str">
        <x:v>https://pubmed.ncbi.nlm.nih.gov/39359186/</x:v>
      </x:c>
    </x:row>
    <x:row r="151" ht="46" customHeight="1">
      <x:c r="A151" s="24" t="str">
        <x:v>Diaphragm sternal part</x:v>
      </x:c>
      <x:c r="B151" s="24" t="str">
        <x:v>Thoracoabdominal divider</x:v>
      </x:c>
      <x:c r="C151" s="24" t="str">
        <x:v>Stabilizer</x:v>
      </x:c>
      <x:c r="D151" s="24" t="str">
        <x:v>No</x:v>
      </x:c>
      <x:c r="E151" s="24" t="str">
        <x:v>No</x:v>
      </x:c>
      <x:c r="F151" s="24" t="str">
        <x:v>Yes</x:v>
      </x:c>
      <x:c r="G151" s="24" t="str">
        <x:v>Primary inspiration</x:v>
      </x:c>
      <x:c r="H151" s="24" t="str">
        <x:v>Posterior xiphoid process</x:v>
      </x:c>
      <x:c r="I151" s="24" t="str">
        <x:v>Central tendon of diaphragm</x:v>
      </x:c>
      <x:c r="J151" s="24" t="str">
        <x:v>Phrenic nerve</x:v>
      </x:c>
      <x:c r="K151" s="24" t="str">
        <x:v>C3-C5</x:v>
      </x:c>
      <x:c r="L151" s="24" t="str">
        <x:v>Central tendon</x:v>
      </x:c>
      <x:c r="M151" s="24" t="str">
        <x:v>No direct skeletal ligament attachment</x:v>
      </x:c>
      <x:c r="N151" s="24" t="str">
        <x:v>Not established</x:v>
      </x:c>
      <x:c r="O151" s="24" t="str">
        <x:v>Not established</x:v>
      </x:c>
      <x:c r="P151" s="24" t="str">
        <x:v>Mixed Type I and Type II; ratio unverified</x:v>
      </x:c>
      <x:c r="Q151" s="24" t="str">
        <x:v>Published biopsies insufficient to state a reliable per-muscle percentage; no inference from function</x:v>
      </x:c>
      <x:c r="R151" s="24" t="str">
        <x:v>https://www.kenhub.com/en/library/anatomy/anterior-abdominal-wall</x:v>
      </x:c>
      <x:c r="S151" s="24" t="str">
        <x:v>https://pubmed.ncbi.nlm.nih.gov/39359186/</x:v>
      </x:c>
    </x:row>
    <x:row r="152" ht="46" customHeight="1">
      <x:c r="A152" s="24" t="str">
        <x:v>Longus capitis</x:v>
      </x:c>
      <x:c r="B152" s="24" t="str">
        <x:v>Deep anterior neck</x:v>
      </x:c>
      <x:c r="C152" s="24" t="str">
        <x:v>Flexor; Stabilizer</x:v>
      </x:c>
      <x:c r="D152" s="24" t="str">
        <x:v>Yes</x:v>
      </x:c>
      <x:c r="E152" s="24" t="str">
        <x:v>No</x:v>
      </x:c>
      <x:c r="F152" s="24" t="str">
        <x:v>Yes</x:v>
      </x:c>
      <x:c r="G152" s="24" t="str">
        <x:v>Flexes head at atlanto-occipital joint</x:v>
      </x:c>
      <x:c r="H152" s="24" t="str">
        <x:v>Anterior tubercles transverse processes C3-C6</x:v>
      </x:c>
      <x:c r="I152" s="24" t="str">
        <x:v>Basilar part of occipital bone</x:v>
      </x:c>
      <x:c r="J152" s="24" t="str">
        <x:v>Anterior rami cervical spinal nerves</x:v>
      </x:c>
      <x:c r="K152" s="24" t="str">
        <x:v>C1-C3 (sometimes C4)</x:v>
      </x:c>
      <x:c r="L152" s="24" t="str">
        <x:v>Basilar occipital insertion tendon</x:v>
      </x:c>
      <x:c r="M152" s="24" t="str">
        <x:v>Anterior atlanto-occipital membrane nearby</x:v>
      </x:c>
      <x:c r="N152" s="24" t="str">
        <x:v>Not established</x:v>
      </x:c>
      <x:c r="O152" s="24" t="str">
        <x:v>Not established</x:v>
      </x:c>
      <x:c r="P152" s="24" t="str">
        <x:v>Mixed Type I and Type II; ratio unverified</x:v>
      </x:c>
      <x:c r="Q152" s="24" t="str">
        <x:v>Published biopsies insufficient to state a reliable per-muscle percentage; no inference from function</x:v>
      </x:c>
      <x:c r="R152" s="24" t="str">
        <x:v>https://www.kenhub.com/en/library/anatomy/anatomy-of-the-back-spine-and-back-muscles</x:v>
      </x:c>
      <x:c r="S152" s="24" t="str">
        <x:v>https://pubmed.ncbi.nlm.nih.gov/39359186/</x:v>
      </x:c>
    </x:row>
    <x:row r="153" ht="46" customHeight="1">
      <x:c r="A153" s="24" t="str">
        <x:v>Longus colli inferior oblique part</x:v>
      </x:c>
      <x:c r="B153" s="24" t="str">
        <x:v>Deep anterior neck</x:v>
      </x:c>
      <x:c r="C153" s="24" t="str">
        <x:v>Flexor; Stabilizer</x:v>
      </x:c>
      <x:c r="D153" s="24" t="str">
        <x:v>Yes</x:v>
      </x:c>
      <x:c r="E153" s="24" t="str">
        <x:v>No</x:v>
      </x:c>
      <x:c r="F153" s="24" t="str">
        <x:v>Yes</x:v>
      </x:c>
      <x:c r="G153" s="24" t="str">
        <x:v>Cervical flexion and stabilization</x:v>
      </x:c>
      <x:c r="H153" s="24" t="str">
        <x:v>Anterior bodies T1-T3</x:v>
      </x:c>
      <x:c r="I153" s="24" t="str">
        <x:v>Anterior tubercles transverse processes C5-C6</x:v>
      </x:c>
      <x:c r="J153" s="24" t="str">
        <x:v>Anterior rami cervical spinal nerves</x:v>
      </x:c>
      <x:c r="K153" s="24" t="str">
        <x:v>C2-C6</x:v>
      </x:c>
      <x:c r="L153" s="24" t="str">
        <x:v>Segmental tendon slips</x:v>
      </x:c>
      <x:c r="M153" s="24" t="str">
        <x:v>Anterior longitudinal ligament adjacent</x:v>
      </x:c>
      <x:c r="N153" s="24" t="str">
        <x:v>Not established</x:v>
      </x:c>
      <x:c r="O153" s="24" t="str">
        <x:v>Not established</x:v>
      </x:c>
      <x:c r="P153" s="24" t="str">
        <x:v>Mixed Type I and Type II; ratio unverified</x:v>
      </x:c>
      <x:c r="Q153" s="24" t="str">
        <x:v>Published biopsies insufficient to state a reliable per-muscle percentage; no inference from function</x:v>
      </x:c>
      <x:c r="R153" s="24" t="str">
        <x:v>https://www.kenhub.com/en/library/anatomy/anatomy-of-the-back-spine-and-back-muscles</x:v>
      </x:c>
      <x:c r="S153" s="24" t="str">
        <x:v>https://pubmed.ncbi.nlm.nih.gov/39359186/</x:v>
      </x:c>
    </x:row>
    <x:row r="154" ht="46" customHeight="1">
      <x:c r="A154" s="24" t="str">
        <x:v>Longus colli superior oblique part</x:v>
      </x:c>
      <x:c r="B154" s="24" t="str">
        <x:v>Deep anterior neck</x:v>
      </x:c>
      <x:c r="C154" s="24" t="str">
        <x:v>Flexor; Stabilizer</x:v>
      </x:c>
      <x:c r="D154" s="24" t="str">
        <x:v>Yes</x:v>
      </x:c>
      <x:c r="E154" s="24" t="str">
        <x:v>No</x:v>
      </x:c>
      <x:c r="F154" s="24" t="str">
        <x:v>Yes</x:v>
      </x:c>
      <x:c r="G154" s="24" t="str">
        <x:v>Cervical flexion and contralateral rotation/stability</x:v>
      </x:c>
      <x:c r="H154" s="24" t="str">
        <x:v>Anterior tubercles transverse processes C3-C5</x:v>
      </x:c>
      <x:c r="I154" s="24" t="str">
        <x:v>Anterior tubercle atlas C1</x:v>
      </x:c>
      <x:c r="J154" s="24" t="str">
        <x:v>Anterior rami cervical spinal nerves</x:v>
      </x:c>
      <x:c r="K154" s="24" t="str">
        <x:v>C2-C6</x:v>
      </x:c>
      <x:c r="L154" s="24" t="str">
        <x:v>Small segmental tendons</x:v>
      </x:c>
      <x:c r="M154" s="24" t="str">
        <x:v>Anterior longitudinal ligament of vertebral column lies deep</x:v>
      </x:c>
      <x:c r="N154" s="24" t="str">
        <x:v>Not established</x:v>
      </x:c>
      <x:c r="O154" s="24" t="str">
        <x:v>Not established</x:v>
      </x:c>
      <x:c r="P154" s="24" t="str">
        <x:v>Mixed Type I and Type II; ratio unverified</x:v>
      </x:c>
      <x:c r="Q154" s="24" t="str">
        <x:v>Published biopsies insufficient to state a reliable per-muscle percentage; no inference from function</x:v>
      </x:c>
      <x:c r="R154" s="24" t="str">
        <x:v>https://www.kenhub.com/en/library/anatomy/anatomy-of-the-back-spine-and-back-muscles</x:v>
      </x:c>
      <x:c r="S154" s="24" t="str">
        <x:v>https://pubmed.ncbi.nlm.nih.gov/39359186/</x:v>
      </x:c>
    </x:row>
    <x:row r="155" ht="46" customHeight="1">
      <x:c r="A155" s="24" t="str">
        <x:v>Longus colli vertical part</x:v>
      </x:c>
      <x:c r="B155" s="24" t="str">
        <x:v>Deep anterior neck</x:v>
      </x:c>
      <x:c r="C155" s="24" t="str">
        <x:v>Flexor; Stabilizer</x:v>
      </x:c>
      <x:c r="D155" s="24" t="str">
        <x:v>Yes</x:v>
      </x:c>
      <x:c r="E155" s="24" t="str">
        <x:v>No</x:v>
      </x:c>
      <x:c r="F155" s="24" t="str">
        <x:v>Yes</x:v>
      </x:c>
      <x:c r="G155" s="24" t="str">
        <x:v>Flexes cervical spine; anterior segmental control</x:v>
      </x:c>
      <x:c r="H155" s="24" t="str">
        <x:v>Anterior vertebral bodies C5-T3</x:v>
      </x:c>
      <x:c r="I155" s="24" t="str">
        <x:v>Anterior vertebral bodies C2-C4</x:v>
      </x:c>
      <x:c r="J155" s="24" t="str">
        <x:v>Anterior rami cervical spinal nerves</x:v>
      </x:c>
      <x:c r="K155" s="24" t="str">
        <x:v>C2-C6</x:v>
      </x:c>
      <x:c r="L155" s="24" t="str">
        <x:v>Fleshy and tendinous vertebral insertions</x:v>
      </x:c>
      <x:c r="M155" s="24" t="str">
        <x:v>Anterior longitudinal ligament adjacent</x:v>
      </x:c>
      <x:c r="N155" s="24" t="str">
        <x:v>Not established</x:v>
      </x:c>
      <x:c r="O155" s="24" t="str">
        <x:v>Not established</x:v>
      </x:c>
      <x:c r="P155" s="24" t="str">
        <x:v>Mixed Type I and Type II; ratio unverified</x:v>
      </x:c>
      <x:c r="Q155" s="24" t="str">
        <x:v>Published biopsies insufficient to state a reliable per-muscle percentage; no inference from function</x:v>
      </x:c>
      <x:c r="R155" s="24" t="str">
        <x:v>https://www.kenhub.com/en/library/anatomy/anatomy-of-the-back-spine-and-back-muscles</x:v>
      </x:c>
      <x:c r="S155" s="24" t="str">
        <x:v>https://pubmed.ncbi.nlm.nih.gov/39359186/</x:v>
      </x:c>
    </x:row>
    <x:row r="156" ht="46" customHeight="1">
      <x:c r="A156" s="24" t="str">
        <x:v>Levatores costarum longi</x:v>
      </x:c>
      <x:c r="B156" s="24" t="str">
        <x:v>Deep posterior thorax</x:v>
      </x:c>
      <x:c r="C156" s="24" t="str">
        <x:v>Stabilizer</x:v>
      </x:c>
      <x:c r="D156" s="24" t="str">
        <x:v>No</x:v>
      </x:c>
      <x:c r="E156" s="24" t="str">
        <x:v>No</x:v>
      </x:c>
      <x:c r="F156" s="24" t="str">
        <x:v>Yes</x:v>
      </x:c>
      <x:c r="G156" s="24" t="str">
        <x:v>Elevates ribs; assists spinal side-bending</x:v>
      </x:c>
      <x:c r="H156" s="24" t="str">
        <x:v>Tips lower thoracic transverse processes</x:v>
      </x:c>
      <x:c r="I156" s="24" t="str">
        <x:v>Second rib below</x:v>
      </x:c>
      <x:c r="J156" s="24" t="str">
        <x:v>Posterior rami thoracic spinal nerves</x:v>
      </x:c>
      <x:c r="K156" s="24" t="str">
        <x:v>T1-T11 segmental</x:v>
      </x:c>
      <x:c r="L156" s="24" t="str">
        <x:v>Short costal tendon slips</x:v>
      </x:c>
      <x:c r="M156" s="24" t="str">
        <x:v>Costotransverse ligaments nearby</x:v>
      </x:c>
      <x:c r="N156" s="24" t="str">
        <x:v>Not established</x:v>
      </x:c>
      <x:c r="O156" s="24" t="str">
        <x:v>Not established</x:v>
      </x:c>
      <x:c r="P156" s="24" t="str">
        <x:v>Mixed Type I and Type II; ratio unverified</x:v>
      </x:c>
      <x:c r="Q156" s="24" t="str">
        <x:v>Published biopsies insufficient to state a reliable per-muscle percentage; no inference from function</x:v>
      </x:c>
      <x:c r="R156" s="24" t="str">
        <x:v>https://www.kenhub.com/en/library/anatomy/anatomy-of-the-back-spine-and-back-muscles</x:v>
      </x:c>
      <x:c r="S156" s="24" t="str">
        <x:v>https://pubmed.ncbi.nlm.nih.gov/39359186/</x:v>
      </x:c>
    </x:row>
    <x:row r="157" ht="46" customHeight="1">
      <x:c r="A157" s="24" t="str">
        <x:v>Levator costae brevis (C7 to rib 1)</x:v>
      </x:c>
      <x:c r="B157" s="24" t="str">
        <x:v>Deep posterior thorax segmental</x:v>
      </x:c>
      <x:c r="C157" s="24" t="str">
        <x:v>Stabilizer</x:v>
      </x:c>
      <x:c r="D157" s="24" t="str">
        <x:v>No</x:v>
      </x:c>
      <x:c r="E157" s="24" t="str">
        <x:v>No</x:v>
      </x:c>
      <x:c r="F157" s="24" t="str">
        <x:v>Yes</x:v>
      </x:c>
      <x:c r="G157" s="24" t="str">
        <x:v>Assists rib elevation and fine segmental posture</x:v>
      </x:c>
      <x:c r="H157" s="24" t="str">
        <x:v>Transverse process C7</x:v>
      </x:c>
      <x:c r="I157" s="24" t="str">
        <x:v>Upper border rib 1 near rib angle</x:v>
      </x:c>
      <x:c r="J157" s="24" t="str">
        <x:v>Posterior ramus C8</x:v>
      </x:c>
      <x:c r="K157" s="24" t="str">
        <x:v>C8 (segmental approximation)</x:v>
      </x:c>
      <x:c r="L157" s="24" t="str">
        <x:v>Minute rib insertion tendon</x:v>
      </x:c>
      <x:c r="M157" s="24" t="str">
        <x:v>Costotransverse ligament complex nearby</x:v>
      </x:c>
      <x:c r="N157" s="24" t="str">
        <x:v>Not established</x:v>
      </x:c>
      <x:c r="O157" s="24" t="str">
        <x:v>Not established</x:v>
      </x:c>
      <x:c r="P157" s="24" t="str">
        <x:v>Mixed Type I and Type II; ratio unverified</x:v>
      </x:c>
      <x:c r="Q157" s="24" t="str">
        <x:v>Published biopsies insufficient to state a reliable per-muscle percentage; no inference from function</x:v>
      </x:c>
      <x:c r="R157" s="24" t="str">
        <x:v>https://www.kenhub.com/en/library/anatomy/anatomy-of-the-back-spine-and-back-muscles</x:v>
      </x:c>
      <x:c r="S157" s="24" t="str">
        <x:v>https://pubmed.ncbi.nlm.nih.gov/39359186/</x:v>
      </x:c>
    </x:row>
    <x:row r="158" ht="46" customHeight="1">
      <x:c r="A158" s="24" t="str">
        <x:v>Levator costae brevis (T1 to rib 2)</x:v>
      </x:c>
      <x:c r="B158" s="24" t="str">
        <x:v>Deep posterior thorax segmental</x:v>
      </x:c>
      <x:c r="C158" s="24" t="str">
        <x:v>Stabilizer</x:v>
      </x:c>
      <x:c r="D158" s="24" t="str">
        <x:v>No</x:v>
      </x:c>
      <x:c r="E158" s="24" t="str">
        <x:v>No</x:v>
      </x:c>
      <x:c r="F158" s="24" t="str">
        <x:v>Yes</x:v>
      </x:c>
      <x:c r="G158" s="24" t="str">
        <x:v>Assists rib elevation and fine segmental posture</x:v>
      </x:c>
      <x:c r="H158" s="24" t="str">
        <x:v>Transverse process T1</x:v>
      </x:c>
      <x:c r="I158" s="24" t="str">
        <x:v>Upper border rib 2 near rib angle</x:v>
      </x:c>
      <x:c r="J158" s="24" t="str">
        <x:v>Posterior ramus T1</x:v>
      </x:c>
      <x:c r="K158" s="24" t="str">
        <x:v>T1 (segmental approximation)</x:v>
      </x:c>
      <x:c r="L158" s="24" t="str">
        <x:v>Minute rib insertion tendon</x:v>
      </x:c>
      <x:c r="M158" s="24" t="str">
        <x:v>Costotransverse ligament complex nearby</x:v>
      </x:c>
      <x:c r="N158" s="24" t="str">
        <x:v>Not established</x:v>
      </x:c>
      <x:c r="O158" s="24" t="str">
        <x:v>Not established</x:v>
      </x:c>
      <x:c r="P158" s="24" t="str">
        <x:v>Mixed Type I and Type II; ratio unverified</x:v>
      </x:c>
      <x:c r="Q158" s="24" t="str">
        <x:v>Published biopsies insufficient to state a reliable per-muscle percentage; no inference from function</x:v>
      </x:c>
      <x:c r="R158" s="24" t="str">
        <x:v>https://www.kenhub.com/en/library/anatomy/anatomy-of-the-back-spine-and-back-muscles</x:v>
      </x:c>
      <x:c r="S158" s="24" t="str">
        <x:v>https://pubmed.ncbi.nlm.nih.gov/39359186/</x:v>
      </x:c>
    </x:row>
    <x:row r="159" ht="46" customHeight="1">
      <x:c r="A159" s="24" t="str">
        <x:v>Levator costae brevis (T10 to rib 11)</x:v>
      </x:c>
      <x:c r="B159" s="24" t="str">
        <x:v>Deep posterior thorax segmental</x:v>
      </x:c>
      <x:c r="C159" s="24" t="str">
        <x:v>Stabilizer</x:v>
      </x:c>
      <x:c r="D159" s="24" t="str">
        <x:v>No</x:v>
      </x:c>
      <x:c r="E159" s="24" t="str">
        <x:v>No</x:v>
      </x:c>
      <x:c r="F159" s="24" t="str">
        <x:v>Yes</x:v>
      </x:c>
      <x:c r="G159" s="24" t="str">
        <x:v>Assists rib elevation and fine segmental posture</x:v>
      </x:c>
      <x:c r="H159" s="24" t="str">
        <x:v>Transverse process T10</x:v>
      </x:c>
      <x:c r="I159" s="24" t="str">
        <x:v>Upper border rib 11 near rib angle</x:v>
      </x:c>
      <x:c r="J159" s="24" t="str">
        <x:v>Posterior ramus T10</x:v>
      </x:c>
      <x:c r="K159" s="24" t="str">
        <x:v>T10 (segmental approximation)</x:v>
      </x:c>
      <x:c r="L159" s="24" t="str">
        <x:v>Minute rib insertion tendon</x:v>
      </x:c>
      <x:c r="M159" s="24" t="str">
        <x:v>Costotransverse ligament complex nearby</x:v>
      </x:c>
      <x:c r="N159" s="24" t="str">
        <x:v>Not established</x:v>
      </x:c>
      <x:c r="O159" s="24" t="str">
        <x:v>Not established</x:v>
      </x:c>
      <x:c r="P159" s="24" t="str">
        <x:v>Mixed Type I and Type II; ratio unverified</x:v>
      </x:c>
      <x:c r="Q159" s="24" t="str">
        <x:v>Published biopsies insufficient to state a reliable per-muscle percentage; no inference from function</x:v>
      </x:c>
      <x:c r="R159" s="24" t="str">
        <x:v>https://www.kenhub.com/en/library/anatomy/anatomy-of-the-back-spine-and-back-muscles</x:v>
      </x:c>
      <x:c r="S159" s="24" t="str">
        <x:v>https://pubmed.ncbi.nlm.nih.gov/39359186/</x:v>
      </x:c>
    </x:row>
    <x:row r="160" ht="46" customHeight="1">
      <x:c r="A160" s="24" t="str">
        <x:v>Levator costae brevis (T11 to rib 12)</x:v>
      </x:c>
      <x:c r="B160" s="24" t="str">
        <x:v>Deep posterior thorax segmental</x:v>
      </x:c>
      <x:c r="C160" s="24" t="str">
        <x:v>Stabilizer</x:v>
      </x:c>
      <x:c r="D160" s="24" t="str">
        <x:v>No</x:v>
      </x:c>
      <x:c r="E160" s="24" t="str">
        <x:v>No</x:v>
      </x:c>
      <x:c r="F160" s="24" t="str">
        <x:v>Yes</x:v>
      </x:c>
      <x:c r="G160" s="24" t="str">
        <x:v>Assists rib elevation and fine segmental posture</x:v>
      </x:c>
      <x:c r="H160" s="24" t="str">
        <x:v>Transverse process T11</x:v>
      </x:c>
      <x:c r="I160" s="24" t="str">
        <x:v>Upper border rib 12 near rib angle</x:v>
      </x:c>
      <x:c r="J160" s="24" t="str">
        <x:v>Posterior ramus T11</x:v>
      </x:c>
      <x:c r="K160" s="24" t="str">
        <x:v>T11 (segmental approximation)</x:v>
      </x:c>
      <x:c r="L160" s="24" t="str">
        <x:v>Minute rib insertion tendon</x:v>
      </x:c>
      <x:c r="M160" s="24" t="str">
        <x:v>Costotransverse ligament complex nearby</x:v>
      </x:c>
      <x:c r="N160" s="24" t="str">
        <x:v>Not established</x:v>
      </x:c>
      <x:c r="O160" s="24" t="str">
        <x:v>Not established</x:v>
      </x:c>
      <x:c r="P160" s="24" t="str">
        <x:v>Mixed Type I and Type II; ratio unverified</x:v>
      </x:c>
      <x:c r="Q160" s="24" t="str">
        <x:v>Published biopsies insufficient to state a reliable per-muscle percentage; no inference from function</x:v>
      </x:c>
      <x:c r="R160" s="24" t="str">
        <x:v>https://www.kenhub.com/en/library/anatomy/anatomy-of-the-back-spine-and-back-muscles</x:v>
      </x:c>
      <x:c r="S160" s="24" t="str">
        <x:v>https://pubmed.ncbi.nlm.nih.gov/39359186/</x:v>
      </x:c>
    </x:row>
    <x:row r="161" ht="46" customHeight="1">
      <x:c r="A161" s="24" t="str">
        <x:v>Levator costae brevis (T2 to rib 3)</x:v>
      </x:c>
      <x:c r="B161" s="24" t="str">
        <x:v>Deep posterior thorax segmental</x:v>
      </x:c>
      <x:c r="C161" s="24" t="str">
        <x:v>Stabilizer</x:v>
      </x:c>
      <x:c r="D161" s="24" t="str">
        <x:v>No</x:v>
      </x:c>
      <x:c r="E161" s="24" t="str">
        <x:v>No</x:v>
      </x:c>
      <x:c r="F161" s="24" t="str">
        <x:v>Yes</x:v>
      </x:c>
      <x:c r="G161" s="24" t="str">
        <x:v>Assists rib elevation and fine segmental posture</x:v>
      </x:c>
      <x:c r="H161" s="24" t="str">
        <x:v>Transverse process T2</x:v>
      </x:c>
      <x:c r="I161" s="24" t="str">
        <x:v>Upper border rib 3 near rib angle</x:v>
      </x:c>
      <x:c r="J161" s="24" t="str">
        <x:v>Posterior ramus T2</x:v>
      </x:c>
      <x:c r="K161" s="24" t="str">
        <x:v>T2 (segmental approximation)</x:v>
      </x:c>
      <x:c r="L161" s="24" t="str">
        <x:v>Minute rib insertion tendon</x:v>
      </x:c>
      <x:c r="M161" s="24" t="str">
        <x:v>Costotransverse ligament complex nearby</x:v>
      </x:c>
      <x:c r="N161" s="24" t="str">
        <x:v>Not established</x:v>
      </x:c>
      <x:c r="O161" s="24" t="str">
        <x:v>Not established</x:v>
      </x:c>
      <x:c r="P161" s="24" t="str">
        <x:v>Mixed Type I and Type II; ratio unverified</x:v>
      </x:c>
      <x:c r="Q161" s="24" t="str">
        <x:v>Published biopsies insufficient to state a reliable per-muscle percentage; no inference from function</x:v>
      </x:c>
      <x:c r="R161" s="24" t="str">
        <x:v>https://www.kenhub.com/en/library/anatomy/anatomy-of-the-back-spine-and-back-muscles</x:v>
      </x:c>
      <x:c r="S161" s="24" t="str">
        <x:v>https://pubmed.ncbi.nlm.nih.gov/39359186/</x:v>
      </x:c>
    </x:row>
    <x:row r="162" ht="46" customHeight="1">
      <x:c r="A162" s="24" t="str">
        <x:v>Levator costae brevis (T3 to rib 4)</x:v>
      </x:c>
      <x:c r="B162" s="24" t="str">
        <x:v>Deep posterior thorax segmental</x:v>
      </x:c>
      <x:c r="C162" s="24" t="str">
        <x:v>Stabilizer</x:v>
      </x:c>
      <x:c r="D162" s="24" t="str">
        <x:v>No</x:v>
      </x:c>
      <x:c r="E162" s="24" t="str">
        <x:v>No</x:v>
      </x:c>
      <x:c r="F162" s="24" t="str">
        <x:v>Yes</x:v>
      </x:c>
      <x:c r="G162" s="24" t="str">
        <x:v>Assists rib elevation and fine segmental posture</x:v>
      </x:c>
      <x:c r="H162" s="24" t="str">
        <x:v>Transverse process T3</x:v>
      </x:c>
      <x:c r="I162" s="24" t="str">
        <x:v>Upper border rib 4 near rib angle</x:v>
      </x:c>
      <x:c r="J162" s="24" t="str">
        <x:v>Posterior ramus T3</x:v>
      </x:c>
      <x:c r="K162" s="24" t="str">
        <x:v>T3 (segmental approximation)</x:v>
      </x:c>
      <x:c r="L162" s="24" t="str">
        <x:v>Minute rib insertion tendon</x:v>
      </x:c>
      <x:c r="M162" s="24" t="str">
        <x:v>Costotransverse ligament complex nearby</x:v>
      </x:c>
      <x:c r="N162" s="24" t="str">
        <x:v>Not established</x:v>
      </x:c>
      <x:c r="O162" s="24" t="str">
        <x:v>Not established</x:v>
      </x:c>
      <x:c r="P162" s="24" t="str">
        <x:v>Mixed Type I and Type II; ratio unverified</x:v>
      </x:c>
      <x:c r="Q162" s="24" t="str">
        <x:v>Published biopsies insufficient to state a reliable per-muscle percentage; no inference from function</x:v>
      </x:c>
      <x:c r="R162" s="24" t="str">
        <x:v>https://www.kenhub.com/en/library/anatomy/anatomy-of-the-back-spine-and-back-muscles</x:v>
      </x:c>
      <x:c r="S162" s="24" t="str">
        <x:v>https://pubmed.ncbi.nlm.nih.gov/39359186/</x:v>
      </x:c>
    </x:row>
    <x:row r="163" ht="46" customHeight="1">
      <x:c r="A163" s="24" t="str">
        <x:v>Levator costae brevis (T4 to rib 5)</x:v>
      </x:c>
      <x:c r="B163" s="24" t="str">
        <x:v>Deep posterior thorax segmental</x:v>
      </x:c>
      <x:c r="C163" s="24" t="str">
        <x:v>Stabilizer</x:v>
      </x:c>
      <x:c r="D163" s="24" t="str">
        <x:v>No</x:v>
      </x:c>
      <x:c r="E163" s="24" t="str">
        <x:v>No</x:v>
      </x:c>
      <x:c r="F163" s="24" t="str">
        <x:v>Yes</x:v>
      </x:c>
      <x:c r="G163" s="24" t="str">
        <x:v>Assists rib elevation and fine segmental posture</x:v>
      </x:c>
      <x:c r="H163" s="24" t="str">
        <x:v>Transverse process T4</x:v>
      </x:c>
      <x:c r="I163" s="24" t="str">
        <x:v>Upper border rib 5 near rib angle</x:v>
      </x:c>
      <x:c r="J163" s="24" t="str">
        <x:v>Posterior ramus T4</x:v>
      </x:c>
      <x:c r="K163" s="24" t="str">
        <x:v>T4 (segmental approximation)</x:v>
      </x:c>
      <x:c r="L163" s="24" t="str">
        <x:v>Minute rib insertion tendon</x:v>
      </x:c>
      <x:c r="M163" s="24" t="str">
        <x:v>Costotransverse ligament complex nearby</x:v>
      </x:c>
      <x:c r="N163" s="24" t="str">
        <x:v>Not established</x:v>
      </x:c>
      <x:c r="O163" s="24" t="str">
        <x:v>Not established</x:v>
      </x:c>
      <x:c r="P163" s="24" t="str">
        <x:v>Mixed Type I and Type II; ratio unverified</x:v>
      </x:c>
      <x:c r="Q163" s="24" t="str">
        <x:v>Published biopsies insufficient to state a reliable per-muscle percentage; no inference from function</x:v>
      </x:c>
      <x:c r="R163" s="24" t="str">
        <x:v>https://www.kenhub.com/en/library/anatomy/anatomy-of-the-back-spine-and-back-muscles</x:v>
      </x:c>
      <x:c r="S163" s="24" t="str">
        <x:v>https://pubmed.ncbi.nlm.nih.gov/39359186/</x:v>
      </x:c>
    </x:row>
    <x:row r="164" ht="46" customHeight="1">
      <x:c r="A164" s="24" t="str">
        <x:v>Levator costae brevis (T5 to rib 6)</x:v>
      </x:c>
      <x:c r="B164" s="24" t="str">
        <x:v>Deep posterior thorax segmental</x:v>
      </x:c>
      <x:c r="C164" s="24" t="str">
        <x:v>Stabilizer</x:v>
      </x:c>
      <x:c r="D164" s="24" t="str">
        <x:v>No</x:v>
      </x:c>
      <x:c r="E164" s="24" t="str">
        <x:v>No</x:v>
      </x:c>
      <x:c r="F164" s="24" t="str">
        <x:v>Yes</x:v>
      </x:c>
      <x:c r="G164" s="24" t="str">
        <x:v>Assists rib elevation and fine segmental posture</x:v>
      </x:c>
      <x:c r="H164" s="24" t="str">
        <x:v>Transverse process T5</x:v>
      </x:c>
      <x:c r="I164" s="24" t="str">
        <x:v>Upper border rib 6 near rib angle</x:v>
      </x:c>
      <x:c r="J164" s="24" t="str">
        <x:v>Posterior ramus T5</x:v>
      </x:c>
      <x:c r="K164" s="24" t="str">
        <x:v>T5 (segmental approximation)</x:v>
      </x:c>
      <x:c r="L164" s="24" t="str">
        <x:v>Minute rib insertion tendon</x:v>
      </x:c>
      <x:c r="M164" s="24" t="str">
        <x:v>Costotransverse ligament complex nearby</x:v>
      </x:c>
      <x:c r="N164" s="24" t="str">
        <x:v>Not established</x:v>
      </x:c>
      <x:c r="O164" s="24" t="str">
        <x:v>Not established</x:v>
      </x:c>
      <x:c r="P164" s="24" t="str">
        <x:v>Mixed Type I and Type II; ratio unverified</x:v>
      </x:c>
      <x:c r="Q164" s="24" t="str">
        <x:v>Published biopsies insufficient to state a reliable per-muscle percentage; no inference from function</x:v>
      </x:c>
      <x:c r="R164" s="24" t="str">
        <x:v>https://www.kenhub.com/en/library/anatomy/anatomy-of-the-back-spine-and-back-muscles</x:v>
      </x:c>
      <x:c r="S164" s="24" t="str">
        <x:v>https://pubmed.ncbi.nlm.nih.gov/39359186/</x:v>
      </x:c>
    </x:row>
    <x:row r="165" ht="46" customHeight="1">
      <x:c r="A165" s="24" t="str">
        <x:v>Levator costae brevis (T6 to rib 7)</x:v>
      </x:c>
      <x:c r="B165" s="24" t="str">
        <x:v>Deep posterior thorax segmental</x:v>
      </x:c>
      <x:c r="C165" s="24" t="str">
        <x:v>Stabilizer</x:v>
      </x:c>
      <x:c r="D165" s="24" t="str">
        <x:v>No</x:v>
      </x:c>
      <x:c r="E165" s="24" t="str">
        <x:v>No</x:v>
      </x:c>
      <x:c r="F165" s="24" t="str">
        <x:v>Yes</x:v>
      </x:c>
      <x:c r="G165" s="24" t="str">
        <x:v>Assists rib elevation and fine segmental posture</x:v>
      </x:c>
      <x:c r="H165" s="24" t="str">
        <x:v>Transverse process T6</x:v>
      </x:c>
      <x:c r="I165" s="24" t="str">
        <x:v>Upper border rib 7 near rib angle</x:v>
      </x:c>
      <x:c r="J165" s="24" t="str">
        <x:v>Posterior ramus T6</x:v>
      </x:c>
      <x:c r="K165" s="24" t="str">
        <x:v>T6 (segmental approximation)</x:v>
      </x:c>
      <x:c r="L165" s="24" t="str">
        <x:v>Minute rib insertion tendon</x:v>
      </x:c>
      <x:c r="M165" s="24" t="str">
        <x:v>Costotransverse ligament complex nearby</x:v>
      </x:c>
      <x:c r="N165" s="24" t="str">
        <x:v>Not established</x:v>
      </x:c>
      <x:c r="O165" s="24" t="str">
        <x:v>Not established</x:v>
      </x:c>
      <x:c r="P165" s="24" t="str">
        <x:v>Mixed Type I and Type II; ratio unverified</x:v>
      </x:c>
      <x:c r="Q165" s="24" t="str">
        <x:v>Published biopsies insufficient to state a reliable per-muscle percentage; no inference from function</x:v>
      </x:c>
      <x:c r="R165" s="24" t="str">
        <x:v>https://www.kenhub.com/en/library/anatomy/anatomy-of-the-back-spine-and-back-muscles</x:v>
      </x:c>
      <x:c r="S165" s="24" t="str">
        <x:v>https://pubmed.ncbi.nlm.nih.gov/39359186/</x:v>
      </x:c>
    </x:row>
    <x:row r="166" ht="46" customHeight="1">
      <x:c r="A166" s="24" t="str">
        <x:v>Levator costae brevis (T7 to rib 8)</x:v>
      </x:c>
      <x:c r="B166" s="24" t="str">
        <x:v>Deep posterior thorax segmental</x:v>
      </x:c>
      <x:c r="C166" s="24" t="str">
        <x:v>Stabilizer</x:v>
      </x:c>
      <x:c r="D166" s="24" t="str">
        <x:v>No</x:v>
      </x:c>
      <x:c r="E166" s="24" t="str">
        <x:v>No</x:v>
      </x:c>
      <x:c r="F166" s="24" t="str">
        <x:v>Yes</x:v>
      </x:c>
      <x:c r="G166" s="24" t="str">
        <x:v>Assists rib elevation and fine segmental posture</x:v>
      </x:c>
      <x:c r="H166" s="24" t="str">
        <x:v>Transverse process T7</x:v>
      </x:c>
      <x:c r="I166" s="24" t="str">
        <x:v>Upper border rib 8 near rib angle</x:v>
      </x:c>
      <x:c r="J166" s="24" t="str">
        <x:v>Posterior ramus T7</x:v>
      </x:c>
      <x:c r="K166" s="24" t="str">
        <x:v>T7 (segmental approximation)</x:v>
      </x:c>
      <x:c r="L166" s="24" t="str">
        <x:v>Minute rib insertion tendon</x:v>
      </x:c>
      <x:c r="M166" s="24" t="str">
        <x:v>Costotransverse ligament complex nearby</x:v>
      </x:c>
      <x:c r="N166" s="24" t="str">
        <x:v>Not established</x:v>
      </x:c>
      <x:c r="O166" s="24" t="str">
        <x:v>Not established</x:v>
      </x:c>
      <x:c r="P166" s="24" t="str">
        <x:v>Mixed Type I and Type II; ratio unverified</x:v>
      </x:c>
      <x:c r="Q166" s="24" t="str">
        <x:v>Published biopsies insufficient to state a reliable per-muscle percentage; no inference from function</x:v>
      </x:c>
      <x:c r="R166" s="24" t="str">
        <x:v>https://www.kenhub.com/en/library/anatomy/anatomy-of-the-back-spine-and-back-muscles</x:v>
      </x:c>
      <x:c r="S166" s="24" t="str">
        <x:v>https://pubmed.ncbi.nlm.nih.gov/39359186/</x:v>
      </x:c>
    </x:row>
    <x:row r="167" ht="46" customHeight="1">
      <x:c r="A167" s="24" t="str">
        <x:v>Levator costae brevis (T8 to rib 9)</x:v>
      </x:c>
      <x:c r="B167" s="24" t="str">
        <x:v>Deep posterior thorax segmental</x:v>
      </x:c>
      <x:c r="C167" s="24" t="str">
        <x:v>Stabilizer</x:v>
      </x:c>
      <x:c r="D167" s="24" t="str">
        <x:v>No</x:v>
      </x:c>
      <x:c r="E167" s="24" t="str">
        <x:v>No</x:v>
      </x:c>
      <x:c r="F167" s="24" t="str">
        <x:v>Yes</x:v>
      </x:c>
      <x:c r="G167" s="24" t="str">
        <x:v>Assists rib elevation and fine segmental posture</x:v>
      </x:c>
      <x:c r="H167" s="24" t="str">
        <x:v>Transverse process T8</x:v>
      </x:c>
      <x:c r="I167" s="24" t="str">
        <x:v>Upper border rib 9 near rib angle</x:v>
      </x:c>
      <x:c r="J167" s="24" t="str">
        <x:v>Posterior ramus T8</x:v>
      </x:c>
      <x:c r="K167" s="24" t="str">
        <x:v>T8 (segmental approximation)</x:v>
      </x:c>
      <x:c r="L167" s="24" t="str">
        <x:v>Minute rib insertion tendon</x:v>
      </x:c>
      <x:c r="M167" s="24" t="str">
        <x:v>Costotransverse ligament complex nearby</x:v>
      </x:c>
      <x:c r="N167" s="24" t="str">
        <x:v>Not established</x:v>
      </x:c>
      <x:c r="O167" s="24" t="str">
        <x:v>Not established</x:v>
      </x:c>
      <x:c r="P167" s="24" t="str">
        <x:v>Mixed Type I and Type II; ratio unverified</x:v>
      </x:c>
      <x:c r="Q167" s="24" t="str">
        <x:v>Published biopsies insufficient to state a reliable per-muscle percentage; no inference from function</x:v>
      </x:c>
      <x:c r="R167" s="24" t="str">
        <x:v>https://www.kenhub.com/en/library/anatomy/anatomy-of-the-back-spine-and-back-muscles</x:v>
      </x:c>
      <x:c r="S167" s="24" t="str">
        <x:v>https://pubmed.ncbi.nlm.nih.gov/39359186/</x:v>
      </x:c>
    </x:row>
    <x:row r="168" ht="46" customHeight="1">
      <x:c r="A168" s="24" t="str">
        <x:v>Levator costae brevis (T9 to rib 10)</x:v>
      </x:c>
      <x:c r="B168" s="24" t="str">
        <x:v>Deep posterior thorax segmental</x:v>
      </x:c>
      <x:c r="C168" s="24" t="str">
        <x:v>Stabilizer</x:v>
      </x:c>
      <x:c r="D168" s="24" t="str">
        <x:v>No</x:v>
      </x:c>
      <x:c r="E168" s="24" t="str">
        <x:v>No</x:v>
      </x:c>
      <x:c r="F168" s="24" t="str">
        <x:v>Yes</x:v>
      </x:c>
      <x:c r="G168" s="24" t="str">
        <x:v>Assists rib elevation and fine segmental posture</x:v>
      </x:c>
      <x:c r="H168" s="24" t="str">
        <x:v>Transverse process T9</x:v>
      </x:c>
      <x:c r="I168" s="24" t="str">
        <x:v>Upper border rib 10 near rib angle</x:v>
      </x:c>
      <x:c r="J168" s="24" t="str">
        <x:v>Posterior ramus T9</x:v>
      </x:c>
      <x:c r="K168" s="24" t="str">
        <x:v>T9 (segmental approximation)</x:v>
      </x:c>
      <x:c r="L168" s="24" t="str">
        <x:v>Minute rib insertion tendon</x:v>
      </x:c>
      <x:c r="M168" s="24" t="str">
        <x:v>Costotransverse ligament complex nearby</x:v>
      </x:c>
      <x:c r="N168" s="24" t="str">
        <x:v>Not established</x:v>
      </x:c>
      <x:c r="O168" s="24" t="str">
        <x:v>Not established</x:v>
      </x:c>
      <x:c r="P168" s="24" t="str">
        <x:v>Mixed Type I and Type II; ratio unverified</x:v>
      </x:c>
      <x:c r="Q168" s="24" t="str">
        <x:v>Published biopsies insufficient to state a reliable per-muscle percentage; no inference from function</x:v>
      </x:c>
      <x:c r="R168" s="24" t="str">
        <x:v>https://www.kenhub.com/en/library/anatomy/anatomy-of-the-back-spine-and-back-muscles</x:v>
      </x:c>
      <x:c r="S168" s="24" t="str">
        <x:v>https://pubmed.ncbi.nlm.nih.gov/39359186/</x:v>
      </x:c>
    </x:row>
    <x:row r="169" ht="46" customHeight="1">
      <x:c r="A169" s="24" t="str">
        <x:v>Intertransversarii cervicis anteriores</x:v>
      </x:c>
      <x:c r="B169" s="24" t="str">
        <x:v>Deep segmental cervical</x:v>
      </x:c>
      <x:c r="C169" s="24" t="str">
        <x:v>Stabilizer</x:v>
      </x:c>
      <x:c r="D169" s="24" t="str">
        <x:v>No</x:v>
      </x:c>
      <x:c r="E169" s="24" t="str">
        <x:v>No</x:v>
      </x:c>
      <x:c r="F169" s="24" t="str">
        <x:v>Yes</x:v>
      </x:c>
      <x:c r="G169" s="24" t="str">
        <x:v>Cervical side-bending and segmental stability</x:v>
      </x:c>
      <x:c r="H169" s="24" t="str">
        <x:v>Anterior tubercle lower cervical transverse process</x:v>
      </x:c>
      <x:c r="I169" s="24" t="str">
        <x:v>Anterior tubercle next superior transverse process</x:v>
      </x:c>
      <x:c r="J169" s="24" t="str">
        <x:v>Anterior rami cervical spinal nerves</x:v>
      </x:c>
      <x:c r="K169" s="24" t="str">
        <x:v>C2-C8 segmental</x:v>
      </x:c>
      <x:c r="L169" s="24" t="str">
        <x:v>Tiny segmental tendons</x:v>
      </x:c>
      <x:c r="M169" s="24" t="str">
        <x:v>Intertransverse ligaments nearby</x:v>
      </x:c>
      <x:c r="N169" s="24" t="str">
        <x:v>Not established</x:v>
      </x:c>
      <x:c r="O169" s="24" t="str">
        <x:v>Not established</x:v>
      </x:c>
      <x:c r="P169" s="24" t="str">
        <x:v>Mixed Type I and Type II; ratio unverified</x:v>
      </x:c>
      <x:c r="Q169" s="24" t="str">
        <x:v>Published biopsies insufficient to state a reliable per-muscle percentage; no inference from function</x:v>
      </x:c>
      <x:c r="R169" s="24" t="str">
        <x:v>https://www.kenhub.com/en/library/anatomy/anatomy-of-the-back-spine-and-back-muscles</x:v>
      </x:c>
      <x:c r="S169" s="24" t="str">
        <x:v>https://pubmed.ncbi.nlm.nih.gov/39359186/</x:v>
      </x:c>
    </x:row>
    <x:row r="170" ht="46" customHeight="1">
      <x:c r="A170" s="24" t="str">
        <x:v>Intertransversarii cervicis posteriores</x:v>
      </x:c>
      <x:c r="B170" s="24" t="str">
        <x:v>Deep segmental cervical</x:v>
      </x:c>
      <x:c r="C170" s="24" t="str">
        <x:v>Stabilizer</x:v>
      </x:c>
      <x:c r="D170" s="24" t="str">
        <x:v>No</x:v>
      </x:c>
      <x:c r="E170" s="24" t="str">
        <x:v>No</x:v>
      </x:c>
      <x:c r="F170" s="24" t="str">
        <x:v>Yes</x:v>
      </x:c>
      <x:c r="G170" s="24" t="str">
        <x:v>Cervical lateral flexion/stabilization</x:v>
      </x:c>
      <x:c r="H170" s="24" t="str">
        <x:v>Posterior tubercle lower cervical transverse process</x:v>
      </x:c>
      <x:c r="I170" s="24" t="str">
        <x:v>Posterior tubercle adjacent upper transverse process</x:v>
      </x:c>
      <x:c r="J170" s="24" t="str">
        <x:v>Posterior rami cervical spinal nerves</x:v>
      </x:c>
      <x:c r="K170" s="24" t="str">
        <x:v>C2-C8 segmental</x:v>
      </x:c>
      <x:c r="L170" s="24" t="str">
        <x:v>Tiny segmental tendons</x:v>
      </x:c>
      <x:c r="M170" s="24" t="str">
        <x:v>Intertransverse connective tissues adjacent</x:v>
      </x:c>
      <x:c r="N170" s="24" t="str">
        <x:v>Not established</x:v>
      </x:c>
      <x:c r="O170" s="24" t="str">
        <x:v>Not established</x:v>
      </x:c>
      <x:c r="P170" s="24" t="str">
        <x:v>Mixed Type I and Type II; ratio unverified</x:v>
      </x:c>
      <x:c r="Q170" s="24" t="str">
        <x:v>Published biopsies insufficient to state a reliable per-muscle percentage; no inference from function</x:v>
      </x:c>
      <x:c r="R170" s="24" t="str">
        <x:v>https://www.kenhub.com/en/library/anatomy/anatomy-of-the-back-spine-and-back-muscles</x:v>
      </x:c>
      <x:c r="S170" s="24" t="str">
        <x:v>https://pubmed.ncbi.nlm.nih.gov/39359186/</x:v>
      </x:c>
    </x:row>
    <x:row r="171" ht="46" customHeight="1">
      <x:c r="A171" s="24" t="str">
        <x:v>Intertransversarii lumborum laterales</x:v>
      </x:c>
      <x:c r="B171" s="24" t="str">
        <x:v>Deep segmental lumbar</x:v>
      </x:c>
      <x:c r="C171" s="24" t="str">
        <x:v>Stabilizer</x:v>
      </x:c>
      <x:c r="D171" s="24" t="str">
        <x:v>No</x:v>
      </x:c>
      <x:c r="E171" s="24" t="str">
        <x:v>No</x:v>
      </x:c>
      <x:c r="F171" s="24" t="str">
        <x:v>Yes</x:v>
      </x:c>
      <x:c r="G171" s="24" t="str">
        <x:v>Lateral flexion and intersegmental stability</x:v>
      </x:c>
      <x:c r="H171" s="24" t="str">
        <x:v>Costal processes of neighboring lumbar vertebrae</x:v>
      </x:c>
      <x:c r="I171" s="24" t="str">
        <x:v>Superior adjacent lumbar costal process</x:v>
      </x:c>
      <x:c r="J171" s="24" t="str">
        <x:v>Anterior rami lumbar spinal nerves</x:v>
      </x:c>
      <x:c r="K171" s="24" t="str">
        <x:v>L1-L4 segmental</x:v>
      </x:c>
      <x:c r="L171" s="24" t="str">
        <x:v>Short fascicular tendons</x:v>
      </x:c>
      <x:c r="M171" s="24" t="str">
        <x:v>Intertransverse ligaments nearby</x:v>
      </x:c>
      <x:c r="N171" s="24" t="str">
        <x:v>Not established</x:v>
      </x:c>
      <x:c r="O171" s="24" t="str">
        <x:v>Not established</x:v>
      </x:c>
      <x:c r="P171" s="24" t="str">
        <x:v>Mixed Type I and Type II; ratio unverified</x:v>
      </x:c>
      <x:c r="Q171" s="24" t="str">
        <x:v>Published biopsies insufficient to state a reliable per-muscle percentage; no inference from function</x:v>
      </x:c>
      <x:c r="R171" s="24" t="str">
        <x:v>https://www.kenhub.com/en/library/anatomy/anatomy-of-the-back-spine-and-back-muscles</x:v>
      </x:c>
      <x:c r="S171" s="24" t="str">
        <x:v>https://pubmed.ncbi.nlm.nih.gov/39359186/</x:v>
      </x:c>
    </x:row>
    <x:row r="172" ht="46" customHeight="1">
      <x:c r="A172" s="24" t="str">
        <x:v>Intertransversarii lumborum mediales</x:v>
      </x:c>
      <x:c r="B172" s="24" t="str">
        <x:v>Deep segmental lumbar</x:v>
      </x:c>
      <x:c r="C172" s="24" t="str">
        <x:v>Stabilizer</x:v>
      </x:c>
      <x:c r="D172" s="24" t="str">
        <x:v>No</x:v>
      </x:c>
      <x:c r="E172" s="24" t="str">
        <x:v>No</x:v>
      </x:c>
      <x:c r="F172" s="24" t="str">
        <x:v>Yes</x:v>
      </x:c>
      <x:c r="G172" s="24" t="str">
        <x:v>Lumbar segmental stabilization/lateral flexion</x:v>
      </x:c>
      <x:c r="H172" s="24" t="str">
        <x:v>Mammillary/accessory processes neighboring lumbar vertebrae</x:v>
      </x:c>
      <x:c r="I172" s="24" t="str">
        <x:v>Adjacent superior lumbar vertebral processes</x:v>
      </x:c>
      <x:c r="J172" s="24" t="str">
        <x:v>Posterior rami lumbar spinal nerves</x:v>
      </x:c>
      <x:c r="K172" s="24" t="str">
        <x:v>L1-L5 segmental</x:v>
      </x:c>
      <x:c r="L172" s="24" t="str">
        <x:v>Tiny intersegmental tendons</x:v>
      </x:c>
      <x:c r="M172" s="24" t="str">
        <x:v>Intertransverse ligaments near fascicles</x:v>
      </x:c>
      <x:c r="N172" s="24" t="str">
        <x:v>Not established</x:v>
      </x:c>
      <x:c r="O172" s="24" t="str">
        <x:v>Not established</x:v>
      </x:c>
      <x:c r="P172" s="24" t="str">
        <x:v>Mixed Type I and Type II; ratio unverified</x:v>
      </x:c>
      <x:c r="Q172" s="24" t="str">
        <x:v>Published biopsies insufficient to state a reliable per-muscle percentage; no inference from function</x:v>
      </x:c>
      <x:c r="R172" s="24" t="str">
        <x:v>https://www.kenhub.com/en/library/anatomy/anatomy-of-the-back-spine-and-back-muscles</x:v>
      </x:c>
      <x:c r="S172" s="24" t="str">
        <x:v>https://pubmed.ncbi.nlm.nih.gov/39359186/</x:v>
      </x:c>
    </x:row>
    <x:row r="173" ht="46" customHeight="1">
      <x:c r="A173" s="24" t="str">
        <x:v>Intertransversarii thoracis (sparse)</x:v>
      </x:c>
      <x:c r="B173" s="24" t="str">
        <x:v>Deep segmental thoracic</x:v>
      </x:c>
      <x:c r="C173" s="24" t="str">
        <x:v>Stabilizer</x:v>
      </x:c>
      <x:c r="D173" s="24" t="str">
        <x:v>No</x:v>
      </x:c>
      <x:c r="E173" s="24" t="str">
        <x:v>No</x:v>
      </x:c>
      <x:c r="F173" s="24" t="str">
        <x:v>Yes</x:v>
      </x:c>
      <x:c r="G173" s="24" t="str">
        <x:v>Proprioception/stabilization</x:v>
      </x:c>
      <x:c r="H173" s="24" t="str">
        <x:v>Thoracic transverse processes</x:v>
      </x:c>
      <x:c r="I173" s="24" t="str">
        <x:v>Adjacent superior thoracic transverse processes</x:v>
      </x:c>
      <x:c r="J173" s="24" t="str">
        <x:v>Segmental spinal nerve branches</x:v>
      </x:c>
      <x:c r="K173" s="24" t="str">
        <x:v>T1-T12 (variable)</x:v>
      </x:c>
      <x:c r="L173" s="24" t="str">
        <x:v>Minute tendons</x:v>
      </x:c>
      <x:c r="M173" s="24" t="str">
        <x:v>Costotransverse ligaments nearby</x:v>
      </x:c>
      <x:c r="N173" s="24" t="str">
        <x:v>Not established</x:v>
      </x:c>
      <x:c r="O173" s="24" t="str">
        <x:v>Not established</x:v>
      </x:c>
      <x:c r="P173" s="24" t="str">
        <x:v>Mixed Type I and Type II; ratio unverified</x:v>
      </x:c>
      <x:c r="Q173" s="24" t="str">
        <x:v>Published biopsies insufficient to state a reliable per-muscle percentage; no inference from function</x:v>
      </x:c>
      <x:c r="R173" s="24" t="str">
        <x:v>https://www.kenhub.com/en/library/anatomy/anatomy-of-the-back-spine-and-back-muscles</x:v>
      </x:c>
      <x:c r="S173" s="24" t="str">
        <x:v>https://pubmed.ncbi.nlm.nih.gov/39359186/</x:v>
      </x:c>
    </x:row>
    <x:row r="174" ht="46" customHeight="1">
      <x:c r="A174" s="24" t="str">
        <x:v>Interspinales cervicis</x:v>
      </x:c>
      <x:c r="B174" s="24" t="str">
        <x:v>Deep short segmental</x:v>
      </x:c>
      <x:c r="C174" s="24" t="str">
        <x:v>Extensor; Stabilizer</x:v>
      </x:c>
      <x:c r="D174" s="24" t="str">
        <x:v>No</x:v>
      </x:c>
      <x:c r="E174" s="24" t="str">
        <x:v>Yes</x:v>
      </x:c>
      <x:c r="F174" s="24" t="str">
        <x:v>Yes</x:v>
      </x:c>
      <x:c r="G174" s="24" t="str">
        <x:v>Fine cervical extension and intersegmental stability</x:v>
      </x:c>
      <x:c r="H174" s="24" t="str">
        <x:v>Superior surface lower cervical spinous process</x:v>
      </x:c>
      <x:c r="I174" s="24" t="str">
        <x:v>Inferior surface adjacent upper spinous process</x:v>
      </x:c>
      <x:c r="J174" s="24" t="str">
        <x:v>Posterior rami cervical spinal nerves</x:v>
      </x:c>
      <x:c r="K174" s="24" t="str">
        <x:v>C2-C7 segmental</x:v>
      </x:c>
      <x:c r="L174" s="24" t="str">
        <x:v>Short interspinous attachments</x:v>
      </x:c>
      <x:c r="M174" s="24" t="str">
        <x:v>Interspinous ligaments in same interspinous space</x:v>
      </x:c>
      <x:c r="N174" s="24" t="str">
        <x:v>Not established</x:v>
      </x:c>
      <x:c r="O174" s="24" t="str">
        <x:v>Not established</x:v>
      </x:c>
      <x:c r="P174" s="24" t="str">
        <x:v>Mixed Type I and Type II; ratio unverified</x:v>
      </x:c>
      <x:c r="Q174" s="24" t="str">
        <x:v>Published biopsies insufficient to state a reliable per-muscle percentage; no inference from function</x:v>
      </x:c>
      <x:c r="R174" s="24" t="str">
        <x:v>https://www.kenhub.com/en/library/anatomy/anatomy-of-the-back-spine-and-back-muscles</x:v>
      </x:c>
      <x:c r="S174" s="24" t="str">
        <x:v>https://pubmed.ncbi.nlm.nih.gov/39359186/</x:v>
      </x:c>
    </x:row>
    <x:row r="175" ht="46" customHeight="1">
      <x:c r="A175" s="24" t="str">
        <x:v>Interspinales lumborum</x:v>
      </x:c>
      <x:c r="B175" s="24" t="str">
        <x:v>Deep short segmental</x:v>
      </x:c>
      <x:c r="C175" s="24" t="str">
        <x:v>Extensor; Stabilizer</x:v>
      </x:c>
      <x:c r="D175" s="24" t="str">
        <x:v>No</x:v>
      </x:c>
      <x:c r="E175" s="24" t="str">
        <x:v>Yes</x:v>
      </x:c>
      <x:c r="F175" s="24" t="str">
        <x:v>Yes</x:v>
      </x:c>
      <x:c r="G175" s="24" t="str">
        <x:v>Intersegmental lumbar extension/stabilization</x:v>
      </x:c>
      <x:c r="H175" s="24" t="str">
        <x:v>Superior aspect lumbar spinous process</x:v>
      </x:c>
      <x:c r="I175" s="24" t="str">
        <x:v>Inferior aspect next superior lumbar spinous process</x:v>
      </x:c>
      <x:c r="J175" s="24" t="str">
        <x:v>Posterior rami lumbar nerves</x:v>
      </x:c>
      <x:c r="K175" s="24" t="str">
        <x:v>L1-L5 segmental</x:v>
      </x:c>
      <x:c r="L175" s="24" t="str">
        <x:v>Short interspinous fascicular tendons</x:v>
      </x:c>
      <x:c r="M175" s="24" t="str">
        <x:v>Interspinous ligaments adjacent/direct connective interfaces</x:v>
      </x:c>
      <x:c r="N175" s="24" t="str">
        <x:v>Not established</x:v>
      </x:c>
      <x:c r="O175" s="24" t="str">
        <x:v>Not established</x:v>
      </x:c>
      <x:c r="P175" s="24" t="str">
        <x:v>Mixed Type I and Type II; ratio unverified</x:v>
      </x:c>
      <x:c r="Q175" s="24" t="str">
        <x:v>Published biopsies insufficient to state a reliable per-muscle percentage; no inference from function</x:v>
      </x:c>
      <x:c r="R175" s="24" t="str">
        <x:v>https://www.kenhub.com/en/library/anatomy/anatomy-of-the-back-spine-and-back-muscles</x:v>
      </x:c>
      <x:c r="S175" s="24" t="str">
        <x:v>https://pubmed.ncbi.nlm.nih.gov/39359186/</x:v>
      </x:c>
    </x:row>
    <x:row r="176" ht="46" customHeight="1">
      <x:c r="A176" s="24" t="str">
        <x:v>Interspinales thoracis (inconstant)</x:v>
      </x:c>
      <x:c r="B176" s="24" t="str">
        <x:v>Deep short segmental</x:v>
      </x:c>
      <x:c r="C176" s="24" t="str">
        <x:v>Extensor; Stabilizer</x:v>
      </x:c>
      <x:c r="D176" s="24" t="str">
        <x:v>No</x:v>
      </x:c>
      <x:c r="E176" s="24" t="str">
        <x:v>Yes</x:v>
      </x:c>
      <x:c r="F176" s="24" t="str">
        <x:v>Yes</x:v>
      </x:c>
      <x:c r="G176" s="24" t="str">
        <x:v>Segmental extension/stability</x:v>
      </x:c>
      <x:c r="H176" s="24" t="str">
        <x:v>Adjacent thoracic spinous processes</x:v>
      </x:c>
      <x:c r="I176" s="24" t="str">
        <x:v>Adjacent superior thoracic spinous process</x:v>
      </x:c>
      <x:c r="J176" s="24" t="str">
        <x:v>Posterior rami thoracic nerves</x:v>
      </x:c>
      <x:c r="K176" s="24" t="str">
        <x:v>T1-T12 segmental</x:v>
      </x:c>
      <x:c r="L176" s="24" t="str">
        <x:v>Minute interspinous slips</x:v>
      </x:c>
      <x:c r="M176" s="24" t="str">
        <x:v>Interspinous ligaments adjacent</x:v>
      </x:c>
      <x:c r="N176" s="24" t="str">
        <x:v>Not established</x:v>
      </x:c>
      <x:c r="O176" s="24" t="str">
        <x:v>Not established</x:v>
      </x:c>
      <x:c r="P176" s="24" t="str">
        <x:v>Mixed Type I and Type II; ratio unverified</x:v>
      </x:c>
      <x:c r="Q176" s="24" t="str">
        <x:v>Published biopsies insufficient to state a reliable per-muscle percentage; no inference from function</x:v>
      </x:c>
      <x:c r="R176" s="24" t="str">
        <x:v>https://www.kenhub.com/en/library/anatomy/anatomy-of-the-back-spine-and-back-muscles</x:v>
      </x:c>
      <x:c r="S176" s="24" t="str">
        <x:v>https://pubmed.ncbi.nlm.nih.gov/39359186/</x:v>
      </x:c>
    </x:row>
    <x:row r="177" ht="46" customHeight="1">
      <x:c r="A177" s="24" t="str">
        <x:v>Longissimus capitis</x:v>
      </x:c>
      <x:c r="B177" s="24" t="str">
        <x:v>Erector spinae intermediate</x:v>
      </x:c>
      <x:c r="C177" s="24" t="str">
        <x:v>Extensor; Stabilizer</x:v>
      </x:c>
      <x:c r="D177" s="24" t="str">
        <x:v>No</x:v>
      </x:c>
      <x:c r="E177" s="24" t="str">
        <x:v>Yes</x:v>
      </x:c>
      <x:c r="F177" s="24" t="str">
        <x:v>Yes</x:v>
      </x:c>
      <x:c r="G177" s="24" t="str">
        <x:v>Head extension and ipsilateral rotation</x:v>
      </x:c>
      <x:c r="H177" s="24" t="str">
        <x:v>Transverse processes T1-T5; articular processes C4-C7</x:v>
      </x:c>
      <x:c r="I177" s="24" t="str">
        <x:v>Mastoid process temporal bone</x:v>
      </x:c>
      <x:c r="J177" s="24" t="str">
        <x:v>Posterior rami cervical spinal nerves</x:v>
      </x:c>
      <x:c r="K177" s="24" t="str">
        <x:v>C2-C6 segmental</x:v>
      </x:c>
      <x:c r="L177" s="24" t="str">
        <x:v>Mastoid insertion tendon</x:v>
      </x:c>
      <x:c r="M177" s="24" t="str">
        <x:v>Nuchal ligament adjacent, not main attachment</x:v>
      </x:c>
      <x:c r="N177" s="24" t="str">
        <x:v>Not established</x:v>
      </x:c>
      <x:c r="O177" s="24" t="str">
        <x:v>Not established</x:v>
      </x:c>
      <x:c r="P177" s="24" t="str">
        <x:v>Mixed Type I and Type II; ratio unverified</x:v>
      </x:c>
      <x:c r="Q177" s="24" t="str">
        <x:v>Published biopsies insufficient to state a reliable per-muscle percentage; no inference from function</x:v>
      </x:c>
      <x:c r="R177" s="24" t="str">
        <x:v>https://www.kenhub.com/en/library/anatomy/anatomy-of-the-back-spine-and-back-muscles</x:v>
      </x:c>
      <x:c r="S177" s="24" t="str">
        <x:v>https://pubmed.ncbi.nlm.nih.gov/39359186/</x:v>
      </x:c>
    </x:row>
    <x:row r="178" ht="46" customHeight="1">
      <x:c r="A178" s="24" t="str">
        <x:v>Longissimus cervicis</x:v>
      </x:c>
      <x:c r="B178" s="24" t="str">
        <x:v>Erector spinae intermediate</x:v>
      </x:c>
      <x:c r="C178" s="24" t="str">
        <x:v>Extensor; Stabilizer</x:v>
      </x:c>
      <x:c r="D178" s="24" t="str">
        <x:v>No</x:v>
      </x:c>
      <x:c r="E178" s="24" t="str">
        <x:v>Yes</x:v>
      </x:c>
      <x:c r="F178" s="24" t="str">
        <x:v>Yes</x:v>
      </x:c>
      <x:c r="G178" s="24" t="str">
        <x:v>Extends/laterally bends neck</x:v>
      </x:c>
      <x:c r="H178" s="24" t="str">
        <x:v>Transverse processes T1-T5</x:v>
      </x:c>
      <x:c r="I178" s="24" t="str">
        <x:v>Posterior tubercles transverse processes C2-C6</x:v>
      </x:c>
      <x:c r="J178" s="24" t="str">
        <x:v>Posterior rami cervical nerves</x:v>
      </x:c>
      <x:c r="K178" s="24" t="str">
        <x:v>C2-C8 segmental</x:v>
      </x:c>
      <x:c r="L178" s="24" t="str">
        <x:v>Segmental cervical insertion tendons</x:v>
      </x:c>
      <x:c r="M178" s="24" t="str">
        <x:v>No specific direct ligament attachment</x:v>
      </x:c>
      <x:c r="N178" s="24" t="str">
        <x:v>Not established</x:v>
      </x:c>
      <x:c r="O178" s="24" t="str">
        <x:v>Not established</x:v>
      </x:c>
      <x:c r="P178" s="24" t="str">
        <x:v>Mixed Type I and Type II; ratio unverified</x:v>
      </x:c>
      <x:c r="Q178" s="24" t="str">
        <x:v>Published biopsies insufficient to state a reliable per-muscle percentage; no inference from function</x:v>
      </x:c>
      <x:c r="R178" s="24" t="str">
        <x:v>https://www.kenhub.com/en/library/anatomy/anatomy-of-the-back-spine-and-back-muscles</x:v>
      </x:c>
      <x:c r="S178" s="24" t="str">
        <x:v>https://pubmed.ncbi.nlm.nih.gov/39359186/</x:v>
      </x:c>
    </x:row>
    <x:row r="179" ht="46" customHeight="1">
      <x:c r="A179" s="24" t="str">
        <x:v>Longissimus thoracis</x:v>
      </x:c>
      <x:c r="B179" s="24" t="str">
        <x:v>Erector spinae intermediate</x:v>
      </x:c>
      <x:c r="C179" s="24" t="str">
        <x:v>Extensor; Stabilizer</x:v>
      </x:c>
      <x:c r="D179" s="24" t="str">
        <x:v>No</x:v>
      </x:c>
      <x:c r="E179" s="24" t="str">
        <x:v>Yes</x:v>
      </x:c>
      <x:c r="F179" s="24" t="str">
        <x:v>Yes</x:v>
      </x:c>
      <x:c r="G179" s="24" t="str">
        <x:v>Extends/laterally flexes thoracolumbar spine</x:v>
      </x:c>
      <x:c r="H179" s="24" t="str">
        <x:v>Common erector spinae tendon; sacrum; lumbar processes</x:v>
      </x:c>
      <x:c r="I179" s="24" t="str">
        <x:v>Thoracic transverse processes and ribs 2-12</x:v>
      </x:c>
      <x:c r="J179" s="24" t="str">
        <x:v>Posterior rami spinal nerves</x:v>
      </x:c>
      <x:c r="K179" s="24" t="str">
        <x:v>T1-L5 segmental</x:v>
      </x:c>
      <x:c r="L179" s="24" t="str">
        <x:v>Common erector tendon and segmental slips</x:v>
      </x:c>
      <x:c r="M179" s="24" t="str">
        <x:v>Thoracolumbar fascia associated at origin</x:v>
      </x:c>
      <x:c r="N179" s="24" t="str">
        <x:v>57% (lumbar region sample mean, n=16)</x:v>
      </x:c>
      <x:c r="O179" s="24" t="str">
        <x:v>43% (approx complementary II types)</x:v>
      </x:c>
      <x:c r="P179" s="24" t="str">
        <x:v>Type I-enriched (regional sample mean)</x:v>
      </x:c>
      <x:c r="Q179" s="24" t="str">
        <x:v>Study sampled lumbar longissimus; data not generalizable to every thoracic region</x:v>
      </x:c>
      <x:c r="R179" s="24" t="str">
        <x:v>https://www.kenhub.com/en/library/anatomy/anatomy-of-the-back-spine-and-back-muscles</x:v>
      </x:c>
      <x:c r="S179" s="24" t="str">
        <x:v>https://pubmed.ncbi.nlm.nih.gov/2960128/</x:v>
      </x:c>
    </x:row>
    <x:row r="180" ht="46" customHeight="1">
      <x:c r="A180" s="24" t="str">
        <x:v>Iliocostalis cervicis</x:v>
      </x:c>
      <x:c r="B180" s="24" t="str">
        <x:v>Erector spinae lateral</x:v>
      </x:c>
      <x:c r="C180" s="24" t="str">
        <x:v>Extensor; Stabilizer</x:v>
      </x:c>
      <x:c r="D180" s="24" t="str">
        <x:v>No</x:v>
      </x:c>
      <x:c r="E180" s="24" t="str">
        <x:v>Yes</x:v>
      </x:c>
      <x:c r="F180" s="24" t="str">
        <x:v>Yes</x:v>
      </x:c>
      <x:c r="G180" s="24" t="str">
        <x:v>Cervical extension/lateral flexion</x:v>
      </x:c>
      <x:c r="H180" s="24" t="str">
        <x:v>Angles ribs 3-6</x:v>
      </x:c>
      <x:c r="I180" s="24" t="str">
        <x:v>Posterior tubercles transverse processes C4-C6</x:v>
      </x:c>
      <x:c r="J180" s="24" t="str">
        <x:v>Posterior rami cervical spinal nerves</x:v>
      </x:c>
      <x:c r="K180" s="24" t="str">
        <x:v>C4-C8 segmental</x:v>
      </x:c>
      <x:c r="L180" s="24" t="str">
        <x:v>Costal-to-cervical tendons</x:v>
      </x:c>
      <x:c r="M180" s="24" t="str">
        <x:v>No direct ligament attachment routinely specified</x:v>
      </x:c>
      <x:c r="N180" s="24" t="str">
        <x:v>Not established</x:v>
      </x:c>
      <x:c r="O180" s="24" t="str">
        <x:v>Not established</x:v>
      </x:c>
      <x:c r="P180" s="24" t="str">
        <x:v>Mixed Type I and Type II; ratio unverified</x:v>
      </x:c>
      <x:c r="Q180" s="24" t="str">
        <x:v>Published biopsies insufficient to state a reliable per-muscle percentage; no inference from function</x:v>
      </x:c>
      <x:c r="R180" s="24" t="str">
        <x:v>https://www.kenhub.com/en/library/anatomy/anatomy-of-the-back-spine-and-back-muscles</x:v>
      </x:c>
      <x:c r="S180" s="24" t="str">
        <x:v>https://pubmed.ncbi.nlm.nih.gov/39359186/</x:v>
      </x:c>
    </x:row>
    <x:row r="181" ht="46" customHeight="1">
      <x:c r="A181" s="24" t="str">
        <x:v>Iliocostalis lumborum</x:v>
      </x:c>
      <x:c r="B181" s="24" t="str">
        <x:v>Erector spinae lateral</x:v>
      </x:c>
      <x:c r="C181" s="24" t="str">
        <x:v>Extensor; Stabilizer</x:v>
      </x:c>
      <x:c r="D181" s="24" t="str">
        <x:v>No</x:v>
      </x:c>
      <x:c r="E181" s="24" t="str">
        <x:v>Yes</x:v>
      </x:c>
      <x:c r="F181" s="24" t="str">
        <x:v>Yes</x:v>
      </x:c>
      <x:c r="G181" s="24" t="str">
        <x:v>Extends and laterally flexes lumbar spine; postural support</x:v>
      </x:c>
      <x:c r="H181" s="24" t="str">
        <x:v>Common erector spinae tendon from sacrum/iliac crest; lumbar aponeurosis</x:v>
      </x:c>
      <x:c r="I181" s="24" t="str">
        <x:v>Angles ribs 6-12; lumbar transverse processes</x:v>
      </x:c>
      <x:c r="J181" s="24" t="str">
        <x:v>Posterior rami spinal nerves</x:v>
      </x:c>
      <x:c r="K181" s="24" t="str">
        <x:v>T12-L5 segmental</x:v>
      </x:c>
      <x:c r="L181" s="24" t="str">
        <x:v>Common erector spinae aponeurosis; rib slips</x:v>
      </x:c>
      <x:c r="M181" s="24" t="str">
        <x:v>Supraspinous ligaments/fascia adjacent; thoracolumbar fascia direct origin</x:v>
      </x:c>
      <x:c r="N181" s="24" t="str">
        <x:v>Not established</x:v>
      </x:c>
      <x:c r="O181" s="24" t="str">
        <x:v>Not established</x:v>
      </x:c>
      <x:c r="P181" s="24" t="str">
        <x:v>Mixed Type I and Type II; ratio unverified</x:v>
      </x:c>
      <x:c r="Q181" s="24" t="str">
        <x:v>Published biopsies insufficient to state a reliable per-muscle percentage; no inference from function</x:v>
      </x:c>
      <x:c r="R181" s="24" t="str">
        <x:v>https://www.kenhub.com/en/library/anatomy/anatomy-of-the-back-spine-and-back-muscles</x:v>
      </x:c>
      <x:c r="S181" s="24" t="str">
        <x:v>https://pubmed.ncbi.nlm.nih.gov/39359186/</x:v>
      </x:c>
    </x:row>
    <x:row r="182" ht="46" customHeight="1">
      <x:c r="A182" s="24" t="str">
        <x:v>Iliocostalis thoracis</x:v>
      </x:c>
      <x:c r="B182" s="24" t="str">
        <x:v>Erector spinae lateral</x:v>
      </x:c>
      <x:c r="C182" s="24" t="str">
        <x:v>Extensor; Stabilizer</x:v>
      </x:c>
      <x:c r="D182" s="24" t="str">
        <x:v>No</x:v>
      </x:c>
      <x:c r="E182" s="24" t="str">
        <x:v>Yes</x:v>
      </x:c>
      <x:c r="F182" s="24" t="str">
        <x:v>Yes</x:v>
      </x:c>
      <x:c r="G182" s="24" t="str">
        <x:v>Extends/laterally flexes thoracic spine</x:v>
      </x:c>
      <x:c r="H182" s="24" t="str">
        <x:v>Angles lower six ribs</x:v>
      </x:c>
      <x:c r="I182" s="24" t="str">
        <x:v>Angles upper six ribs and transverse process C7</x:v>
      </x:c>
      <x:c r="J182" s="24" t="str">
        <x:v>Posterior rami thoracic spinal nerves</x:v>
      </x:c>
      <x:c r="K182" s="24" t="str">
        <x:v>T1-T12 segmental</x:v>
      </x:c>
      <x:c r="L182" s="24" t="str">
        <x:v>Long costal fascicular tendons</x:v>
      </x:c>
      <x:c r="M182" s="24" t="str">
        <x:v>Costotransverse ligaments adjacent to rib attachment</x:v>
      </x:c>
      <x:c r="N182" s="24" t="str">
        <x:v>Not established</x:v>
      </x:c>
      <x:c r="O182" s="24" t="str">
        <x:v>Not established</x:v>
      </x:c>
      <x:c r="P182" s="24" t="str">
        <x:v>Mixed Type I and Type II; ratio unverified</x:v>
      </x:c>
      <x:c r="Q182" s="24" t="str">
        <x:v>Published biopsies insufficient to state a reliable per-muscle percentage; no inference from function</x:v>
      </x:c>
      <x:c r="R182" s="24" t="str">
        <x:v>https://www.kenhub.com/en/library/anatomy/anatomy-of-the-back-spine-and-back-muscles</x:v>
      </x:c>
      <x:c r="S182" s="24" t="str">
        <x:v>https://pubmed.ncbi.nlm.nih.gov/39359186/</x:v>
      </x:c>
    </x:row>
    <x:row r="183" ht="46" customHeight="1">
      <x:c r="A183" s="24" t="str">
        <x:v>Spinalis capitis (variable/integrated)</x:v>
      </x:c>
      <x:c r="B183" s="24" t="str">
        <x:v>Erector spinae medial</x:v>
      </x:c>
      <x:c r="C183" s="24" t="str">
        <x:v>Extensor; Stabilizer</x:v>
      </x:c>
      <x:c r="D183" s="24" t="str">
        <x:v>No</x:v>
      </x:c>
      <x:c r="E183" s="24" t="str">
        <x:v>Yes</x:v>
      </x:c>
      <x:c r="F183" s="24" t="str">
        <x:v>Yes</x:v>
      </x:c>
      <x:c r="G183" s="24" t="str">
        <x:v>Extends head; usually confluent with semispinalis capitis</x:v>
      </x:c>
      <x:c r="H183" s="24" t="str">
        <x:v>Upper thoracic/lower cervical spinous processes</x:v>
      </x:c>
      <x:c r="I183" s="24" t="str">
        <x:v>Occipital bone near superior nuchal line</x:v>
      </x:c>
      <x:c r="J183" s="24" t="str">
        <x:v>Posterior rami cervical spinal nerves</x:v>
      </x:c>
      <x:c r="K183" s="24" t="str">
        <x:v>C2-C6 segmental</x:v>
      </x:c>
      <x:c r="L183" s="24" t="str">
        <x:v>Occipital aponeurosis</x:v>
      </x:c>
      <x:c r="M183" s="24" t="str">
        <x:v>Nuchal ligament nearby</x:v>
      </x:c>
      <x:c r="N183" s="24" t="str">
        <x:v>Not established</x:v>
      </x:c>
      <x:c r="O183" s="24" t="str">
        <x:v>Not established</x:v>
      </x:c>
      <x:c r="P183" s="24" t="str">
        <x:v>Mixed Type I and Type II; ratio unverified</x:v>
      </x:c>
      <x:c r="Q183" s="24" t="str">
        <x:v>Published biopsies insufficient to state a reliable per-muscle percentage; no inference from function</x:v>
      </x:c>
      <x:c r="R183" s="24" t="str">
        <x:v>https://www.kenhub.com/en/library/anatomy/anatomy-of-the-back-spine-and-back-muscles</x:v>
      </x:c>
      <x:c r="S183" s="24" t="str">
        <x:v>https://pubmed.ncbi.nlm.nih.gov/39359186/</x:v>
      </x:c>
    </x:row>
    <x:row r="184" ht="46" customHeight="1">
      <x:c r="A184" s="24" t="str">
        <x:v>Spinalis cervicis</x:v>
      </x:c>
      <x:c r="B184" s="24" t="str">
        <x:v>Erector spinae medial</x:v>
      </x:c>
      <x:c r="C184" s="24" t="str">
        <x:v>Extensor; Stabilizer</x:v>
      </x:c>
      <x:c r="D184" s="24" t="str">
        <x:v>No</x:v>
      </x:c>
      <x:c r="E184" s="24" t="str">
        <x:v>Yes</x:v>
      </x:c>
      <x:c r="F184" s="24" t="str">
        <x:v>Yes</x:v>
      </x:c>
      <x:c r="G184" s="24" t="str">
        <x:v>Extends cervical spine</x:v>
      </x:c>
      <x:c r="H184" s="24" t="str">
        <x:v>Nuchal ligament and spinous processes C7-T2</x:v>
      </x:c>
      <x:c r="I184" s="24" t="str">
        <x:v>Spinous processes C2-C4</x:v>
      </x:c>
      <x:c r="J184" s="24" t="str">
        <x:v>Posterior rami cervical spinal nerves</x:v>
      </x:c>
      <x:c r="K184" s="24" t="str">
        <x:v>C2-C7 segmental</x:v>
      </x:c>
      <x:c r="L184" s="24" t="str">
        <x:v>Interspinous insertion tendons</x:v>
      </x:c>
      <x:c r="M184" s="24" t="str">
        <x:v>Nuchal ligament may contribute to origin</x:v>
      </x:c>
      <x:c r="N184" s="24" t="str">
        <x:v>Not established</x:v>
      </x:c>
      <x:c r="O184" s="24" t="str">
        <x:v>Not established</x:v>
      </x:c>
      <x:c r="P184" s="24" t="str">
        <x:v>Mixed Type I and Type II; ratio unverified</x:v>
      </x:c>
      <x:c r="Q184" s="24" t="str">
        <x:v>Published biopsies insufficient to state a reliable per-muscle percentage; no inference from function</x:v>
      </x:c>
      <x:c r="R184" s="24" t="str">
        <x:v>https://www.kenhub.com/en/library/anatomy/anatomy-of-the-back-spine-and-back-muscles</x:v>
      </x:c>
      <x:c r="S184" s="24" t="str">
        <x:v>https://pubmed.ncbi.nlm.nih.gov/39359186/</x:v>
      </x:c>
    </x:row>
    <x:row r="185" ht="46" customHeight="1">
      <x:c r="A185" s="24" t="str">
        <x:v>Spinalis thoracis</x:v>
      </x:c>
      <x:c r="B185" s="24" t="str">
        <x:v>Erector spinae medial</x:v>
      </x:c>
      <x:c r="C185" s="24" t="str">
        <x:v>Extensor; Stabilizer</x:v>
      </x:c>
      <x:c r="D185" s="24" t="str">
        <x:v>No</x:v>
      </x:c>
      <x:c r="E185" s="24" t="str">
        <x:v>Yes</x:v>
      </x:c>
      <x:c r="F185" s="24" t="str">
        <x:v>Yes</x:v>
      </x:c>
      <x:c r="G185" s="24" t="str">
        <x:v>Extends thoracic spine</x:v>
      </x:c>
      <x:c r="H185" s="24" t="str">
        <x:v>Spinous processes T11-L2</x:v>
      </x:c>
      <x:c r="I185" s="24" t="str">
        <x:v>Spinous processes T1-T8</x:v>
      </x:c>
      <x:c r="J185" s="24" t="str">
        <x:v>Posterior rami thoracic spinal nerves</x:v>
      </x:c>
      <x:c r="K185" s="24" t="str">
        <x:v>T1-T12 segmental</x:v>
      </x:c>
      <x:c r="L185" s="24" t="str">
        <x:v>Long interspinous tendons</x:v>
      </x:c>
      <x:c r="M185" s="24" t="str">
        <x:v>Supraspinous ligament adjacent/blended</x:v>
      </x:c>
      <x:c r="N185" s="24" t="str">
        <x:v>Not established</x:v>
      </x:c>
      <x:c r="O185" s="24" t="str">
        <x:v>Not established</x:v>
      </x:c>
      <x:c r="P185" s="24" t="str">
        <x:v>Mixed Type I and Type II; ratio unverified</x:v>
      </x:c>
      <x:c r="Q185" s="24" t="str">
        <x:v>Published biopsies insufficient to state a reliable per-muscle percentage; no inference from function</x:v>
      </x:c>
      <x:c r="R185" s="24" t="str">
        <x:v>https://www.kenhub.com/en/library/anatomy/anatomy-of-the-back-spine-and-back-muscles</x:v>
      </x:c>
      <x:c r="S185" s="24" t="str">
        <x:v>https://pubmed.ncbi.nlm.nih.gov/39359186/</x:v>
      </x:c>
    </x:row>
    <x:row r="186" ht="46" customHeight="1">
      <x:c r="A186" s="24" t="str">
        <x:v>Omohyoid inferior belly</x:v>
      </x:c>
      <x:c r="B186" s="24" t="str">
        <x:v>Infrahyoid strap</x:v>
      </x:c>
      <x:c r="C186" s="24" t="str">
        <x:v>Stabilizer</x:v>
      </x:c>
      <x:c r="D186" s="24" t="str">
        <x:v>No</x:v>
      </x:c>
      <x:c r="E186" s="24" t="str">
        <x:v>No</x:v>
      </x:c>
      <x:c r="F186" s="24" t="str">
        <x:v>Yes</x:v>
      </x:c>
      <x:c r="G186" s="24" t="str">
        <x:v>Depresses hyoid, tensions cervical fascia</x:v>
      </x:c>
      <x:c r="H186" s="24" t="str">
        <x:v>Superior border of scapula near suprascapular notch</x:v>
      </x:c>
      <x:c r="I186" s="24" t="str">
        <x:v>Intermediate tendon</x:v>
      </x:c>
      <x:c r="J186" s="24" t="str">
        <x:v>Ansa cervicalis</x:v>
      </x:c>
      <x:c r="K186" s="24" t="str">
        <x:v>C1-C3</x:v>
      </x:c>
      <x:c r="L186" s="24" t="str">
        <x:v>Intermediate omohyoid tendon</x:v>
      </x:c>
      <x:c r="M186" s="24" t="str">
        <x:v>Superior transverse scapular ligament near origin (bridges notch)</x:v>
      </x:c>
      <x:c r="N186" s="24" t="str">
        <x:v>Not established</x:v>
      </x:c>
      <x:c r="O186" s="24" t="str">
        <x:v>Not established</x:v>
      </x:c>
      <x:c r="P186" s="24" t="str">
        <x:v>Mixed Type I and Type II; ratio unverified</x:v>
      </x:c>
      <x:c r="Q186" s="24" t="str">
        <x:v>Published biopsies insufficient to state a reliable per-muscle percentage; no inference from function</x:v>
      </x:c>
      <x:c r="R186" s="24" t="str">
        <x:v>https://www.kenhub.com/en/library/anatomy/anatomy-of-the-back-spine-and-back-muscles</x:v>
      </x:c>
      <x:c r="S186" s="24" t="str">
        <x:v>https://pubmed.ncbi.nlm.nih.gov/39359186/</x:v>
      </x:c>
    </x:row>
    <x:row r="187" ht="46" customHeight="1">
      <x:c r="A187" s="24" t="str">
        <x:v>Omohyoid superior belly</x:v>
      </x:c>
      <x:c r="B187" s="24" t="str">
        <x:v>Infrahyoid strap</x:v>
      </x:c>
      <x:c r="C187" s="24" t="str">
        <x:v>Stabilizer</x:v>
      </x:c>
      <x:c r="D187" s="24" t="str">
        <x:v>No</x:v>
      </x:c>
      <x:c r="E187" s="24" t="str">
        <x:v>No</x:v>
      </x:c>
      <x:c r="F187" s="24" t="str">
        <x:v>Yes</x:v>
      </x:c>
      <x:c r="G187" s="24" t="str">
        <x:v>Depresses/retracts hyoid</x:v>
      </x:c>
      <x:c r="H187" s="24" t="str">
        <x:v>Intermediate tendon tethered by fascial sling</x:v>
      </x:c>
      <x:c r="I187" s="24" t="str">
        <x:v>Inferior hyoid body</x:v>
      </x:c>
      <x:c r="J187" s="24" t="str">
        <x:v>Ansa cervicalis</x:v>
      </x:c>
      <x:c r="K187" s="24" t="str">
        <x:v>C1-C3</x:v>
      </x:c>
      <x:c r="L187" s="24" t="str">
        <x:v>Intermediate omohyoid tendon</x:v>
      </x:c>
      <x:c r="M187" s="24" t="str">
        <x:v>Intermediate tendon fascial sling attached to clavicle</x:v>
      </x:c>
      <x:c r="N187" s="24" t="str">
        <x:v>Not established</x:v>
      </x:c>
      <x:c r="O187" s="24" t="str">
        <x:v>Not established</x:v>
      </x:c>
      <x:c r="P187" s="24" t="str">
        <x:v>Mixed Type I and Type II; ratio unverified</x:v>
      </x:c>
      <x:c r="Q187" s="24" t="str">
        <x:v>Published biopsies insufficient to state a reliable per-muscle percentage; no inference from function</x:v>
      </x:c>
      <x:c r="R187" s="24" t="str">
        <x:v>https://www.kenhub.com/en/library/anatomy/anatomy-of-the-back-spine-and-back-muscles</x:v>
      </x:c>
      <x:c r="S187" s="24" t="str">
        <x:v>https://pubmed.ncbi.nlm.nih.gov/39359186/</x:v>
      </x:c>
    </x:row>
    <x:row r="188" ht="46" customHeight="1">
      <x:c r="A188" s="24" t="str">
        <x:v>Sternohyoid</x:v>
      </x:c>
      <x:c r="B188" s="24" t="str">
        <x:v>Infrahyoid strap</x:v>
      </x:c>
      <x:c r="C188" s="24" t="str">
        <x:v>Stabilizer</x:v>
      </x:c>
      <x:c r="D188" s="24" t="str">
        <x:v>No</x:v>
      </x:c>
      <x:c r="E188" s="24" t="str">
        <x:v>No</x:v>
      </x:c>
      <x:c r="F188" s="24" t="str">
        <x:v>Yes</x:v>
      </x:c>
      <x:c r="G188" s="24" t="str">
        <x:v>Depresses hyoid after swallowing</x:v>
      </x:c>
      <x:c r="H188" s="24" t="str">
        <x:v>Posterior manubrium; medial clavicle; sternoclavicular ligament</x:v>
      </x:c>
      <x:c r="I188" s="24" t="str">
        <x:v>Body hyoid bone</x:v>
      </x:c>
      <x:c r="J188" s="24" t="str">
        <x:v>Ansa cervicalis</x:v>
      </x:c>
      <x:c r="K188" s="24" t="str">
        <x:v>C1-C3</x:v>
      </x:c>
      <x:c r="L188" s="24" t="str">
        <x:v>Short hyoid tendon</x:v>
      </x:c>
      <x:c r="M188" s="24" t="str">
        <x:v>Sternoclavicular ligament may be origin</x:v>
      </x:c>
      <x:c r="N188" s="24" t="str">
        <x:v>Not established</x:v>
      </x:c>
      <x:c r="O188" s="24" t="str">
        <x:v>Not established</x:v>
      </x:c>
      <x:c r="P188" s="24" t="str">
        <x:v>Mixed Type I and Type II; ratio unverified</x:v>
      </x:c>
      <x:c r="Q188" s="24" t="str">
        <x:v>Published biopsies insufficient to state a reliable per-muscle percentage; no inference from function</x:v>
      </x:c>
      <x:c r="R188" s="24" t="str">
        <x:v>https://www.kenhub.com/en/library/anatomy/anatomy-of-the-back-spine-and-back-muscles</x:v>
      </x:c>
      <x:c r="S188" s="24" t="str">
        <x:v>https://pubmed.ncbi.nlm.nih.gov/39359186/</x:v>
      </x:c>
    </x:row>
    <x:row r="189" ht="46" customHeight="1">
      <x:c r="A189" s="24" t="str">
        <x:v>Sternothyroid</x:v>
      </x:c>
      <x:c r="B189" s="24" t="str">
        <x:v>Infrahyoid strap</x:v>
      </x:c>
      <x:c r="C189" s="24" t="str">
        <x:v>Stabilizer</x:v>
      </x:c>
      <x:c r="D189" s="24" t="str">
        <x:v>No</x:v>
      </x:c>
      <x:c r="E189" s="24" t="str">
        <x:v>No</x:v>
      </x:c>
      <x:c r="F189" s="24" t="str">
        <x:v>Yes</x:v>
      </x:c>
      <x:c r="G189" s="24" t="str">
        <x:v>Depresses larynx</x:v>
      </x:c>
      <x:c r="H189" s="24" t="str">
        <x:v>Posterior manubrium and first costal cartilage</x:v>
      </x:c>
      <x:c r="I189" s="24" t="str">
        <x:v>Oblique line of thyroid cartilage</x:v>
      </x:c>
      <x:c r="J189" s="24" t="str">
        <x:v>Ansa cervicalis</x:v>
      </x:c>
      <x:c r="K189" s="24" t="str">
        <x:v>C2-C3</x:v>
      </x:c>
      <x:c r="L189" s="24" t="str">
        <x:v>Short thyrocartilage tendon</x:v>
      </x:c>
      <x:c r="M189" s="24" t="str">
        <x:v>No specific direct ligament attachment</x:v>
      </x:c>
      <x:c r="N189" s="24" t="str">
        <x:v>Not established</x:v>
      </x:c>
      <x:c r="O189" s="24" t="str">
        <x:v>Not established</x:v>
      </x:c>
      <x:c r="P189" s="24" t="str">
        <x:v>Mixed Type I and Type II; ratio unverified</x:v>
      </x:c>
      <x:c r="Q189" s="24" t="str">
        <x:v>Published biopsies insufficient to state a reliable per-muscle percentage; no inference from function</x:v>
      </x:c>
      <x:c r="R189" s="24" t="str">
        <x:v>https://www.kenhub.com/en/library/anatomy/anatomy-of-the-back-spine-and-back-muscles</x:v>
      </x:c>
      <x:c r="S189" s="24" t="str">
        <x:v>https://pubmed.ncbi.nlm.nih.gov/39359186/</x:v>
      </x:c>
    </x:row>
    <x:row r="190" ht="46" customHeight="1">
      <x:c r="A190" s="24" t="str">
        <x:v>Thyrohyoid</x:v>
      </x:c>
      <x:c r="B190" s="24" t="str">
        <x:v>Infrahyoid strap</x:v>
      </x:c>
      <x:c r="C190" s="24" t="str">
        <x:v>Stabilizer</x:v>
      </x:c>
      <x:c r="D190" s="24" t="str">
        <x:v>No</x:v>
      </x:c>
      <x:c r="E190" s="24" t="str">
        <x:v>No</x:v>
      </x:c>
      <x:c r="F190" s="24" t="str">
        <x:v>Yes</x:v>
      </x:c>
      <x:c r="G190" s="24" t="str">
        <x:v>Depresses hyoid or elevates larynx</x:v>
      </x:c>
      <x:c r="H190" s="24" t="str">
        <x:v>Oblique line of thyroid cartilage</x:v>
      </x:c>
      <x:c r="I190" s="24" t="str">
        <x:v>Body/greater horn hyoid bone</x:v>
      </x:c>
      <x:c r="J190" s="24" t="str">
        <x:v>C1 fibers traveling with hypoglossal nerve</x:v>
      </x:c>
      <x:c r="K190" s="24" t="str">
        <x:v>C1 (via CN XII)</x:v>
      </x:c>
      <x:c r="L190" s="24" t="str">
        <x:v>Thyrohyoid short tendon</x:v>
      </x:c>
      <x:c r="M190" s="24" t="str">
        <x:v>Thyrohyoid membrane adjacent</x:v>
      </x:c>
      <x:c r="N190" s="24" t="str">
        <x:v>Not established</x:v>
      </x:c>
      <x:c r="O190" s="24" t="str">
        <x:v>Not established</x:v>
      </x:c>
      <x:c r="P190" s="24" t="str">
        <x:v>Mixed Type I and Type II; ratio unverified</x:v>
      </x:c>
      <x:c r="Q190" s="24" t="str">
        <x:v>Published biopsies insufficient to state a reliable per-muscle percentage; no inference from function</x:v>
      </x:c>
      <x:c r="R190" s="24" t="str">
        <x:v>https://www.kenhub.com/en/library/anatomy/anatomy-of-the-back-spine-and-back-muscles</x:v>
      </x:c>
      <x:c r="S190" s="24" t="str">
        <x:v>https://pubmed.ncbi.nlm.nih.gov/39359186/</x:v>
      </x:c>
    </x:row>
    <x:row r="191" ht="46" customHeight="1">
      <x:c r="A191" s="24" t="str">
        <x:v>Anterior scalene</x:v>
      </x:c>
      <x:c r="B191" s="24" t="str">
        <x:v>Lateral neck</x:v>
      </x:c>
      <x:c r="C191" s="24" t="str">
        <x:v>Flexor; Stabilizer</x:v>
      </x:c>
      <x:c r="D191" s="24" t="str">
        <x:v>Yes</x:v>
      </x:c>
      <x:c r="E191" s="24" t="str">
        <x:v>No</x:v>
      </x:c>
      <x:c r="F191" s="24" t="str">
        <x:v>Yes</x:v>
      </x:c>
      <x:c r="G191" s="24" t="str">
        <x:v>Flexes/laterally flexes neck; elevates rib 1</x:v>
      </x:c>
      <x:c r="H191" s="24" t="str">
        <x:v>Anterior tubercles transverse processes C3-C6</x:v>
      </x:c>
      <x:c r="I191" s="24" t="str">
        <x:v>Scalene tubercle first rib</x:v>
      </x:c>
      <x:c r="J191" s="24" t="str">
        <x:v>Anterior rami cervical spinal nerves</x:v>
      </x:c>
      <x:c r="K191" s="24" t="str">
        <x:v>C4-C6</x:v>
      </x:c>
      <x:c r="L191" s="24" t="str">
        <x:v>Scalene insertion tendon</x:v>
      </x:c>
      <x:c r="M191" s="24" t="str">
        <x:v>Costoclavicular ligament near first rib but distinct attachment</x:v>
      </x:c>
      <x:c r="N191" s="24" t="str">
        <x:v>Not established</x:v>
      </x:c>
      <x:c r="O191" s="24" t="str">
        <x:v>Not established</x:v>
      </x:c>
      <x:c r="P191" s="24" t="str">
        <x:v>Mixed Type I and Type II; ratio unverified</x:v>
      </x:c>
      <x:c r="Q191" s="24" t="str">
        <x:v>Published biopsies insufficient to state a reliable per-muscle percentage; no inference from function</x:v>
      </x:c>
      <x:c r="R191" s="24" t="str">
        <x:v>https://www.kenhub.com/en/library/anatomy/anatomy-of-the-back-spine-and-back-muscles</x:v>
      </x:c>
      <x:c r="S191" s="24" t="str">
        <x:v>https://pubmed.ncbi.nlm.nih.gov/39359186/</x:v>
      </x:c>
    </x:row>
    <x:row r="192" ht="46" customHeight="1">
      <x:c r="A192" s="24" t="str">
        <x:v>Middle scalene</x:v>
      </x:c>
      <x:c r="B192" s="24" t="str">
        <x:v>Lateral neck</x:v>
      </x:c>
      <x:c r="C192" s="24" t="str">
        <x:v>Stabilizer</x:v>
      </x:c>
      <x:c r="D192" s="24" t="str">
        <x:v>No</x:v>
      </x:c>
      <x:c r="E192" s="24" t="str">
        <x:v>No</x:v>
      </x:c>
      <x:c r="F192" s="24" t="str">
        <x:v>Yes</x:v>
      </x:c>
      <x:c r="G192" s="24" t="str">
        <x:v>Laterally flexes neck; elevates rib 1</x:v>
      </x:c>
      <x:c r="H192" s="24" t="str">
        <x:v>Posterior tubercles transverse processes C2-C7</x:v>
      </x:c>
      <x:c r="I192" s="24" t="str">
        <x:v>Superior surface first rib posterior to subclavian groove</x:v>
      </x:c>
      <x:c r="J192" s="24" t="str">
        <x:v>Anterior rami cervical spinal nerves</x:v>
      </x:c>
      <x:c r="K192" s="24" t="str">
        <x:v>C3-C8</x:v>
      </x:c>
      <x:c r="L192" s="24" t="str">
        <x:v>Costal insertion tendon</x:v>
      </x:c>
      <x:c r="M192" s="24" t="str">
        <x:v>Costotransverse ligaments near rib origin region</x:v>
      </x:c>
      <x:c r="N192" s="24" t="str">
        <x:v>Not established</x:v>
      </x:c>
      <x:c r="O192" s="24" t="str">
        <x:v>Not established</x:v>
      </x:c>
      <x:c r="P192" s="24" t="str">
        <x:v>Mixed Type I and Type II; ratio unverified</x:v>
      </x:c>
      <x:c r="Q192" s="24" t="str">
        <x:v>Published biopsies insufficient to state a reliable per-muscle percentage; no inference from function</x:v>
      </x:c>
      <x:c r="R192" s="24" t="str">
        <x:v>https://www.kenhub.com/en/library/anatomy/anatomy-of-the-back-spine-and-back-muscles</x:v>
      </x:c>
      <x:c r="S192" s="24" t="str">
        <x:v>https://pubmed.ncbi.nlm.nih.gov/39359186/</x:v>
      </x:c>
    </x:row>
    <x:row r="193" ht="46" customHeight="1">
      <x:c r="A193" s="24" t="str">
        <x:v>Posterior scalene</x:v>
      </x:c>
      <x:c r="B193" s="24" t="str">
        <x:v>Lateral neck</x:v>
      </x:c>
      <x:c r="C193" s="24" t="str">
        <x:v>Stabilizer</x:v>
      </x:c>
      <x:c r="D193" s="24" t="str">
        <x:v>No</x:v>
      </x:c>
      <x:c r="E193" s="24" t="str">
        <x:v>No</x:v>
      </x:c>
      <x:c r="F193" s="24" t="str">
        <x:v>Yes</x:v>
      </x:c>
      <x:c r="G193" s="24" t="str">
        <x:v>Laterally flexes neck; elevates rib 2</x:v>
      </x:c>
      <x:c r="H193" s="24" t="str">
        <x:v>Posterior tubercles transverse processes C4-C6</x:v>
      </x:c>
      <x:c r="I193" s="24" t="str">
        <x:v>Outer second rib</x:v>
      </x:c>
      <x:c r="J193" s="24" t="str">
        <x:v>Anterior rami cervical spinal nerves</x:v>
      </x:c>
      <x:c r="K193" s="24" t="str">
        <x:v>C6-C8</x:v>
      </x:c>
      <x:c r="L193" s="24" t="str">
        <x:v>Costal insertion tendon</x:v>
      </x:c>
      <x:c r="M193" s="24" t="str">
        <x:v>No specific direct ligament attachment</x:v>
      </x:c>
      <x:c r="N193" s="24" t="str">
        <x:v>Not established</x:v>
      </x:c>
      <x:c r="O193" s="24" t="str">
        <x:v>Not established</x:v>
      </x:c>
      <x:c r="P193" s="24" t="str">
        <x:v>Mixed Type I and Type II; ratio unverified</x:v>
      </x:c>
      <x:c r="Q193" s="24" t="str">
        <x:v>Published biopsies insufficient to state a reliable per-muscle percentage; no inference from function</x:v>
      </x:c>
      <x:c r="R193" s="24" t="str">
        <x:v>https://www.kenhub.com/en/library/anatomy/anatomy-of-the-back-spine-and-back-muscles</x:v>
      </x:c>
      <x:c r="S193" s="24" t="str">
        <x:v>https://pubmed.ncbi.nlm.nih.gov/39359186/</x:v>
      </x:c>
    </x:row>
    <x:row r="194" ht="46" customHeight="1">
      <x:c r="A194" s="24" t="str">
        <x:v>Scalenus minimus (variable)</x:v>
      </x:c>
      <x:c r="B194" s="24" t="str">
        <x:v>Lateral neck accessory</x:v>
      </x:c>
      <x:c r="C194" s="24" t="str">
        <x:v>Stabilizer</x:v>
      </x:c>
      <x:c r="D194" s="24" t="str">
        <x:v>No</x:v>
      </x:c>
      <x:c r="E194" s="24" t="str">
        <x:v>No</x:v>
      </x:c>
      <x:c r="F194" s="24" t="str">
        <x:v>Yes</x:v>
      </x:c>
      <x:c r="G194" s="24" t="str">
        <x:v>Accessory rib elevation, pleural dome tension</x:v>
      </x:c>
      <x:c r="H194" s="24" t="str">
        <x:v>Transverse processes C6-C7</x:v>
      </x:c>
      <x:c r="I194" s="24" t="str">
        <x:v>First rib / pleural dome (suprapleural membrane)</x:v>
      </x:c>
      <x:c r="J194" s="24" t="str">
        <x:v>Anterior rami cervical nerves</x:v>
      </x:c>
      <x:c r="K194" s="24" t="str">
        <x:v>C7-C8 (variable)</x:v>
      </x:c>
      <x:c r="L194" s="24" t="str">
        <x:v>Short fibrous slip to first rib</x:v>
      </x:c>
      <x:c r="M194" s="24" t="str">
        <x:v>Sibson fascia/suprapleural membrane related; frequently absent</x:v>
      </x:c>
      <x:c r="N194" s="24" t="str">
        <x:v>Not established</x:v>
      </x:c>
      <x:c r="O194" s="24" t="str">
        <x:v>Not established</x:v>
      </x:c>
      <x:c r="P194" s="24" t="str">
        <x:v>Mixed Type I and Type II; ratio unverified</x:v>
      </x:c>
      <x:c r="Q194" s="24" t="str">
        <x:v>Published biopsies insufficient to state a reliable per-muscle percentage; no inference from function</x:v>
      </x:c>
      <x:c r="R194" s="24" t="str">
        <x:v>https://www.kenhub.com/en/library/anatomy/anatomy-of-the-back-spine-and-back-muscles</x:v>
      </x:c>
      <x:c r="S194" s="24" t="str">
        <x:v>https://pubmed.ncbi.nlm.nih.gov/39359186/</x:v>
      </x:c>
    </x:row>
    <x:row r="195" ht="46" customHeight="1">
      <x:c r="A195" s="24" t="str">
        <x:v>Splenius capitis</x:v>
      </x:c>
      <x:c r="B195" s="24" t="str">
        <x:v>Posterior neck superficial intrinsic</x:v>
      </x:c>
      <x:c r="C195" s="24" t="str">
        <x:v>Extensor; Stabilizer</x:v>
      </x:c>
      <x:c r="D195" s="24" t="str">
        <x:v>No</x:v>
      </x:c>
      <x:c r="E195" s="24" t="str">
        <x:v>Yes</x:v>
      </x:c>
      <x:c r="F195" s="24" t="str">
        <x:v>Yes</x:v>
      </x:c>
      <x:c r="G195" s="24" t="str">
        <x:v>Extends head; ipsilateral rotation/lateral flexion</x:v>
      </x:c>
      <x:c r="H195" s="24" t="str">
        <x:v>Lower nuchal ligament and spinous processes C7-T3/4</x:v>
      </x:c>
      <x:c r="I195" s="24" t="str">
        <x:v>Mastoid process and lateral superior nuchal line</x:v>
      </x:c>
      <x:c r="J195" s="24" t="str">
        <x:v>Posterior rami cervical spinal nerves</x:v>
      </x:c>
      <x:c r="K195" s="24" t="str">
        <x:v>C3-C6 (variable)</x:v>
      </x:c>
      <x:c r="L195" s="24" t="str">
        <x:v>Flat occipital/mastoid insertion tendon</x:v>
      </x:c>
      <x:c r="M195" s="24" t="str">
        <x:v>Nuchal ligament direct origin</x:v>
      </x:c>
      <x:c r="N195" s="24" t="str">
        <x:v>Not established</x:v>
      </x:c>
      <x:c r="O195" s="24" t="str">
        <x:v>Not established</x:v>
      </x:c>
      <x:c r="P195" s="24" t="str">
        <x:v>Mixed Type I and Type II; ratio unverified</x:v>
      </x:c>
      <x:c r="Q195" s="24" t="str">
        <x:v>Published biopsies insufficient to state a reliable per-muscle percentage; no inference from function</x:v>
      </x:c>
      <x:c r="R195" s="24" t="str">
        <x:v>https://www.kenhub.com/en/library/anatomy/anatomy-of-the-back-spine-and-back-muscles</x:v>
      </x:c>
      <x:c r="S195" s="24" t="str">
        <x:v>https://pubmed.ncbi.nlm.nih.gov/39359186/</x:v>
      </x:c>
    </x:row>
    <x:row r="196" ht="46" customHeight="1">
      <x:c r="A196" s="24" t="str">
        <x:v>Splenius cervicis</x:v>
      </x:c>
      <x:c r="B196" s="24" t="str">
        <x:v>Posterior neck superficial intrinsic</x:v>
      </x:c>
      <x:c r="C196" s="24" t="str">
        <x:v>Extensor; Stabilizer</x:v>
      </x:c>
      <x:c r="D196" s="24" t="str">
        <x:v>No</x:v>
      </x:c>
      <x:c r="E196" s="24" t="str">
        <x:v>Yes</x:v>
      </x:c>
      <x:c r="F196" s="24" t="str">
        <x:v>Yes</x:v>
      </x:c>
      <x:c r="G196" s="24" t="str">
        <x:v>Extends/ipsilaterally rotates cervical spine</x:v>
      </x:c>
      <x:c r="H196" s="24" t="str">
        <x:v>Spinous processes T3-T6</x:v>
      </x:c>
      <x:c r="I196" s="24" t="str">
        <x:v>Posterior tubercles transverse processes C1-C3/4</x:v>
      </x:c>
      <x:c r="J196" s="24" t="str">
        <x:v>Posterior rami cervical spinal nerves</x:v>
      </x:c>
      <x:c r="K196" s="24" t="str">
        <x:v>C5-C8 (segmental)</x:v>
      </x:c>
      <x:c r="L196" s="24" t="str">
        <x:v>Small fascicular tendons</x:v>
      </x:c>
      <x:c r="M196" s="24" t="str">
        <x:v>Nuchal ligament near superior fascicles</x:v>
      </x:c>
      <x:c r="N196" s="24" t="str">
        <x:v>Not established</x:v>
      </x:c>
      <x:c r="O196" s="24" t="str">
        <x:v>Not established</x:v>
      </x:c>
      <x:c r="P196" s="24" t="str">
        <x:v>Mixed Type I and Type II; ratio unverified</x:v>
      </x:c>
      <x:c r="Q196" s="24" t="str">
        <x:v>Published biopsies insufficient to state a reliable per-muscle percentage; no inference from function</x:v>
      </x:c>
      <x:c r="R196" s="24" t="str">
        <x:v>https://www.kenhub.com/en/library/anatomy/anatomy-of-the-back-spine-and-back-muscles</x:v>
      </x:c>
      <x:c r="S196" s="24" t="str">
        <x:v>https://pubmed.ncbi.nlm.nih.gov/39359186/</x:v>
      </x:c>
    </x:row>
    <x:row r="197" ht="46" customHeight="1">
      <x:c r="A197" s="24" t="str">
        <x:v>Rectus capitis anterior</x:v>
      </x:c>
      <x:c r="B197" s="24" t="str">
        <x:v>Prevertebral</x:v>
      </x:c>
      <x:c r="C197" s="24" t="str">
        <x:v>Flexor; Stabilizer</x:v>
      </x:c>
      <x:c r="D197" s="24" t="str">
        <x:v>Yes</x:v>
      </x:c>
      <x:c r="E197" s="24" t="str">
        <x:v>No</x:v>
      </x:c>
      <x:c r="F197" s="24" t="str">
        <x:v>Yes</x:v>
      </x:c>
      <x:c r="G197" s="24" t="str">
        <x:v>Flexes/stabilizes head</x:v>
      </x:c>
      <x:c r="H197" s="24" t="str">
        <x:v>Lateral mass/anterior transverse process C1</x:v>
      </x:c>
      <x:c r="I197" s="24" t="str">
        <x:v>Basilar occipital bone anterior to condyle</x:v>
      </x:c>
      <x:c r="J197" s="24" t="str">
        <x:v>Anterior rami C1-C2</x:v>
      </x:c>
      <x:c r="K197" s="24" t="str">
        <x:v>C1-C2</x:v>
      </x:c>
      <x:c r="L197" s="24" t="str">
        <x:v>Short cranial insertion tendon</x:v>
      </x:c>
      <x:c r="M197" s="24" t="str">
        <x:v>Anterior atlanto-occipital membrane adjacent</x:v>
      </x:c>
      <x:c r="N197" s="24" t="str">
        <x:v>Not established</x:v>
      </x:c>
      <x:c r="O197" s="24" t="str">
        <x:v>Not established</x:v>
      </x:c>
      <x:c r="P197" s="24" t="str">
        <x:v>Mixed Type I and Type II; ratio unverified</x:v>
      </x:c>
      <x:c r="Q197" s="24" t="str">
        <x:v>Published biopsies insufficient to state a reliable per-muscle percentage; no inference from function</x:v>
      </x:c>
      <x:c r="R197" s="24" t="str">
        <x:v>https://www.kenhub.com/en/library/anatomy/anatomy-of-the-back-spine-and-back-muscles</x:v>
      </x:c>
      <x:c r="S197" s="24" t="str">
        <x:v>https://pubmed.ncbi.nlm.nih.gov/39359186/</x:v>
      </x:c>
    </x:row>
    <x:row r="198" ht="46" customHeight="1">
      <x:c r="A198" s="24" t="str">
        <x:v>Rectus capitis lateralis</x:v>
      </x:c>
      <x:c r="B198" s="24" t="str">
        <x:v>Prevertebral</x:v>
      </x:c>
      <x:c r="C198" s="24" t="str">
        <x:v>Stabilizer</x:v>
      </x:c>
      <x:c r="D198" s="24" t="str">
        <x:v>No</x:v>
      </x:c>
      <x:c r="E198" s="24" t="str">
        <x:v>No</x:v>
      </x:c>
      <x:c r="F198" s="24" t="str">
        <x:v>Yes</x:v>
      </x:c>
      <x:c r="G198" s="24" t="str">
        <x:v>Lateral flexion and head stabilization</x:v>
      </x:c>
      <x:c r="H198" s="24" t="str">
        <x:v>Transverse process C1</x:v>
      </x:c>
      <x:c r="I198" s="24" t="str">
        <x:v>Jugular process occipital bone</x:v>
      </x:c>
      <x:c r="J198" s="24" t="str">
        <x:v>Anterior rami C1-C2</x:v>
      </x:c>
      <x:c r="K198" s="24" t="str">
        <x:v>C1-C2</x:v>
      </x:c>
      <x:c r="L198" s="24" t="str">
        <x:v>Short cranial insertion tendon</x:v>
      </x:c>
      <x:c r="M198" s="24" t="str">
        <x:v>Lateral atlanto-occipital ligament adjacent</x:v>
      </x:c>
      <x:c r="N198" s="24" t="str">
        <x:v>Not established</x:v>
      </x:c>
      <x:c r="O198" s="24" t="str">
        <x:v>Not established</x:v>
      </x:c>
      <x:c r="P198" s="24" t="str">
        <x:v>Mixed Type I and Type II; ratio unverified</x:v>
      </x:c>
      <x:c r="Q198" s="24" t="str">
        <x:v>Published biopsies insufficient to state a reliable per-muscle percentage; no inference from function</x:v>
      </x:c>
      <x:c r="R198" s="24" t="str">
        <x:v>https://www.kenhub.com/en/library/anatomy/anatomy-of-the-back-spine-and-back-muscles</x:v>
      </x:c>
      <x:c r="S198" s="24" t="str">
        <x:v>https://pubmed.ncbi.nlm.nih.gov/39359186/</x:v>
      </x:c>
    </x:row>
    <x:row r="199" ht="46" customHeight="1">
      <x:c r="A199" s="24" t="str">
        <x:v>Obliquus capitis inferior</x:v>
      </x:c>
      <x:c r="B199" s="24" t="str">
        <x:v>Suboccipital</x:v>
      </x:c>
      <x:c r="C199" s="24" t="str">
        <x:v>Stabilizer</x:v>
      </x:c>
      <x:c r="D199" s="24" t="str">
        <x:v>No</x:v>
      </x:c>
      <x:c r="E199" s="24" t="str">
        <x:v>No</x:v>
      </x:c>
      <x:c r="F199" s="24" t="str">
        <x:v>Yes</x:v>
      </x:c>
      <x:c r="G199" s="24" t="str">
        <x:v>Rotates atlas/head ipsilaterally</x:v>
      </x:c>
      <x:c r="H199" s="24" t="str">
        <x:v>Spinous process C2</x:v>
      </x:c>
      <x:c r="I199" s="24" t="str">
        <x:v>Transverse process C1</x:v>
      </x:c>
      <x:c r="J199" s="24" t="str">
        <x:v>Suboccipital nerve (posterior ramus C1)</x:v>
      </x:c>
      <x:c r="K199" s="24" t="str">
        <x:v>C1</x:v>
      </x:c>
      <x:c r="L199" s="24" t="str">
        <x:v>Short C1 transverse process insertion tendon</x:v>
      </x:c>
      <x:c r="M199" s="24" t="str">
        <x:v>Posterior atlanto-axial membrane nearby</x:v>
      </x:c>
      <x:c r="N199" s="24" t="str">
        <x:v>Not established</x:v>
      </x:c>
      <x:c r="O199" s="24" t="str">
        <x:v>Not established</x:v>
      </x:c>
      <x:c r="P199" s="24" t="str">
        <x:v>Mixed Type I and Type II; ratio unverified</x:v>
      </x:c>
      <x:c r="Q199" s="24" t="str">
        <x:v>Published biopsies insufficient to state a reliable per-muscle percentage; no inference from function</x:v>
      </x:c>
      <x:c r="R199" s="24" t="str">
        <x:v>https://www.kenhub.com/en/library/anatomy/anatomy-of-the-back-spine-and-back-muscles</x:v>
      </x:c>
      <x:c r="S199" s="24" t="str">
        <x:v>https://pubmed.ncbi.nlm.nih.gov/39359186/</x:v>
      </x:c>
    </x:row>
    <x:row r="200" ht="46" customHeight="1">
      <x:c r="A200" s="24" t="str">
        <x:v>Obliquus capitis superior</x:v>
      </x:c>
      <x:c r="B200" s="24" t="str">
        <x:v>Suboccipital</x:v>
      </x:c>
      <x:c r="C200" s="24" t="str">
        <x:v>Extensor; Stabilizer</x:v>
      </x:c>
      <x:c r="D200" s="24" t="str">
        <x:v>No</x:v>
      </x:c>
      <x:c r="E200" s="24" t="str">
        <x:v>Yes</x:v>
      </x:c>
      <x:c r="F200" s="24" t="str">
        <x:v>Yes</x:v>
      </x:c>
      <x:c r="G200" s="24" t="str">
        <x:v>Extends and laterally flexes head</x:v>
      </x:c>
      <x:c r="H200" s="24" t="str">
        <x:v>Transverse process C1</x:v>
      </x:c>
      <x:c r="I200" s="24" t="str">
        <x:v>Occipital bone between superior and inferior nuchal lines</x:v>
      </x:c>
      <x:c r="J200" s="24" t="str">
        <x:v>Suboccipital nerve (posterior ramus C1)</x:v>
      </x:c>
      <x:c r="K200" s="24" t="str">
        <x:v>C1</x:v>
      </x:c>
      <x:c r="L200" s="24" t="str">
        <x:v>Short occipital insertion tendon</x:v>
      </x:c>
      <x:c r="M200" s="24" t="str">
        <x:v>Posterior atlanto-occipital membrane adjacent</x:v>
      </x:c>
      <x:c r="N200" s="24" t="str">
        <x:v>Not established</x:v>
      </x:c>
      <x:c r="O200" s="24" t="str">
        <x:v>Not established</x:v>
      </x:c>
      <x:c r="P200" s="24" t="str">
        <x:v>Mixed Type I and Type II; ratio unverified</x:v>
      </x:c>
      <x:c r="Q200" s="24" t="str">
        <x:v>Published biopsies insufficient to state a reliable per-muscle percentage; no inference from function</x:v>
      </x:c>
      <x:c r="R200" s="24" t="str">
        <x:v>https://www.kenhub.com/en/library/anatomy/anatomy-of-the-back-spine-and-back-muscles</x:v>
      </x:c>
      <x:c r="S200" s="24" t="str">
        <x:v>https://pubmed.ncbi.nlm.nih.gov/39359186/</x:v>
      </x:c>
    </x:row>
    <x:row r="201" ht="46" customHeight="1">
      <x:c r="A201" s="24" t="str">
        <x:v>Rectus capitis posterior major</x:v>
      </x:c>
      <x:c r="B201" s="24" t="str">
        <x:v>Suboccipital</x:v>
      </x:c>
      <x:c r="C201" s="24" t="str">
        <x:v>Extensor; Stabilizer</x:v>
      </x:c>
      <x:c r="D201" s="24" t="str">
        <x:v>No</x:v>
      </x:c>
      <x:c r="E201" s="24" t="str">
        <x:v>Yes</x:v>
      </x:c>
      <x:c r="F201" s="24" t="str">
        <x:v>Yes</x:v>
      </x:c>
      <x:c r="G201" s="24" t="str">
        <x:v>Extends and ipsilaterally rotates head</x:v>
      </x:c>
      <x:c r="H201" s="24" t="str">
        <x:v>Spinous process C2</x:v>
      </x:c>
      <x:c r="I201" s="24" t="str">
        <x:v>Lateral inferior nuchal line occiput</x:v>
      </x:c>
      <x:c r="J201" s="24" t="str">
        <x:v>Suboccipital nerve (posterior ramus C1)</x:v>
      </x:c>
      <x:c r="K201" s="24" t="str">
        <x:v>C1</x:v>
      </x:c>
      <x:c r="L201" s="24" t="str">
        <x:v>Occipital insertion tendon</x:v>
      </x:c>
      <x:c r="M201" s="24" t="str">
        <x:v>Posterior atlanto-occipital membrane nearby</x:v>
      </x:c>
      <x:c r="N201" s="24" t="str">
        <x:v>Not established</x:v>
      </x:c>
      <x:c r="O201" s="24" t="str">
        <x:v>Not established</x:v>
      </x:c>
      <x:c r="P201" s="24" t="str">
        <x:v>Mixed Type I and Type II; ratio unverified</x:v>
      </x:c>
      <x:c r="Q201" s="24" t="str">
        <x:v>Published biopsies insufficient to state a reliable per-muscle percentage; no inference from function</x:v>
      </x:c>
      <x:c r="R201" s="24" t="str">
        <x:v>https://www.kenhub.com/en/library/anatomy/anatomy-of-the-back-spine-and-back-muscles</x:v>
      </x:c>
      <x:c r="S201" s="24" t="str">
        <x:v>https://pubmed.ncbi.nlm.nih.gov/39359186/</x:v>
      </x:c>
    </x:row>
    <x:row r="202" ht="46" customHeight="1">
      <x:c r="A202" s="24" t="str">
        <x:v>Rectus capitis posterior minor</x:v>
      </x:c>
      <x:c r="B202" s="24" t="str">
        <x:v>Suboccipital</x:v>
      </x:c>
      <x:c r="C202" s="24" t="str">
        <x:v>Extensor; Stabilizer</x:v>
      </x:c>
      <x:c r="D202" s="24" t="str">
        <x:v>No</x:v>
      </x:c>
      <x:c r="E202" s="24" t="str">
        <x:v>Yes</x:v>
      </x:c>
      <x:c r="F202" s="24" t="str">
        <x:v>Yes</x:v>
      </x:c>
      <x:c r="G202" s="24" t="str">
        <x:v>Extends head; atlanto-occipital stabilization</x:v>
      </x:c>
      <x:c r="H202" s="24" t="str">
        <x:v>Posterior tubercle C1</x:v>
      </x:c>
      <x:c r="I202" s="24" t="str">
        <x:v>Medial inferior nuchal line occiput</x:v>
      </x:c>
      <x:c r="J202" s="24" t="str">
        <x:v>Suboccipital nerve (posterior ramus C1)</x:v>
      </x:c>
      <x:c r="K202" s="24" t="str">
        <x:v>C1</x:v>
      </x:c>
      <x:c r="L202" s="24" t="str">
        <x:v>Short occipital tendon</x:v>
      </x:c>
      <x:c r="M202" s="24" t="str">
        <x:v>Posterior atlanto-occipital membrane blends with fascia near muscle</x:v>
      </x:c>
      <x:c r="N202" s="24" t="str">
        <x:v>Not established</x:v>
      </x:c>
      <x:c r="O202" s="24" t="str">
        <x:v>Not established</x:v>
      </x:c>
      <x:c r="P202" s="24" t="str">
        <x:v>Mixed Type I and Type II; ratio unverified</x:v>
      </x:c>
      <x:c r="Q202" s="24" t="str">
        <x:v>Published biopsies insufficient to state a reliable per-muscle percentage; no inference from function</x:v>
      </x:c>
      <x:c r="R202" s="24" t="str">
        <x:v>https://www.kenhub.com/en/library/anatomy/anatomy-of-the-back-spine-and-back-muscles</x:v>
      </x:c>
      <x:c r="S202" s="24" t="str">
        <x:v>https://pubmed.ncbi.nlm.nih.gov/39359186/</x:v>
      </x:c>
    </x:row>
    <x:row r="203" ht="46" customHeight="1">
      <x:c r="A203" s="24" t="str">
        <x:v>Sternocleidomastoid clavicular head</x:v>
      </x:c>
      <x:c r="B203" s="24" t="str">
        <x:v>Superficial anterior neck</x:v>
      </x:c>
      <x:c r="C203" s="24" t="str">
        <x:v>Flexor; Stabilizer</x:v>
      </x:c>
      <x:c r="D203" s="24" t="str">
        <x:v>Yes</x:v>
      </x:c>
      <x:c r="E203" s="24" t="str">
        <x:v>No</x:v>
      </x:c>
      <x:c r="F203" s="24" t="str">
        <x:v>Yes</x:v>
      </x:c>
      <x:c r="G203" s="24" t="str">
        <x:v>Head/neck rotation and flexion, accessory inspiration</x:v>
      </x:c>
      <x:c r="H203" s="24" t="str">
        <x:v>Medial third superior clavicle</x:v>
      </x:c>
      <x:c r="I203" s="24" t="str">
        <x:v>Mastoid process and lateral superior nuchal line</x:v>
      </x:c>
      <x:c r="J203" s="24" t="str">
        <x:v>Accessory nerve CN XI; C2-C3 proprioception</x:v>
      </x:c>
      <x:c r="K203" s="24" t="str">
        <x:v>CN XI motor (spinal nucleus C1-C5); C2-C3 sensory</x:v>
      </x:c>
      <x:c r="L203" s="24" t="str">
        <x:v>Clavicular aponeurosis/mastoid tendon</x:v>
      </x:c>
      <x:c r="M203" s="24" t="str">
        <x:v>Costoclavicular ligament nearby</x:v>
      </x:c>
      <x:c r="N203" s="24" t="str">
        <x:v>Not established</x:v>
      </x:c>
      <x:c r="O203" s="24" t="str">
        <x:v>Not established</x:v>
      </x:c>
      <x:c r="P203" s="24" t="str">
        <x:v>Mixed Type I and Type II; ratio unverified</x:v>
      </x:c>
      <x:c r="Q203" s="24" t="str">
        <x:v>Published biopsies insufficient to state a reliable per-muscle percentage; no inference from function</x:v>
      </x:c>
      <x:c r="R203" s="24" t="str">
        <x:v>https://www.kenhub.com/en/library/anatomy/anatomy-of-the-back-spine-and-back-muscles</x:v>
      </x:c>
      <x:c r="S203" s="24" t="str">
        <x:v>https://pubmed.ncbi.nlm.nih.gov/39359186/</x:v>
      </x:c>
    </x:row>
    <x:row r="204" ht="46" customHeight="1">
      <x:c r="A204" s="24" t="str">
        <x:v>Sternocleidomastoid sternal head</x:v>
      </x:c>
      <x:c r="B204" s="24" t="str">
        <x:v>Superficial anterior neck</x:v>
      </x:c>
      <x:c r="C204" s="24" t="str">
        <x:v>Flexor; Stabilizer</x:v>
      </x:c>
      <x:c r="D204" s="24" t="str">
        <x:v>Yes</x:v>
      </x:c>
      <x:c r="E204" s="24" t="str">
        <x:v>No</x:v>
      </x:c>
      <x:c r="F204" s="24" t="str">
        <x:v>Yes</x:v>
      </x:c>
      <x:c r="G204" s="24" t="str">
        <x:v>Unilateral ipsilateral lateral flexion/contralateral rotation; bilateral neck flexion</x:v>
      </x:c>
      <x:c r="H204" s="24" t="str">
        <x:v>Anterior manubrium sternum</x:v>
      </x:c>
      <x:c r="I204" s="24" t="str">
        <x:v>Mastoid process and lateral superior nuchal line</x:v>
      </x:c>
      <x:c r="J204" s="24" t="str">
        <x:v>Accessory nerve CN XI motor; C2-C3 proprioception</x:v>
      </x:c>
      <x:c r="K204" s="24" t="str">
        <x:v>CN XI motor (spinal nucleus C1-C5); C2-C3 sensory</x:v>
      </x:c>
      <x:c r="L204" s="24" t="str">
        <x:v>Sternal tendon and mastoid aponeurosis</x:v>
      </x:c>
      <x:c r="M204" s="24" t="str">
        <x:v>Sternoclavicular ligament nearby, not direct attachment</x:v>
      </x:c>
      <x:c r="N204" s="24" t="str">
        <x:v>Not established</x:v>
      </x:c>
      <x:c r="O204" s="24" t="str">
        <x:v>Not established</x:v>
      </x:c>
      <x:c r="P204" s="24" t="str">
        <x:v>Mixed Type I and Type II; ratio unverified</x:v>
      </x:c>
      <x:c r="Q204" s="24" t="str">
        <x:v>Published biopsies insufficient to state a reliable per-muscle percentage; no inference from function</x:v>
      </x:c>
      <x:c r="R204" s="24" t="str">
        <x:v>https://www.kenhub.com/en/library/anatomy/anatomy-of-the-back-spine-and-back-muscles</x:v>
      </x:c>
      <x:c r="S204" s="24" t="str">
        <x:v>https://pubmed.ncbi.nlm.nih.gov/39359186/</x:v>
      </x:c>
    </x:row>
    <x:row r="205" ht="46" customHeight="1">
      <x:c r="A205" s="24" t="str">
        <x:v>Platysma</x:v>
      </x:c>
      <x:c r="B205" s="24" t="str">
        <x:v>Superficial cervical / expression</x:v>
      </x:c>
      <x:c r="C205" s="24" t="str">
        <x:v>Other</x:v>
      </x:c>
      <x:c r="D205" s="24" t="str">
        <x:v>No</x:v>
      </x:c>
      <x:c r="E205" s="24" t="str">
        <x:v>No</x:v>
      </x:c>
      <x:c r="F205" s="24" t="str">
        <x:v>No</x:v>
      </x:c>
      <x:c r="G205" s="24" t="str">
        <x:v>Tenses neck skin; depresses mandibular angle/lower lip</x:v>
      </x:c>
      <x:c r="H205" s="24" t="str">
        <x:v>Superficial fascia upper chest and shoulder</x:v>
      </x:c>
      <x:c r="I205" s="24" t="str">
        <x:v>Mandibular border and skin lower face</x:v>
      </x:c>
      <x:c r="J205" s="24" t="str">
        <x:v>Cervical branch facial nerve (CN VII)</x:v>
      </x:c>
      <x:c r="K205" s="24" t="str">
        <x:v>CN VII; no spinal motor root</x:v>
      </x:c>
      <x:c r="L205" s="24" t="str">
        <x:v>Dermal fascial attachments without long tendon</x:v>
      </x:c>
      <x:c r="M205" s="24" t="str">
        <x:v>No direct ligament attachment</x:v>
      </x:c>
      <x:c r="N205" s="24" t="str">
        <x:v>Not established</x:v>
      </x:c>
      <x:c r="O205" s="24" t="str">
        <x:v>Not established</x:v>
      </x:c>
      <x:c r="P205" s="24" t="str">
        <x:v>Mixed Type I and Type II; ratio unverified</x:v>
      </x:c>
      <x:c r="Q205" s="24" t="str">
        <x:v>Published biopsies insufficient to state a reliable per-muscle percentage; no inference from function</x:v>
      </x:c>
      <x:c r="R205" s="24" t="str">
        <x:v>https://www.kenhub.com/en/library/anatomy/anatomy-of-the-back-spine-and-back-muscles</x:v>
      </x:c>
      <x:c r="S205" s="24" t="str">
        <x:v>https://pubmed.ncbi.nlm.nih.gov/39359186/</x:v>
      </x:c>
    </x:row>
    <x:row r="206" ht="46" customHeight="1">
      <x:c r="A206" s="24" t="str">
        <x:v>Digastric anterior belly</x:v>
      </x:c>
      <x:c r="B206" s="24" t="str">
        <x:v>Suprahyoid</x:v>
      </x:c>
      <x:c r="C206" s="24" t="str">
        <x:v>Flexor; Stabilizer</x:v>
      </x:c>
      <x:c r="D206" s="24" t="str">
        <x:v>Yes</x:v>
      </x:c>
      <x:c r="E206" s="24" t="str">
        <x:v>No</x:v>
      </x:c>
      <x:c r="F206" s="24" t="str">
        <x:v>Yes</x:v>
      </x:c>
      <x:c r="G206" s="24" t="str">
        <x:v>Depresses mandible/elevates hyoid</x:v>
      </x:c>
      <x:c r="H206" s="24" t="str">
        <x:v>Digastric fossa of mandible</x:v>
      </x:c>
      <x:c r="I206" s="24" t="str">
        <x:v>Intermediate tendon attached to hyoid by fascial loop</x:v>
      </x:c>
      <x:c r="J206" s="24" t="str">
        <x:v>Nerve to mylohyoid (V3)</x:v>
      </x:c>
      <x:c r="K206" s="24" t="str">
        <x:v>CN V3; no spinal root</x:v>
      </x:c>
      <x:c r="L206" s="24" t="str">
        <x:v>Digastric intermediate tendon</x:v>
      </x:c>
      <x:c r="M206" s="24" t="str">
        <x:v>Fibrous sling to hyoid (not independent ligament)</x:v>
      </x:c>
      <x:c r="N206" s="24" t="str">
        <x:v>Not established</x:v>
      </x:c>
      <x:c r="O206" s="24" t="str">
        <x:v>Not established</x:v>
      </x:c>
      <x:c r="P206" s="24" t="str">
        <x:v>Mixed Type I and Type II; ratio unverified</x:v>
      </x:c>
      <x:c r="Q206" s="24" t="str">
        <x:v>Published biopsies insufficient to state a reliable per-muscle percentage; no inference from function</x:v>
      </x:c>
      <x:c r="R206" s="24" t="str">
        <x:v>https://www.kenhub.com/en/library/anatomy/anatomy-of-the-back-spine-and-back-muscles</x:v>
      </x:c>
      <x:c r="S206" s="24" t="str">
        <x:v>https://pubmed.ncbi.nlm.nih.gov/39359186/</x:v>
      </x:c>
    </x:row>
    <x:row r="207" ht="46" customHeight="1">
      <x:c r="A207" s="24" t="str">
        <x:v>Digastric posterior belly</x:v>
      </x:c>
      <x:c r="B207" s="24" t="str">
        <x:v>Suprahyoid</x:v>
      </x:c>
      <x:c r="C207" s="24" t="str">
        <x:v>Stabilizer</x:v>
      </x:c>
      <x:c r="D207" s="24" t="str">
        <x:v>No</x:v>
      </x:c>
      <x:c r="E207" s="24" t="str">
        <x:v>No</x:v>
      </x:c>
      <x:c r="F207" s="24" t="str">
        <x:v>Yes</x:v>
      </x:c>
      <x:c r="G207" s="24" t="str">
        <x:v>Elevates/retracts hyoid</x:v>
      </x:c>
      <x:c r="H207" s="24" t="str">
        <x:v>Mastoid notch temporal bone</x:v>
      </x:c>
      <x:c r="I207" s="24" t="str">
        <x:v>Intermediate tendon near hyoid</x:v>
      </x:c>
      <x:c r="J207" s="24" t="str">
        <x:v>Facial nerve (CN VII)</x:v>
      </x:c>
      <x:c r="K207" s="24" t="str">
        <x:v>CN VII; no spinal root</x:v>
      </x:c>
      <x:c r="L207" s="24" t="str">
        <x:v>Digastric intermediate tendon</x:v>
      </x:c>
      <x:c r="M207" s="24" t="str">
        <x:v>Fibrous hyoid sling</x:v>
      </x:c>
      <x:c r="N207" s="24" t="str">
        <x:v>Not established</x:v>
      </x:c>
      <x:c r="O207" s="24" t="str">
        <x:v>Not established</x:v>
      </x:c>
      <x:c r="P207" s="24" t="str">
        <x:v>Mixed Type I and Type II; ratio unverified</x:v>
      </x:c>
      <x:c r="Q207" s="24" t="str">
        <x:v>Published biopsies insufficient to state a reliable per-muscle percentage; no inference from function</x:v>
      </x:c>
      <x:c r="R207" s="24" t="str">
        <x:v>https://www.kenhub.com/en/library/anatomy/anatomy-of-the-back-spine-and-back-muscles</x:v>
      </x:c>
      <x:c r="S207" s="24" t="str">
        <x:v>https://pubmed.ncbi.nlm.nih.gov/39359186/</x:v>
      </x:c>
    </x:row>
    <x:row r="208" ht="46" customHeight="1">
      <x:c r="A208" s="24" t="str">
        <x:v>Stylohyoid</x:v>
      </x:c>
      <x:c r="B208" s="24" t="str">
        <x:v>Suprahyoid</x:v>
      </x:c>
      <x:c r="C208" s="24" t="str">
        <x:v>Stabilizer</x:v>
      </x:c>
      <x:c r="D208" s="24" t="str">
        <x:v>No</x:v>
      </x:c>
      <x:c r="E208" s="24" t="str">
        <x:v>No</x:v>
      </x:c>
      <x:c r="F208" s="24" t="str">
        <x:v>Yes</x:v>
      </x:c>
      <x:c r="G208" s="24" t="str">
        <x:v>Retracts/elevates hyoid during swallowing</x:v>
      </x:c>
      <x:c r="H208" s="24" t="str">
        <x:v>Styloid process temporal bone</x:v>
      </x:c>
      <x:c r="I208" s="24" t="str">
        <x:v>Body hyoid near greater horn</x:v>
      </x:c>
      <x:c r="J208" s="24" t="str">
        <x:v>Facial nerve (CN VII)</x:v>
      </x:c>
      <x:c r="K208" s="24" t="str">
        <x:v>CN VII; no spinal root</x:v>
      </x:c>
      <x:c r="L208" s="24" t="str">
        <x:v>Split distal tendon around digastric tendon</x:v>
      </x:c>
      <x:c r="M208" s="24" t="str">
        <x:v>Stylohyoid ligament parallels course (not necessarily a direct insertion)</x:v>
      </x:c>
      <x:c r="N208" s="24" t="str">
        <x:v>Not established</x:v>
      </x:c>
      <x:c r="O208" s="24" t="str">
        <x:v>Not established</x:v>
      </x:c>
      <x:c r="P208" s="24" t="str">
        <x:v>Mixed Type I and Type II; ratio unverified</x:v>
      </x:c>
      <x:c r="Q208" s="24" t="str">
        <x:v>Published biopsies insufficient to state a reliable per-muscle percentage; no inference from function</x:v>
      </x:c>
      <x:c r="R208" s="24" t="str">
        <x:v>https://www.kenhub.com/en/library/anatomy/anatomy-of-the-back-spine-and-back-muscles</x:v>
      </x:c>
      <x:c r="S208" s="24" t="str">
        <x:v>https://pubmed.ncbi.nlm.nih.gov/39359186/</x:v>
      </x:c>
    </x:row>
    <x:row r="209" ht="46" customHeight="1">
      <x:c r="A209" s="24" t="str">
        <x:v>Geniohyoid</x:v>
      </x:c>
      <x:c r="B209" s="24" t="str">
        <x:v>Suprahyoid floor of mouth</x:v>
      </x:c>
      <x:c r="C209" s="24" t="str">
        <x:v>Stabilizer</x:v>
      </x:c>
      <x:c r="D209" s="24" t="str">
        <x:v>No</x:v>
      </x:c>
      <x:c r="E209" s="24" t="str">
        <x:v>No</x:v>
      </x:c>
      <x:c r="F209" s="24" t="str">
        <x:v>Yes</x:v>
      </x:c>
      <x:c r="G209" s="24" t="str">
        <x:v>Pulls hyoid anterosuperiorly; shortens floor mouth</x:v>
      </x:c>
      <x:c r="H209" s="24" t="str">
        <x:v>Inferior mental spine of mandible</x:v>
      </x:c>
      <x:c r="I209" s="24" t="str">
        <x:v>Anterior body hyoid bone</x:v>
      </x:c>
      <x:c r="J209" s="24" t="str">
        <x:v>C1 fibers via hypoglossal nerve</x:v>
      </x:c>
      <x:c r="K209" s="24" t="str">
        <x:v>C1 via CN XII</x:v>
      </x:c>
      <x:c r="L209" s="24" t="str">
        <x:v>Short hyoid tendon</x:v>
      </x:c>
      <x:c r="M209" s="24" t="str">
        <x:v>No specific direct ligament attachment</x:v>
      </x:c>
      <x:c r="N209" s="24" t="str">
        <x:v>Not established</x:v>
      </x:c>
      <x:c r="O209" s="24" t="str">
        <x:v>Not established</x:v>
      </x:c>
      <x:c r="P209" s="24" t="str">
        <x:v>Mixed Type I and Type II; ratio unverified</x:v>
      </x:c>
      <x:c r="Q209" s="24" t="str">
        <x:v>Published biopsies insufficient to state a reliable per-muscle percentage; no inference from function</x:v>
      </x:c>
      <x:c r="R209" s="24" t="str">
        <x:v>https://www.kenhub.com/en/library/anatomy/anatomy-of-the-back-spine-and-back-muscles</x:v>
      </x:c>
      <x:c r="S209" s="24" t="str">
        <x:v>https://pubmed.ncbi.nlm.nih.gov/39359186/</x:v>
      </x:c>
    </x:row>
    <x:row r="210" ht="46" customHeight="1">
      <x:c r="A210" s="24" t="str">
        <x:v>Mylohyoid</x:v>
      </x:c>
      <x:c r="B210" s="24" t="str">
        <x:v>Suprahyoid floor of mouth</x:v>
      </x:c>
      <x:c r="C210" s="24" t="str">
        <x:v>Stabilizer</x:v>
      </x:c>
      <x:c r="D210" s="24" t="str">
        <x:v>No</x:v>
      </x:c>
      <x:c r="E210" s="24" t="str">
        <x:v>No</x:v>
      </x:c>
      <x:c r="F210" s="24" t="str">
        <x:v>Yes</x:v>
      </x:c>
      <x:c r="G210" s="24" t="str">
        <x:v>Elevates floor of mouth and hyoid; assists jaw depression</x:v>
      </x:c>
      <x:c r="H210" s="24" t="str">
        <x:v>Mylohyoid line inner mandible</x:v>
      </x:c>
      <x:c r="I210" s="24" t="str">
        <x:v>Midline mylohyoid raphe and hyoid bone</x:v>
      </x:c>
      <x:c r="J210" s="24" t="str">
        <x:v>Nerve to mylohyoid (inferior alveolar V3 branch)</x:v>
      </x:c>
      <x:c r="K210" s="24" t="str">
        <x:v>CN V3; no spinal root</x:v>
      </x:c>
      <x:c r="L210" s="24" t="str">
        <x:v>Median raphe / hyoid tendon</x:v>
      </x:c>
      <x:c r="M210" s="24" t="str">
        <x:v>Mandibular lingual ligament region adjacent</x:v>
      </x:c>
      <x:c r="N210" s="24" t="str">
        <x:v>Not established</x:v>
      </x:c>
      <x:c r="O210" s="24" t="str">
        <x:v>Not established</x:v>
      </x:c>
      <x:c r="P210" s="24" t="str">
        <x:v>Mixed Type I and Type II; ratio unverified</x:v>
      </x:c>
      <x:c r="Q210" s="24" t="str">
        <x:v>Published biopsies insufficient to state a reliable per-muscle percentage; no inference from function</x:v>
      </x:c>
      <x:c r="R210" s="24" t="str">
        <x:v>https://www.kenhub.com/en/library/anatomy/anatomy-of-the-back-spine-and-back-muscles</x:v>
      </x:c>
      <x:c r="S210" s="24" t="str">
        <x:v>https://pubmed.ncbi.nlm.nih.gov/39359186/</x:v>
      </x:c>
    </x:row>
    <x:row r="211" ht="46" customHeight="1">
      <x:c r="A211" s="24" t="str">
        <x:v>Semispinalis capitis</x:v>
      </x:c>
      <x:c r="B211" s="24" t="str">
        <x:v>Transversospinalis</x:v>
      </x:c>
      <x:c r="C211" s="24" t="str">
        <x:v>Extensor; Stabilizer</x:v>
      </x:c>
      <x:c r="D211" s="24" t="str">
        <x:v>No</x:v>
      </x:c>
      <x:c r="E211" s="24" t="str">
        <x:v>Yes</x:v>
      </x:c>
      <x:c r="F211" s="24" t="str">
        <x:v>Yes</x:v>
      </x:c>
      <x:c r="G211" s="24" t="str">
        <x:v>Extends head; contralateral rotation</x:v>
      </x:c>
      <x:c r="H211" s="24" t="str">
        <x:v>Transverse processes C7-T6; articular processes C4-C6</x:v>
      </x:c>
      <x:c r="I211" s="24" t="str">
        <x:v>Occipital bone between nuchal lines</x:v>
      </x:c>
      <x:c r="J211" s="24" t="str">
        <x:v>Posterior rami cervical spinal nerves</x:v>
      </x:c>
      <x:c r="K211" s="24" t="str">
        <x:v>C2-C6 segmental</x:v>
      </x:c>
      <x:c r="L211" s="24" t="str">
        <x:v>Broad occipital insertion and tendinous intersections</x:v>
      </x:c>
      <x:c r="M211" s="24" t="str">
        <x:v>Nuchal ligament contiguous fascia but not primary attachment</x:v>
      </x:c>
      <x:c r="N211" s="24" t="str">
        <x:v>Not established</x:v>
      </x:c>
      <x:c r="O211" s="24" t="str">
        <x:v>Not established</x:v>
      </x:c>
      <x:c r="P211" s="24" t="str">
        <x:v>Mixed Type I and Type II; ratio unverified</x:v>
      </x:c>
      <x:c r="Q211" s="24" t="str">
        <x:v>Published biopsies insufficient to state a reliable per-muscle percentage; no inference from function</x:v>
      </x:c>
      <x:c r="R211" s="24" t="str">
        <x:v>https://www.kenhub.com/en/library/anatomy/anatomy-of-the-back-spine-and-back-muscles</x:v>
      </x:c>
      <x:c r="S211" s="24" t="str">
        <x:v>https://pubmed.ncbi.nlm.nih.gov/39359186/</x:v>
      </x:c>
    </x:row>
    <x:row r="212" ht="46" customHeight="1">
      <x:c r="A212" s="24" t="str">
        <x:v>Semispinalis cervicis</x:v>
      </x:c>
      <x:c r="B212" s="24" t="str">
        <x:v>Transversospinalis</x:v>
      </x:c>
      <x:c r="C212" s="24" t="str">
        <x:v>Extensor; Stabilizer</x:v>
      </x:c>
      <x:c r="D212" s="24" t="str">
        <x:v>No</x:v>
      </x:c>
      <x:c r="E212" s="24" t="str">
        <x:v>Yes</x:v>
      </x:c>
      <x:c r="F212" s="24" t="str">
        <x:v>Yes</x:v>
      </x:c>
      <x:c r="G212" s="24" t="str">
        <x:v>Extends cervical region and contralateral rotation</x:v>
      </x:c>
      <x:c r="H212" s="24" t="str">
        <x:v>Transverse processes T1-T6</x:v>
      </x:c>
      <x:c r="I212" s="24" t="str">
        <x:v>Spinous processes C2-C5</x:v>
      </x:c>
      <x:c r="J212" s="24" t="str">
        <x:v>Posterior rami cervical spinal nerves</x:v>
      </x:c>
      <x:c r="K212" s="24" t="str">
        <x:v>C2-C8 segmental</x:v>
      </x:c>
      <x:c r="L212" s="24" t="str">
        <x:v>Cervical insertion tendons</x:v>
      </x:c>
      <x:c r="M212" s="24" t="str">
        <x:v>No uniform direct ligament attachment</x:v>
      </x:c>
      <x:c r="N212" s="24" t="str">
        <x:v>Not established</x:v>
      </x:c>
      <x:c r="O212" s="24" t="str">
        <x:v>Not established</x:v>
      </x:c>
      <x:c r="P212" s="24" t="str">
        <x:v>Mixed Type I and Type II; ratio unverified</x:v>
      </x:c>
      <x:c r="Q212" s="24" t="str">
        <x:v>Published biopsies insufficient to state a reliable per-muscle percentage; no inference from function</x:v>
      </x:c>
      <x:c r="R212" s="24" t="str">
        <x:v>https://www.kenhub.com/en/library/anatomy/anatomy-of-the-back-spine-and-back-muscles</x:v>
      </x:c>
      <x:c r="S212" s="24" t="str">
        <x:v>https://pubmed.ncbi.nlm.nih.gov/39359186/</x:v>
      </x:c>
    </x:row>
    <x:row r="213" ht="46" customHeight="1">
      <x:c r="A213" s="24" t="str">
        <x:v>Semispinalis thoracis</x:v>
      </x:c>
      <x:c r="B213" s="24" t="str">
        <x:v>Transversospinalis</x:v>
      </x:c>
      <x:c r="C213" s="24" t="str">
        <x:v>Extensor; Stabilizer</x:v>
      </x:c>
      <x:c r="D213" s="24" t="str">
        <x:v>No</x:v>
      </x:c>
      <x:c r="E213" s="24" t="str">
        <x:v>Yes</x:v>
      </x:c>
      <x:c r="F213" s="24" t="str">
        <x:v>Yes</x:v>
      </x:c>
      <x:c r="G213" s="24" t="str">
        <x:v>Extends spine and contralaterally rotates</x:v>
      </x:c>
      <x:c r="H213" s="24" t="str">
        <x:v>Transverse processes T6-T12</x:v>
      </x:c>
      <x:c r="I213" s="24" t="str">
        <x:v>Spinous processes C6-T4</x:v>
      </x:c>
      <x:c r="J213" s="24" t="str">
        <x:v>Posterior rami thoracic spinal nerves</x:v>
      </x:c>
      <x:c r="K213" s="24" t="str">
        <x:v>T1-T12 segmental</x:v>
      </x:c>
      <x:c r="L213" s="24" t="str">
        <x:v>Short segmental tendons</x:v>
      </x:c>
      <x:c r="M213" s="24" t="str">
        <x:v>Interspinous ligament vicinity, not uniform attachment</x:v>
      </x:c>
      <x:c r="N213" s="24" t="str">
        <x:v>Not established</x:v>
      </x:c>
      <x:c r="O213" s="24" t="str">
        <x:v>Not established</x:v>
      </x:c>
      <x:c r="P213" s="24" t="str">
        <x:v>Mixed Type I and Type II; ratio unverified</x:v>
      </x:c>
      <x:c r="Q213" s="24" t="str">
        <x:v>Published biopsies insufficient to state a reliable per-muscle percentage; no inference from function</x:v>
      </x:c>
      <x:c r="R213" s="24" t="str">
        <x:v>https://www.kenhub.com/en/library/anatomy/anatomy-of-the-back-spine-and-back-muscles</x:v>
      </x:c>
      <x:c r="S213" s="24" t="str">
        <x:v>https://pubmed.ncbi.nlm.nih.gov/39359186/</x:v>
      </x:c>
    </x:row>
    <x:row r="214" ht="46" customHeight="1">
      <x:c r="A214" s="24" t="str">
        <x:v>Multifidus cervical fascicles</x:v>
      </x:c>
      <x:c r="B214" s="24" t="str">
        <x:v>Transversospinalis deep</x:v>
      </x:c>
      <x:c r="C214" s="24" t="str">
        <x:v>Extensor; Stabilizer</x:v>
      </x:c>
      <x:c r="D214" s="24" t="str">
        <x:v>No</x:v>
      </x:c>
      <x:c r="E214" s="24" t="str">
        <x:v>Yes</x:v>
      </x:c>
      <x:c r="F214" s="24" t="str">
        <x:v>Yes</x:v>
      </x:c>
      <x:c r="G214" s="24" t="str">
        <x:v>Segmental vertebral stability; extension/contralateral rotation</x:v>
      </x:c>
      <x:c r="H214" s="24" t="str">
        <x:v>Articular processes C4-C7</x:v>
      </x:c>
      <x:c r="I214" s="24" t="str">
        <x:v>Spinous processes 2-4 levels above</x:v>
      </x:c>
      <x:c r="J214" s="24" t="str">
        <x:v>Medial branches posterior rami cervical nerves</x:v>
      </x:c>
      <x:c r="K214" s="24" t="str">
        <x:v>C2-C8 segmental</x:v>
      </x:c>
      <x:c r="L214" s="24" t="str">
        <x:v>Short segmental tendons</x:v>
      </x:c>
      <x:c r="M214" s="24" t="str">
        <x:v>Facet capsules adjacent; no uniform ligament insertion</x:v>
      </x:c>
      <x:c r="N214" s="24" t="str">
        <x:v>Not established</x:v>
      </x:c>
      <x:c r="O214" s="24" t="str">
        <x:v>Not established</x:v>
      </x:c>
      <x:c r="P214" s="24" t="str">
        <x:v>Mixed Type I and Type II; ratio unverified</x:v>
      </x:c>
      <x:c r="Q214" s="24" t="str">
        <x:v>Published biopsies insufficient to state a reliable per-muscle percentage; no inference from function</x:v>
      </x:c>
      <x:c r="R214" s="24" t="str">
        <x:v>https://www.kenhub.com/en/library/anatomy/anatomy-of-the-back-spine-and-back-muscles</x:v>
      </x:c>
      <x:c r="S214" s="24" t="str">
        <x:v>https://pubmed.ncbi.nlm.nih.gov/39359186/</x:v>
      </x:c>
    </x:row>
    <x:row r="215" ht="46" customHeight="1">
      <x:c r="A215" s="24" t="str">
        <x:v>Multifidus lumbar fascicles</x:v>
      </x:c>
      <x:c r="B215" s="24" t="str">
        <x:v>Transversospinalis deep</x:v>
      </x:c>
      <x:c r="C215" s="24" t="str">
        <x:v>Extensor; Stabilizer</x:v>
      </x:c>
      <x:c r="D215" s="24" t="str">
        <x:v>No</x:v>
      </x:c>
      <x:c r="E215" s="24" t="str">
        <x:v>Yes</x:v>
      </x:c>
      <x:c r="F215" s="24" t="str">
        <x:v>Yes</x:v>
      </x:c>
      <x:c r="G215" s="24" t="str">
        <x:v>Intersegmental lumbar stabilization and extension</x:v>
      </x:c>
      <x:c r="H215" s="24" t="str">
        <x:v>Sacrum; PSIS; mammillary processes lumbar vertebrae</x:v>
      </x:c>
      <x:c r="I215" s="24" t="str">
        <x:v>Spinous processes 2-4 levels above</x:v>
      </x:c>
      <x:c r="J215" s="24" t="str">
        <x:v>Medial branches posterior rami lumbar nerves</x:v>
      </x:c>
      <x:c r="K215" s="24" t="str">
        <x:v>L1-L5 segmental (sacral region additional branches)</x:v>
      </x:c>
      <x:c r="L215" s="24" t="str">
        <x:v>Lumbar multifidus segmental tendons</x:v>
      </x:c>
      <x:c r="M215" s="24" t="str">
        <x:v>Sacroiliac ligament/fascia origin components near PSIS; thoracolumbar fascia</x:v>
      </x:c>
      <x:c r="N215" s="24" t="str">
        <x:v>62% (sample mean, n=16)</x:v>
      </x:c>
      <x:c r="O215" s="24" t="str">
        <x:v>38% (approx complementary II types)</x:v>
      </x:c>
      <x:c r="P215" s="24" t="str">
        <x:v>Type I-enriched (study group mean)</x:v>
      </x:c>
      <x:c r="Q215" s="24" t="str">
        <x:v>1987 healthy-adult biopsies; multiple fascicles and levels pooled; not a universal value</x:v>
      </x:c>
      <x:c r="R215" s="24" t="str">
        <x:v>https://www.kenhub.com/en/library/anatomy/anatomy-of-the-back-spine-and-back-muscles</x:v>
      </x:c>
      <x:c r="S215" s="24" t="str">
        <x:v>https://pubmed.ncbi.nlm.nih.gov/2960128/</x:v>
      </x:c>
    </x:row>
    <x:row r="216" ht="46" customHeight="1">
      <x:c r="A216" s="24" t="str">
        <x:v>Multifidus thoracic fascicles</x:v>
      </x:c>
      <x:c r="B216" s="24" t="str">
        <x:v>Transversospinalis deep</x:v>
      </x:c>
      <x:c r="C216" s="24" t="str">
        <x:v>Extensor; Stabilizer</x:v>
      </x:c>
      <x:c r="D216" s="24" t="str">
        <x:v>No</x:v>
      </x:c>
      <x:c r="E216" s="24" t="str">
        <x:v>Yes</x:v>
      </x:c>
      <x:c r="F216" s="24" t="str">
        <x:v>Yes</x:v>
      </x:c>
      <x:c r="G216" s="24" t="str">
        <x:v>Segmental thoracic stability; extension/rotation</x:v>
      </x:c>
      <x:c r="H216" s="24" t="str">
        <x:v>Transverse processes thoracic vertebrae</x:v>
      </x:c>
      <x:c r="I216" s="24" t="str">
        <x:v>Spinous processes 2-4 levels above</x:v>
      </x:c>
      <x:c r="J216" s="24" t="str">
        <x:v>Medial branches posterior rami thoracic nerves</x:v>
      </x:c>
      <x:c r="K216" s="24" t="str">
        <x:v>T1-T12 segmental</x:v>
      </x:c>
      <x:c r="L216" s="24" t="str">
        <x:v>Short segmental tendons</x:v>
      </x:c>
      <x:c r="M216" s="24" t="str">
        <x:v>Facet capsules adjacent</x:v>
      </x:c>
      <x:c r="N216" s="24" t="str">
        <x:v>Not established</x:v>
      </x:c>
      <x:c r="O216" s="24" t="str">
        <x:v>Not established</x:v>
      </x:c>
      <x:c r="P216" s="24" t="str">
        <x:v>Mixed Type I and Type II; ratio unverified</x:v>
      </x:c>
      <x:c r="Q216" s="24" t="str">
        <x:v>Published biopsies insufficient to state a reliable per-muscle percentage; no inference from function</x:v>
      </x:c>
      <x:c r="R216" s="24" t="str">
        <x:v>https://www.kenhub.com/en/library/anatomy/anatomy-of-the-back-spine-and-back-muscles</x:v>
      </x:c>
      <x:c r="S216" s="24" t="str">
        <x:v>https://pubmed.ncbi.nlm.nih.gov/39359186/</x:v>
      </x:c>
    </x:row>
    <x:row r="217" ht="46" customHeight="1">
      <x:c r="A217" s="24" t="str">
        <x:v>Rotatores breves (thoracic, segmental)</x:v>
      </x:c>
      <x:c r="B217" s="24" t="str">
        <x:v>Transversospinalis deepest</x:v>
      </x:c>
      <x:c r="C217" s="24" t="str">
        <x:v>Stabilizer</x:v>
      </x:c>
      <x:c r="D217" s="24" t="str">
        <x:v>No</x:v>
      </x:c>
      <x:c r="E217" s="24" t="str">
        <x:v>No</x:v>
      </x:c>
      <x:c r="F217" s="24" t="str">
        <x:v>Yes</x:v>
      </x:c>
      <x:c r="G217" s="24" t="str">
        <x:v>Proprioception, segmental stabilization and rotation</x:v>
      </x:c>
      <x:c r="H217" s="24" t="str">
        <x:v>Thoracic transverse process</x:v>
      </x:c>
      <x:c r="I217" s="24" t="str">
        <x:v>Lamina/spinous process one level above</x:v>
      </x:c>
      <x:c r="J217" s="24" t="str">
        <x:v>Posterior rami thoracic spinal nerves</x:v>
      </x:c>
      <x:c r="K217" s="24" t="str">
        <x:v>T1-T12 segmental</x:v>
      </x:c>
      <x:c r="L217" s="24" t="str">
        <x:v>Minute interlaminar tendons</x:v>
      </x:c>
      <x:c r="M217" s="24" t="str">
        <x:v>Facet capsular ligament complex adjacent</x:v>
      </x:c>
      <x:c r="N217" s="24" t="str">
        <x:v>Not established</x:v>
      </x:c>
      <x:c r="O217" s="24" t="str">
        <x:v>Not established</x:v>
      </x:c>
      <x:c r="P217" s="24" t="str">
        <x:v>Mixed Type I and Type II; ratio unverified</x:v>
      </x:c>
      <x:c r="Q217" s="24" t="str">
        <x:v>Published biopsies insufficient to state a reliable per-muscle percentage; no inference from function</x:v>
      </x:c>
      <x:c r="R217" s="24" t="str">
        <x:v>https://www.kenhub.com/en/library/anatomy/anatomy-of-the-back-spine-and-back-muscles</x:v>
      </x:c>
      <x:c r="S217" s="24" t="str">
        <x:v>https://pubmed.ncbi.nlm.nih.gov/39359186/</x:v>
      </x:c>
    </x:row>
    <x:row r="218" ht="46" customHeight="1">
      <x:c r="A218" s="24" t="str">
        <x:v>Rotatores cervicis (variable)</x:v>
      </x:c>
      <x:c r="B218" s="24" t="str">
        <x:v>Transversospinalis deepest</x:v>
      </x:c>
      <x:c r="C218" s="24" t="str">
        <x:v>Stabilizer</x:v>
      </x:c>
      <x:c r="D218" s="24" t="str">
        <x:v>No</x:v>
      </x:c>
      <x:c r="E218" s="24" t="str">
        <x:v>No</x:v>
      </x:c>
      <x:c r="F218" s="24" t="str">
        <x:v>Yes</x:v>
      </x:c>
      <x:c r="G218" s="24" t="str">
        <x:v>Cervical proprioception/stability</x:v>
      </x:c>
      <x:c r="H218" s="24" t="str">
        <x:v>Cervical articular/transverse processes</x:v>
      </x:c>
      <x:c r="I218" s="24" t="str">
        <x:v>Adjacent superior cervical lamina</x:v>
      </x:c>
      <x:c r="J218" s="24" t="str">
        <x:v>Posterior rami cervical spinal nerves</x:v>
      </x:c>
      <x:c r="K218" s="24" t="str">
        <x:v>C2-C7 segmental</x:v>
      </x:c>
      <x:c r="L218" s="24" t="str">
        <x:v>Minute fascicular tendons</x:v>
      </x:c>
      <x:c r="M218" s="24" t="str">
        <x:v>Facet capsule vicinity</x:v>
      </x:c>
      <x:c r="N218" s="24" t="str">
        <x:v>Not established</x:v>
      </x:c>
      <x:c r="O218" s="24" t="str">
        <x:v>Not established</x:v>
      </x:c>
      <x:c r="P218" s="24" t="str">
        <x:v>Mixed Type I and Type II; ratio unverified</x:v>
      </x:c>
      <x:c r="Q218" s="24" t="str">
        <x:v>Published biopsies insufficient to state a reliable per-muscle percentage; no inference from function</x:v>
      </x:c>
      <x:c r="R218" s="24" t="str">
        <x:v>https://www.kenhub.com/en/library/anatomy/anatomy-of-the-back-spine-and-back-muscles</x:v>
      </x:c>
      <x:c r="S218" s="24" t="str">
        <x:v>https://pubmed.ncbi.nlm.nih.gov/39359186/</x:v>
      </x:c>
    </x:row>
    <x:row r="219" ht="46" customHeight="1">
      <x:c r="A219" s="24" t="str">
        <x:v>Rotatores longi (thoracic, segmental)</x:v>
      </x:c>
      <x:c r="B219" s="24" t="str">
        <x:v>Transversospinalis deepest</x:v>
      </x:c>
      <x:c r="C219" s="24" t="str">
        <x:v>Stabilizer</x:v>
      </x:c>
      <x:c r="D219" s="24" t="str">
        <x:v>No</x:v>
      </x:c>
      <x:c r="E219" s="24" t="str">
        <x:v>No</x:v>
      </x:c>
      <x:c r="F219" s="24" t="str">
        <x:v>Yes</x:v>
      </x:c>
      <x:c r="G219" s="24" t="str">
        <x:v>Proprioception; segmental rotation/stability</x:v>
      </x:c>
      <x:c r="H219" s="24" t="str">
        <x:v>Thoracic transverse process</x:v>
      </x:c>
      <x:c r="I219" s="24" t="str">
        <x:v>Lamina/spinous process two levels above</x:v>
      </x:c>
      <x:c r="J219" s="24" t="str">
        <x:v>Posterior rami thoracic spinal nerves</x:v>
      </x:c>
      <x:c r="K219" s="24" t="str">
        <x:v>T1-T12 segmental</x:v>
      </x:c>
      <x:c r="L219" s="24" t="str">
        <x:v>Minute segmental tendons</x:v>
      </x:c>
      <x:c r="M219" s="24" t="str">
        <x:v>Facet capsule adjacent</x:v>
      </x:c>
      <x:c r="N219" s="24" t="str">
        <x:v>Not established</x:v>
      </x:c>
      <x:c r="O219" s="24" t="str">
        <x:v>Not established</x:v>
      </x:c>
      <x:c r="P219" s="24" t="str">
        <x:v>Mixed Type I and Type II; ratio unverified</x:v>
      </x:c>
      <x:c r="Q219" s="24" t="str">
        <x:v>Published biopsies insufficient to state a reliable per-muscle percentage; no inference from function</x:v>
      </x:c>
      <x:c r="R219" s="24" t="str">
        <x:v>https://www.kenhub.com/en/library/anatomy/anatomy-of-the-back-spine-and-back-muscles</x:v>
      </x:c>
      <x:c r="S219" s="24" t="str">
        <x:v>https://pubmed.ncbi.nlm.nih.gov/39359186/</x:v>
      </x:c>
    </x:row>
    <x:row r="220" ht="46" customHeight="1">
      <x:c r="A220" s="24" t="str">
        <x:v>Rotatores lumborum (variable)</x:v>
      </x:c>
      <x:c r="B220" s="24" t="str">
        <x:v>Transversospinalis deepest</x:v>
      </x:c>
      <x:c r="C220" s="24" t="str">
        <x:v>Stabilizer</x:v>
      </x:c>
      <x:c r="D220" s="24" t="str">
        <x:v>No</x:v>
      </x:c>
      <x:c r="E220" s="24" t="str">
        <x:v>No</x:v>
      </x:c>
      <x:c r="F220" s="24" t="str">
        <x:v>Yes</x:v>
      </x:c>
      <x:c r="G220" s="24" t="str">
        <x:v>Lumbar segmental proprioception/stabilization</x:v>
      </x:c>
      <x:c r="H220" s="24" t="str">
        <x:v>Lumbar mamillary/transverse processes</x:v>
      </x:c>
      <x:c r="I220" s="24" t="str">
        <x:v>Superior lamina/spinous process</x:v>
      </x:c>
      <x:c r="J220" s="24" t="str">
        <x:v>Posterior rami lumbar spinal nerves</x:v>
      </x:c>
      <x:c r="K220" s="24" t="str">
        <x:v>L1-L5 segmental</x:v>
      </x:c>
      <x:c r="L220" s="24" t="str">
        <x:v>Short local tendons</x:v>
      </x:c>
      <x:c r="M220" s="24" t="str">
        <x:v>Facet capsular ligaments adjacent</x:v>
      </x:c>
      <x:c r="N220" s="24" t="str">
        <x:v>Not established</x:v>
      </x:c>
      <x:c r="O220" s="24" t="str">
        <x:v>Not established</x:v>
      </x:c>
      <x:c r="P220" s="24" t="str">
        <x:v>Mixed Type I and Type II; ratio unverified</x:v>
      </x:c>
      <x:c r="Q220" s="24" t="str">
        <x:v>Published biopsies insufficient to state a reliable per-muscle percentage; no inference from function</x:v>
      </x:c>
      <x:c r="R220" s="24" t="str">
        <x:v>https://www.kenhub.com/en/library/anatomy/anatomy-of-the-back-spine-and-back-muscles</x:v>
      </x:c>
      <x:c r="S220" s="24" t="str">
        <x:v>https://pubmed.ncbi.nlm.nih.gov/39359186/</x:v>
      </x:c>
    </x:row>
    <x:row r="221" ht="46" customHeight="1">
      <x:c r="A221" s="24" t="str">
        <x:v>Transversus thoracis</x:v>
      </x:c>
      <x:c r="B221" s="24" t="str">
        <x:v>Deep anterior thorax</x:v>
      </x:c>
      <x:c r="C221" s="24" t="str">
        <x:v>Stabilizer</x:v>
      </x:c>
      <x:c r="D221" s="24" t="str">
        <x:v>No</x:v>
      </x:c>
      <x:c r="E221" s="24" t="str">
        <x:v>No</x:v>
      </x:c>
      <x:c r="F221" s="24" t="str">
        <x:v>Yes</x:v>
      </x:c>
      <x:c r="G221" s="24" t="str">
        <x:v>Weakly depresses ribs; stabilizes anterior wall</x:v>
      </x:c>
      <x:c r="H221" s="24" t="str">
        <x:v>Posterior sternum and xiphoid</x:v>
      </x:c>
      <x:c r="I221" s="24" t="str">
        <x:v>Internal costal cartilages ribs 2-6</x:v>
      </x:c>
      <x:c r="J221" s="24" t="str">
        <x:v>Intercostal nerves</x:v>
      </x:c>
      <x:c r="K221" s="24" t="str">
        <x:v>T2-T6</x:v>
      </x:c>
      <x:c r="L221" s="24" t="str">
        <x:v>Thin tendinous slips to cartilages</x:v>
      </x:c>
      <x:c r="M221" s="24" t="str">
        <x:v>Radiate sternocostal ligaments anterior to attachments</x:v>
      </x:c>
      <x:c r="N221" s="24" t="str">
        <x:v>Not established</x:v>
      </x:c>
      <x:c r="O221" s="24" t="str">
        <x:v>Not established</x:v>
      </x:c>
      <x:c r="P221" s="24" t="str">
        <x:v>Mixed Type I and Type II; ratio unverified</x:v>
      </x:c>
      <x:c r="Q221" s="24" t="str">
        <x:v>Published biopsies insufficient to state a reliable per-muscle percentage; no inference from function</x:v>
      </x:c>
      <x:c r="R221" s="24" t="str">
        <x:v>https://www.kenhub.com/en/library/anatomy/thorax</x:v>
      </x:c>
      <x:c r="S221" s="24" t="str">
        <x:v>https://pubmed.ncbi.nlm.nih.gov/39359186/</x:v>
      </x:c>
    </x:row>
    <x:row r="222" ht="46" customHeight="1">
      <x:c r="A222" s="24" t="str">
        <x:v>Subcostales (variable rib-spanning slips)</x:v>
      </x:c>
      <x:c r="B222" s="24" t="str">
        <x:v>Deep posterior thorax</x:v>
      </x:c>
      <x:c r="C222" s="24" t="str">
        <x:v>Stabilizer</x:v>
      </x:c>
      <x:c r="D222" s="24" t="str">
        <x:v>No</x:v>
      </x:c>
      <x:c r="E222" s="24" t="str">
        <x:v>No</x:v>
      </x:c>
      <x:c r="F222" s="24" t="str">
        <x:v>Yes</x:v>
      </x:c>
      <x:c r="G222" s="24" t="str">
        <x:v>Depress ribs; stabilize thoracic wall</x:v>
      </x:c>
      <x:c r="H222" s="24" t="str">
        <x:v>Inner surface of lower ribs near angles</x:v>
      </x:c>
      <x:c r="I222" s="24" t="str">
        <x:v>Inner surface of rib 2-3 levels below</x:v>
      </x:c>
      <x:c r="J222" s="24" t="str">
        <x:v>Intercostal nerves</x:v>
      </x:c>
      <x:c r="K222" s="24" t="str">
        <x:v>T7-T11 segmental</x:v>
      </x:c>
      <x:c r="L222" s="24" t="str">
        <x:v>Short rib tendinous slips</x:v>
      </x:c>
      <x:c r="M222" s="24" t="str">
        <x:v>Costotransverse ligament adjacent</x:v>
      </x:c>
      <x:c r="N222" s="24" t="str">
        <x:v>Not established</x:v>
      </x:c>
      <x:c r="O222" s="24" t="str">
        <x:v>Not established</x:v>
      </x:c>
      <x:c r="P222" s="24" t="str">
        <x:v>Mixed Type I and Type II; ratio unverified</x:v>
      </x:c>
      <x:c r="Q222" s="24" t="str">
        <x:v>Published biopsies insufficient to state a reliable per-muscle percentage; no inference from function</x:v>
      </x:c>
      <x:c r="R222" s="24" t="str">
        <x:v>https://www.kenhub.com/en/library/anatomy/thorax</x:v>
      </x:c>
      <x:c r="S222" s="24" t="str">
        <x:v>https://pubmed.ncbi.nlm.nih.gov/39359186/</x:v>
      </x:c>
    </x:row>
    <x:row r="223" ht="46" customHeight="1">
      <x:c r="A223" s="24" t="str">
        <x:v>Serratus posterior inferior</x:v>
      </x:c>
      <x:c r="B223" s="24" t="str">
        <x:v>Intermediate extrinsic back</x:v>
      </x:c>
      <x:c r="C223" s="24" t="str">
        <x:v>Stabilizer</x:v>
      </x:c>
      <x:c r="D223" s="24" t="str">
        <x:v>No</x:v>
      </x:c>
      <x:c r="E223" s="24" t="str">
        <x:v>No</x:v>
      </x:c>
      <x:c r="F223" s="24" t="str">
        <x:v>Yes</x:v>
      </x:c>
      <x:c r="G223" s="24" t="str">
        <x:v>Proprioception; may depress lower ribs</x:v>
      </x:c>
      <x:c r="H223" s="24" t="str">
        <x:v>T11-L2 spinous processes; thoracolumbar fascia</x:v>
      </x:c>
      <x:c r="I223" s="24" t="str">
        <x:v>Inferior borders ribs 9-12</x:v>
      </x:c>
      <x:c r="J223" s="24" t="str">
        <x:v>Anterior rami intercostal/subcostal nerves</x:v>
      </x:c>
      <x:c r="K223" s="24" t="str">
        <x:v>T9-T12</x:v>
      </x:c>
      <x:c r="L223" s="24" t="str">
        <x:v>Broad aponeurotic origins/insertions</x:v>
      </x:c>
      <x:c r="M223" s="24" t="str">
        <x:v>Thoracolumbar fascia; supraspinous ligaments adjacent</x:v>
      </x:c>
      <x:c r="N223" s="24" t="str">
        <x:v>Not established</x:v>
      </x:c>
      <x:c r="O223" s="24" t="str">
        <x:v>Not established</x:v>
      </x:c>
      <x:c r="P223" s="24" t="str">
        <x:v>Mixed Type I and Type II; ratio unverified</x:v>
      </x:c>
      <x:c r="Q223" s="24" t="str">
        <x:v>Published biopsies insufficient to state a reliable per-muscle percentage; no inference from function</x:v>
      </x:c>
      <x:c r="R223" s="24" t="str">
        <x:v>https://www.kenhub.com/en/library/anatomy/thorax</x:v>
      </x:c>
      <x:c r="S223" s="24" t="str">
        <x:v>https://pubmed.ncbi.nlm.nih.gov/39359186/</x:v>
      </x:c>
    </x:row>
    <x:row r="224" ht="46" customHeight="1">
      <x:c r="A224" s="24" t="str">
        <x:v>Serratus posterior superior</x:v>
      </x:c>
      <x:c r="B224" s="24" t="str">
        <x:v>Intermediate extrinsic back</x:v>
      </x:c>
      <x:c r="C224" s="24" t="str">
        <x:v>Stabilizer</x:v>
      </x:c>
      <x:c r="D224" s="24" t="str">
        <x:v>No</x:v>
      </x:c>
      <x:c r="E224" s="24" t="str">
        <x:v>No</x:v>
      </x:c>
      <x:c r="F224" s="24" t="str">
        <x:v>Yes</x:v>
      </x:c>
      <x:c r="G224" s="24" t="str">
        <x:v>Proprioception; weak rib elevation</x:v>
      </x:c>
      <x:c r="H224" s="24" t="str">
        <x:v>Lower nuchal ligament; C7-T3 spinous processes</x:v>
      </x:c>
      <x:c r="I224" s="24" t="str">
        <x:v>Upper borders ribs 2-5 near angles</x:v>
      </x:c>
      <x:c r="J224" s="24" t="str">
        <x:v>Intercostal nerves</x:v>
      </x:c>
      <x:c r="K224" s="24" t="str">
        <x:v>T2-T5</x:v>
      </x:c>
      <x:c r="L224" s="24" t="str">
        <x:v>Thin aponeurosis</x:v>
      </x:c>
      <x:c r="M224" s="24" t="str">
        <x:v>Nuchal ligament direct origin</x:v>
      </x:c>
      <x:c r="N224" s="24" t="str">
        <x:v>Not established</x:v>
      </x:c>
      <x:c r="O224" s="24" t="str">
        <x:v>Not established</x:v>
      </x:c>
      <x:c r="P224" s="24" t="str">
        <x:v>Mixed Type I and Type II; ratio unverified</x:v>
      </x:c>
      <x:c r="Q224" s="24" t="str">
        <x:v>Published biopsies insufficient to state a reliable per-muscle percentage; no inference from function</x:v>
      </x:c>
      <x:c r="R224" s="24" t="str">
        <x:v>https://www.kenhub.com/en/library/anatomy/thorax</x:v>
      </x:c>
      <x:c r="S224" s="24" t="str">
        <x:v>https://pubmed.ncbi.nlm.nih.gov/39359186/</x:v>
      </x:c>
    </x:row>
    <x:row r="225" ht="46" customHeight="1">
      <x:c r="A225" s="24" t="str">
        <x:v>External intercostal (interspace 1, R1-R2)</x:v>
      </x:c>
      <x:c r="B225" s="24" t="str">
        <x:v>Segment-level fascicle</x:v>
      </x:c>
      <x:c r="C225" s="24" t="str">
        <x:v>Stabilizer</x:v>
      </x:c>
      <x:c r="D225" s="24" t="str">
        <x:v>No</x:v>
      </x:c>
      <x:c r="E225" s="24" t="str">
        <x:v>No</x:v>
      </x:c>
      <x:c r="F225" s="24" t="str">
        <x:v>Yes</x:v>
      </x:c>
      <x:c r="G225" s="24" t="str">
        <x:v>Elevates ribs during inspiration; interspace stiffness</x:v>
      </x:c>
      <x:c r="H225" s="24" t="str">
        <x:v>Inferior margin of rib 1</x:v>
      </x:c>
      <x:c r="I225" s="24" t="str">
        <x:v>Superior margin of rib 2</x:v>
      </x:c>
      <x:c r="J225" s="24" t="str">
        <x:v>Intercostal nerve 1</x:v>
      </x:c>
      <x:c r="K225" s="24" t="str">
        <x:v>T1</x:v>
      </x:c>
      <x:c r="L225" s="24" t="str">
        <x:v>Segmental rib-to-rib muscle attachment</x:v>
      </x:c>
      <x:c r="M225" s="24" t="str">
        <x:v>Costal periosteum/intercostal membrane; no specific direct ligament</x:v>
      </x:c>
      <x:c r="N225" s="24" t="str">
        <x:v>Not established</x:v>
      </x:c>
      <x:c r="O225" s="24" t="str">
        <x:v>Not established</x:v>
      </x:c>
      <x:c r="P225" s="24" t="str">
        <x:v>Mixed Type I and Type II; ratio unverified</x:v>
      </x:c>
      <x:c r="Q225" s="24" t="str">
        <x:v>Published biopsies insufficient to state a reliable per-muscle percentage; no inference from function</x:v>
      </x:c>
      <x:c r="R225" s="24" t="str">
        <x:v>https://www.kenhub.com/en/library/anatomy/thorax</x:v>
      </x:c>
      <x:c r="S225" s="24" t="str">
        <x:v>https://pubmed.ncbi.nlm.nih.gov/39359186/</x:v>
      </x:c>
    </x:row>
    <x:row r="226" ht="46" customHeight="1">
      <x:c r="A226" s="24" t="str">
        <x:v>External intercostal (interspace 10, R10-R11)</x:v>
      </x:c>
      <x:c r="B226" s="24" t="str">
        <x:v>Segment-level fascicle</x:v>
      </x:c>
      <x:c r="C226" s="24" t="str">
        <x:v>Stabilizer</x:v>
      </x:c>
      <x:c r="D226" s="24" t="str">
        <x:v>No</x:v>
      </x:c>
      <x:c r="E226" s="24" t="str">
        <x:v>No</x:v>
      </x:c>
      <x:c r="F226" s="24" t="str">
        <x:v>Yes</x:v>
      </x:c>
      <x:c r="G226" s="24" t="str">
        <x:v>Elevates ribs during inspiration; interspace stiffness</x:v>
      </x:c>
      <x:c r="H226" s="24" t="str">
        <x:v>Inferior margin of rib 10</x:v>
      </x:c>
      <x:c r="I226" s="24" t="str">
        <x:v>Superior margin of rib 11</x:v>
      </x:c>
      <x:c r="J226" s="24" t="str">
        <x:v>Intercostal nerve 10</x:v>
      </x:c>
      <x:c r="K226" s="24" t="str">
        <x:v>T10</x:v>
      </x:c>
      <x:c r="L226" s="24" t="str">
        <x:v>Segmental rib-to-rib muscle attachment</x:v>
      </x:c>
      <x:c r="M226" s="24" t="str">
        <x:v>Costal periosteum/intercostal membrane; no specific direct ligament</x:v>
      </x:c>
      <x:c r="N226" s="24" t="str">
        <x:v>Not established</x:v>
      </x:c>
      <x:c r="O226" s="24" t="str">
        <x:v>Not established</x:v>
      </x:c>
      <x:c r="P226" s="24" t="str">
        <x:v>Mixed Type I and Type II; ratio unverified</x:v>
      </x:c>
      <x:c r="Q226" s="24" t="str">
        <x:v>Published biopsies insufficient to state a reliable per-muscle percentage; no inference from function</x:v>
      </x:c>
      <x:c r="R226" s="24" t="str">
        <x:v>https://www.kenhub.com/en/library/anatomy/thorax</x:v>
      </x:c>
      <x:c r="S226" s="24" t="str">
        <x:v>https://pubmed.ncbi.nlm.nih.gov/39359186/</x:v>
      </x:c>
    </x:row>
    <x:row r="227" ht="46" customHeight="1">
      <x:c r="A227" s="24" t="str">
        <x:v>External intercostal (interspace 11, R11-R12)</x:v>
      </x:c>
      <x:c r="B227" s="24" t="str">
        <x:v>Segment-level fascicle</x:v>
      </x:c>
      <x:c r="C227" s="24" t="str">
        <x:v>Stabilizer</x:v>
      </x:c>
      <x:c r="D227" s="24" t="str">
        <x:v>No</x:v>
      </x:c>
      <x:c r="E227" s="24" t="str">
        <x:v>No</x:v>
      </x:c>
      <x:c r="F227" s="24" t="str">
        <x:v>Yes</x:v>
      </x:c>
      <x:c r="G227" s="24" t="str">
        <x:v>Elevates ribs during inspiration; interspace stiffness</x:v>
      </x:c>
      <x:c r="H227" s="24" t="str">
        <x:v>Inferior margin of rib 11</x:v>
      </x:c>
      <x:c r="I227" s="24" t="str">
        <x:v>Superior margin of rib 12</x:v>
      </x:c>
      <x:c r="J227" s="24" t="str">
        <x:v>Intercostal nerve 11</x:v>
      </x:c>
      <x:c r="K227" s="24" t="str">
        <x:v>T11</x:v>
      </x:c>
      <x:c r="L227" s="24" t="str">
        <x:v>Segmental rib-to-rib muscle attachment</x:v>
      </x:c>
      <x:c r="M227" s="24" t="str">
        <x:v>Costal periosteum/intercostal membrane; no specific direct ligament</x:v>
      </x:c>
      <x:c r="N227" s="24" t="str">
        <x:v>Not established</x:v>
      </x:c>
      <x:c r="O227" s="24" t="str">
        <x:v>Not established</x:v>
      </x:c>
      <x:c r="P227" s="24" t="str">
        <x:v>Mixed Type I and Type II; ratio unverified</x:v>
      </x:c>
      <x:c r="Q227" s="24" t="str">
        <x:v>Published biopsies insufficient to state a reliable per-muscle percentage; no inference from function</x:v>
      </x:c>
      <x:c r="R227" s="24" t="str">
        <x:v>https://www.kenhub.com/en/library/anatomy/thorax</x:v>
      </x:c>
      <x:c r="S227" s="24" t="str">
        <x:v>https://pubmed.ncbi.nlm.nih.gov/39359186/</x:v>
      </x:c>
    </x:row>
    <x:row r="228" ht="46" customHeight="1">
      <x:c r="A228" s="24" t="str">
        <x:v>External intercostal (interspace 2, R2-R3)</x:v>
      </x:c>
      <x:c r="B228" s="24" t="str">
        <x:v>Segment-level fascicle</x:v>
      </x:c>
      <x:c r="C228" s="24" t="str">
        <x:v>Stabilizer</x:v>
      </x:c>
      <x:c r="D228" s="24" t="str">
        <x:v>No</x:v>
      </x:c>
      <x:c r="E228" s="24" t="str">
        <x:v>No</x:v>
      </x:c>
      <x:c r="F228" s="24" t="str">
        <x:v>Yes</x:v>
      </x:c>
      <x:c r="G228" s="24" t="str">
        <x:v>Elevates ribs during inspiration; interspace stiffness</x:v>
      </x:c>
      <x:c r="H228" s="24" t="str">
        <x:v>Inferior margin of rib 2</x:v>
      </x:c>
      <x:c r="I228" s="24" t="str">
        <x:v>Superior margin of rib 3</x:v>
      </x:c>
      <x:c r="J228" s="24" t="str">
        <x:v>Intercostal nerve 2</x:v>
      </x:c>
      <x:c r="K228" s="24" t="str">
        <x:v>T2</x:v>
      </x:c>
      <x:c r="L228" s="24" t="str">
        <x:v>Segmental rib-to-rib muscle attachment</x:v>
      </x:c>
      <x:c r="M228" s="24" t="str">
        <x:v>Costal periosteum/intercostal membrane; no specific direct ligament</x:v>
      </x:c>
      <x:c r="N228" s="24" t="str">
        <x:v>Not established</x:v>
      </x:c>
      <x:c r="O228" s="24" t="str">
        <x:v>Not established</x:v>
      </x:c>
      <x:c r="P228" s="24" t="str">
        <x:v>Mixed Type I and Type II; ratio unverified</x:v>
      </x:c>
      <x:c r="Q228" s="24" t="str">
        <x:v>Published biopsies insufficient to state a reliable per-muscle percentage; no inference from function</x:v>
      </x:c>
      <x:c r="R228" s="24" t="str">
        <x:v>https://www.kenhub.com/en/library/anatomy/thorax</x:v>
      </x:c>
      <x:c r="S228" s="24" t="str">
        <x:v>https://pubmed.ncbi.nlm.nih.gov/39359186/</x:v>
      </x:c>
    </x:row>
    <x:row r="229" ht="46" customHeight="1">
      <x:c r="A229" s="24" t="str">
        <x:v>External intercostal (interspace 3, R3-R4)</x:v>
      </x:c>
      <x:c r="B229" s="24" t="str">
        <x:v>Segment-level fascicle</x:v>
      </x:c>
      <x:c r="C229" s="24" t="str">
        <x:v>Stabilizer</x:v>
      </x:c>
      <x:c r="D229" s="24" t="str">
        <x:v>No</x:v>
      </x:c>
      <x:c r="E229" s="24" t="str">
        <x:v>No</x:v>
      </x:c>
      <x:c r="F229" s="24" t="str">
        <x:v>Yes</x:v>
      </x:c>
      <x:c r="G229" s="24" t="str">
        <x:v>Elevates ribs during inspiration; interspace stiffness</x:v>
      </x:c>
      <x:c r="H229" s="24" t="str">
        <x:v>Inferior margin of rib 3</x:v>
      </x:c>
      <x:c r="I229" s="24" t="str">
        <x:v>Superior margin of rib 4</x:v>
      </x:c>
      <x:c r="J229" s="24" t="str">
        <x:v>Intercostal nerve 3</x:v>
      </x:c>
      <x:c r="K229" s="24" t="str">
        <x:v>T3</x:v>
      </x:c>
      <x:c r="L229" s="24" t="str">
        <x:v>Segmental rib-to-rib muscle attachment</x:v>
      </x:c>
      <x:c r="M229" s="24" t="str">
        <x:v>Costal periosteum/intercostal membrane; no specific direct ligament</x:v>
      </x:c>
      <x:c r="N229" s="24" t="str">
        <x:v>Not established</x:v>
      </x:c>
      <x:c r="O229" s="24" t="str">
        <x:v>Not established</x:v>
      </x:c>
      <x:c r="P229" s="24" t="str">
        <x:v>Mixed Type I and Type II; ratio unverified</x:v>
      </x:c>
      <x:c r="Q229" s="24" t="str">
        <x:v>Published biopsies insufficient to state a reliable per-muscle percentage; no inference from function</x:v>
      </x:c>
      <x:c r="R229" s="24" t="str">
        <x:v>https://www.kenhub.com/en/library/anatomy/thorax</x:v>
      </x:c>
      <x:c r="S229" s="24" t="str">
        <x:v>https://pubmed.ncbi.nlm.nih.gov/39359186/</x:v>
      </x:c>
    </x:row>
    <x:row r="230" ht="46" customHeight="1">
      <x:c r="A230" s="24" t="str">
        <x:v>External intercostal (interspace 4, R4-R5)</x:v>
      </x:c>
      <x:c r="B230" s="24" t="str">
        <x:v>Segment-level fascicle</x:v>
      </x:c>
      <x:c r="C230" s="24" t="str">
        <x:v>Stabilizer</x:v>
      </x:c>
      <x:c r="D230" s="24" t="str">
        <x:v>No</x:v>
      </x:c>
      <x:c r="E230" s="24" t="str">
        <x:v>No</x:v>
      </x:c>
      <x:c r="F230" s="24" t="str">
        <x:v>Yes</x:v>
      </x:c>
      <x:c r="G230" s="24" t="str">
        <x:v>Elevates ribs during inspiration; interspace stiffness</x:v>
      </x:c>
      <x:c r="H230" s="24" t="str">
        <x:v>Inferior margin of rib 4</x:v>
      </x:c>
      <x:c r="I230" s="24" t="str">
        <x:v>Superior margin of rib 5</x:v>
      </x:c>
      <x:c r="J230" s="24" t="str">
        <x:v>Intercostal nerve 4</x:v>
      </x:c>
      <x:c r="K230" s="24" t="str">
        <x:v>T4</x:v>
      </x:c>
      <x:c r="L230" s="24" t="str">
        <x:v>Segmental rib-to-rib muscle attachment</x:v>
      </x:c>
      <x:c r="M230" s="24" t="str">
        <x:v>Costal periosteum/intercostal membrane; no specific direct ligament</x:v>
      </x:c>
      <x:c r="N230" s="24" t="str">
        <x:v>Not established</x:v>
      </x:c>
      <x:c r="O230" s="24" t="str">
        <x:v>Not established</x:v>
      </x:c>
      <x:c r="P230" s="24" t="str">
        <x:v>Mixed Type I and Type II; ratio unverified</x:v>
      </x:c>
      <x:c r="Q230" s="24" t="str">
        <x:v>Published biopsies insufficient to state a reliable per-muscle percentage; no inference from function</x:v>
      </x:c>
      <x:c r="R230" s="24" t="str">
        <x:v>https://www.kenhub.com/en/library/anatomy/thorax</x:v>
      </x:c>
      <x:c r="S230" s="24" t="str">
        <x:v>https://pubmed.ncbi.nlm.nih.gov/39359186/</x:v>
      </x:c>
    </x:row>
    <x:row r="231" ht="46" customHeight="1">
      <x:c r="A231" s="24" t="str">
        <x:v>External intercostal (interspace 5, R5-R6)</x:v>
      </x:c>
      <x:c r="B231" s="24" t="str">
        <x:v>Segment-level fascicle</x:v>
      </x:c>
      <x:c r="C231" s="24" t="str">
        <x:v>Stabilizer</x:v>
      </x:c>
      <x:c r="D231" s="24" t="str">
        <x:v>No</x:v>
      </x:c>
      <x:c r="E231" s="24" t="str">
        <x:v>No</x:v>
      </x:c>
      <x:c r="F231" s="24" t="str">
        <x:v>Yes</x:v>
      </x:c>
      <x:c r="G231" s="24" t="str">
        <x:v>Elevates ribs during inspiration; interspace stiffness</x:v>
      </x:c>
      <x:c r="H231" s="24" t="str">
        <x:v>Inferior margin of rib 5</x:v>
      </x:c>
      <x:c r="I231" s="24" t="str">
        <x:v>Superior margin of rib 6</x:v>
      </x:c>
      <x:c r="J231" s="24" t="str">
        <x:v>Intercostal nerve 5</x:v>
      </x:c>
      <x:c r="K231" s="24" t="str">
        <x:v>T5</x:v>
      </x:c>
      <x:c r="L231" s="24" t="str">
        <x:v>Segmental rib-to-rib muscle attachment</x:v>
      </x:c>
      <x:c r="M231" s="24" t="str">
        <x:v>Costal periosteum/intercostal membrane; no specific direct ligament</x:v>
      </x:c>
      <x:c r="N231" s="24" t="str">
        <x:v>Not established</x:v>
      </x:c>
      <x:c r="O231" s="24" t="str">
        <x:v>Not established</x:v>
      </x:c>
      <x:c r="P231" s="24" t="str">
        <x:v>Mixed Type I and Type II; ratio unverified</x:v>
      </x:c>
      <x:c r="Q231" s="24" t="str">
        <x:v>Published biopsies insufficient to state a reliable per-muscle percentage; no inference from function</x:v>
      </x:c>
      <x:c r="R231" s="24" t="str">
        <x:v>https://www.kenhub.com/en/library/anatomy/thorax</x:v>
      </x:c>
      <x:c r="S231" s="24" t="str">
        <x:v>https://pubmed.ncbi.nlm.nih.gov/39359186/</x:v>
      </x:c>
    </x:row>
    <x:row r="232" ht="46" customHeight="1">
      <x:c r="A232" s="24" t="str">
        <x:v>External intercostal (interspace 6, R6-R7)</x:v>
      </x:c>
      <x:c r="B232" s="24" t="str">
        <x:v>Segment-level fascicle</x:v>
      </x:c>
      <x:c r="C232" s="24" t="str">
        <x:v>Stabilizer</x:v>
      </x:c>
      <x:c r="D232" s="24" t="str">
        <x:v>No</x:v>
      </x:c>
      <x:c r="E232" s="24" t="str">
        <x:v>No</x:v>
      </x:c>
      <x:c r="F232" s="24" t="str">
        <x:v>Yes</x:v>
      </x:c>
      <x:c r="G232" s="24" t="str">
        <x:v>Elevates ribs during inspiration; interspace stiffness</x:v>
      </x:c>
      <x:c r="H232" s="24" t="str">
        <x:v>Inferior margin of rib 6</x:v>
      </x:c>
      <x:c r="I232" s="24" t="str">
        <x:v>Superior margin of rib 7</x:v>
      </x:c>
      <x:c r="J232" s="24" t="str">
        <x:v>Intercostal nerve 6</x:v>
      </x:c>
      <x:c r="K232" s="24" t="str">
        <x:v>T6</x:v>
      </x:c>
      <x:c r="L232" s="24" t="str">
        <x:v>Segmental rib-to-rib muscle attachment</x:v>
      </x:c>
      <x:c r="M232" s="24" t="str">
        <x:v>Costal periosteum/intercostal membrane; no specific direct ligament</x:v>
      </x:c>
      <x:c r="N232" s="24" t="str">
        <x:v>Not established</x:v>
      </x:c>
      <x:c r="O232" s="24" t="str">
        <x:v>Not established</x:v>
      </x:c>
      <x:c r="P232" s="24" t="str">
        <x:v>Mixed Type I and Type II; ratio unverified</x:v>
      </x:c>
      <x:c r="Q232" s="24" t="str">
        <x:v>Published biopsies insufficient to state a reliable per-muscle percentage; no inference from function</x:v>
      </x:c>
      <x:c r="R232" s="24" t="str">
        <x:v>https://www.kenhub.com/en/library/anatomy/thorax</x:v>
      </x:c>
      <x:c r="S232" s="24" t="str">
        <x:v>https://pubmed.ncbi.nlm.nih.gov/39359186/</x:v>
      </x:c>
    </x:row>
    <x:row r="233" ht="46" customHeight="1">
      <x:c r="A233" s="24" t="str">
        <x:v>External intercostal (interspace 7, R7-R8)</x:v>
      </x:c>
      <x:c r="B233" s="24" t="str">
        <x:v>Segment-level fascicle</x:v>
      </x:c>
      <x:c r="C233" s="24" t="str">
        <x:v>Stabilizer</x:v>
      </x:c>
      <x:c r="D233" s="24" t="str">
        <x:v>No</x:v>
      </x:c>
      <x:c r="E233" s="24" t="str">
        <x:v>No</x:v>
      </x:c>
      <x:c r="F233" s="24" t="str">
        <x:v>Yes</x:v>
      </x:c>
      <x:c r="G233" s="24" t="str">
        <x:v>Elevates ribs during inspiration; interspace stiffness</x:v>
      </x:c>
      <x:c r="H233" s="24" t="str">
        <x:v>Inferior margin of rib 7</x:v>
      </x:c>
      <x:c r="I233" s="24" t="str">
        <x:v>Superior margin of rib 8</x:v>
      </x:c>
      <x:c r="J233" s="24" t="str">
        <x:v>Intercostal nerve 7</x:v>
      </x:c>
      <x:c r="K233" s="24" t="str">
        <x:v>T7</x:v>
      </x:c>
      <x:c r="L233" s="24" t="str">
        <x:v>Segmental rib-to-rib muscle attachment</x:v>
      </x:c>
      <x:c r="M233" s="24" t="str">
        <x:v>Costal periosteum/intercostal membrane; no specific direct ligament</x:v>
      </x:c>
      <x:c r="N233" s="24" t="str">
        <x:v>Not established</x:v>
      </x:c>
      <x:c r="O233" s="24" t="str">
        <x:v>Not established</x:v>
      </x:c>
      <x:c r="P233" s="24" t="str">
        <x:v>Mixed Type I and Type II; ratio unverified</x:v>
      </x:c>
      <x:c r="Q233" s="24" t="str">
        <x:v>Published biopsies insufficient to state a reliable per-muscle percentage; no inference from function</x:v>
      </x:c>
      <x:c r="R233" s="24" t="str">
        <x:v>https://www.kenhub.com/en/library/anatomy/thorax</x:v>
      </x:c>
      <x:c r="S233" s="24" t="str">
        <x:v>https://pubmed.ncbi.nlm.nih.gov/39359186/</x:v>
      </x:c>
    </x:row>
    <x:row r="234" ht="46" customHeight="1">
      <x:c r="A234" s="24" t="str">
        <x:v>External intercostal (interspace 8, R8-R9)</x:v>
      </x:c>
      <x:c r="B234" s="24" t="str">
        <x:v>Segment-level fascicle</x:v>
      </x:c>
      <x:c r="C234" s="24" t="str">
        <x:v>Stabilizer</x:v>
      </x:c>
      <x:c r="D234" s="24" t="str">
        <x:v>No</x:v>
      </x:c>
      <x:c r="E234" s="24" t="str">
        <x:v>No</x:v>
      </x:c>
      <x:c r="F234" s="24" t="str">
        <x:v>Yes</x:v>
      </x:c>
      <x:c r="G234" s="24" t="str">
        <x:v>Elevates ribs during inspiration; interspace stiffness</x:v>
      </x:c>
      <x:c r="H234" s="24" t="str">
        <x:v>Inferior margin of rib 8</x:v>
      </x:c>
      <x:c r="I234" s="24" t="str">
        <x:v>Superior margin of rib 9</x:v>
      </x:c>
      <x:c r="J234" s="24" t="str">
        <x:v>Intercostal nerve 8</x:v>
      </x:c>
      <x:c r="K234" s="24" t="str">
        <x:v>T8</x:v>
      </x:c>
      <x:c r="L234" s="24" t="str">
        <x:v>Segmental rib-to-rib muscle attachment</x:v>
      </x:c>
      <x:c r="M234" s="24" t="str">
        <x:v>Costal periosteum/intercostal membrane; no specific direct ligament</x:v>
      </x:c>
      <x:c r="N234" s="24" t="str">
        <x:v>Not established</x:v>
      </x:c>
      <x:c r="O234" s="24" t="str">
        <x:v>Not established</x:v>
      </x:c>
      <x:c r="P234" s="24" t="str">
        <x:v>Mixed Type I and Type II; ratio unverified</x:v>
      </x:c>
      <x:c r="Q234" s="24" t="str">
        <x:v>Published biopsies insufficient to state a reliable per-muscle percentage; no inference from function</x:v>
      </x:c>
      <x:c r="R234" s="24" t="str">
        <x:v>https://www.kenhub.com/en/library/anatomy/thorax</x:v>
      </x:c>
      <x:c r="S234" s="24" t="str">
        <x:v>https://pubmed.ncbi.nlm.nih.gov/39359186/</x:v>
      </x:c>
    </x:row>
    <x:row r="235" ht="46" customHeight="1">
      <x:c r="A235" s="24" t="str">
        <x:v>External intercostal (interspace 9, R9-R10)</x:v>
      </x:c>
      <x:c r="B235" s="24" t="str">
        <x:v>Segment-level fascicle</x:v>
      </x:c>
      <x:c r="C235" s="24" t="str">
        <x:v>Stabilizer</x:v>
      </x:c>
      <x:c r="D235" s="24" t="str">
        <x:v>No</x:v>
      </x:c>
      <x:c r="E235" s="24" t="str">
        <x:v>No</x:v>
      </x:c>
      <x:c r="F235" s="24" t="str">
        <x:v>Yes</x:v>
      </x:c>
      <x:c r="G235" s="24" t="str">
        <x:v>Elevates ribs during inspiration; interspace stiffness</x:v>
      </x:c>
      <x:c r="H235" s="24" t="str">
        <x:v>Inferior margin of rib 9</x:v>
      </x:c>
      <x:c r="I235" s="24" t="str">
        <x:v>Superior margin of rib 10</x:v>
      </x:c>
      <x:c r="J235" s="24" t="str">
        <x:v>Intercostal nerve 9</x:v>
      </x:c>
      <x:c r="K235" s="24" t="str">
        <x:v>T9</x:v>
      </x:c>
      <x:c r="L235" s="24" t="str">
        <x:v>Segmental rib-to-rib muscle attachment</x:v>
      </x:c>
      <x:c r="M235" s="24" t="str">
        <x:v>Costal periosteum/intercostal membrane; no specific direct ligament</x:v>
      </x:c>
      <x:c r="N235" s="24" t="str">
        <x:v>Not established</x:v>
      </x:c>
      <x:c r="O235" s="24" t="str">
        <x:v>Not established</x:v>
      </x:c>
      <x:c r="P235" s="24" t="str">
        <x:v>Mixed Type I and Type II; ratio unverified</x:v>
      </x:c>
      <x:c r="Q235" s="24" t="str">
        <x:v>Published biopsies insufficient to state a reliable per-muscle percentage; no inference from function</x:v>
      </x:c>
      <x:c r="R235" s="24" t="str">
        <x:v>https://www.kenhub.com/en/library/anatomy/thorax</x:v>
      </x:c>
      <x:c r="S235" s="24" t="str">
        <x:v>https://pubmed.ncbi.nlm.nih.gov/39359186/</x:v>
      </x:c>
    </x:row>
    <x:row r="236" ht="46" customHeight="1">
      <x:c r="A236" s="24" t="str">
        <x:v>Innermost intercostal (interspace 1, R1-R2)</x:v>
      </x:c>
      <x:c r="B236" s="24" t="str">
        <x:v>Segment-level fascicle</x:v>
      </x:c>
      <x:c r="C236" s="24" t="str">
        <x:v>Stabilizer</x:v>
      </x:c>
      <x:c r="D236" s="24" t="str">
        <x:v>No</x:v>
      </x:c>
      <x:c r="E236" s="24" t="str">
        <x:v>No</x:v>
      </x:c>
      <x:c r="F236" s="24" t="str">
        <x:v>Yes</x:v>
      </x:c>
      <x:c r="G236" s="24" t="str">
        <x:v>Assists rib movement and stabilizes interspace</x:v>
      </x:c>
      <x:c r="H236" s="24" t="str">
        <x:v>Inferior margin of rib 1</x:v>
      </x:c>
      <x:c r="I236" s="24" t="str">
        <x:v>Superior margin of rib 2</x:v>
      </x:c>
      <x:c r="J236" s="24" t="str">
        <x:v>Intercostal nerve 1</x:v>
      </x:c>
      <x:c r="K236" s="24" t="str">
        <x:v>T1</x:v>
      </x:c>
      <x:c r="L236" s="24" t="str">
        <x:v>Segmental rib-to-rib muscle attachment</x:v>
      </x:c>
      <x:c r="M236" s="24" t="str">
        <x:v>Costal periosteum/intercostal membrane; no specific direct ligament</x:v>
      </x:c>
      <x:c r="N236" s="24" t="str">
        <x:v>Not established</x:v>
      </x:c>
      <x:c r="O236" s="24" t="str">
        <x:v>Not established</x:v>
      </x:c>
      <x:c r="P236" s="24" t="str">
        <x:v>Mixed Type I and Type II; ratio unverified</x:v>
      </x:c>
      <x:c r="Q236" s="24" t="str">
        <x:v>Published biopsies insufficient to state a reliable per-muscle percentage; no inference from function</x:v>
      </x:c>
      <x:c r="R236" s="24" t="str">
        <x:v>https://www.kenhub.com/en/library/anatomy/thorax</x:v>
      </x:c>
      <x:c r="S236" s="24" t="str">
        <x:v>https://pubmed.ncbi.nlm.nih.gov/39359186/</x:v>
      </x:c>
    </x:row>
    <x:row r="237" ht="46" customHeight="1">
      <x:c r="A237" s="24" t="str">
        <x:v>Innermost intercostal (interspace 10, R10-R11)</x:v>
      </x:c>
      <x:c r="B237" s="24" t="str">
        <x:v>Segment-level fascicle</x:v>
      </x:c>
      <x:c r="C237" s="24" t="str">
        <x:v>Stabilizer</x:v>
      </x:c>
      <x:c r="D237" s="24" t="str">
        <x:v>No</x:v>
      </x:c>
      <x:c r="E237" s="24" t="str">
        <x:v>No</x:v>
      </x:c>
      <x:c r="F237" s="24" t="str">
        <x:v>Yes</x:v>
      </x:c>
      <x:c r="G237" s="24" t="str">
        <x:v>Assists rib movement and stabilizes interspace</x:v>
      </x:c>
      <x:c r="H237" s="24" t="str">
        <x:v>Inferior margin of rib 10</x:v>
      </x:c>
      <x:c r="I237" s="24" t="str">
        <x:v>Superior margin of rib 11</x:v>
      </x:c>
      <x:c r="J237" s="24" t="str">
        <x:v>Intercostal nerve 10</x:v>
      </x:c>
      <x:c r="K237" s="24" t="str">
        <x:v>T10</x:v>
      </x:c>
      <x:c r="L237" s="24" t="str">
        <x:v>Segmental rib-to-rib muscle attachment</x:v>
      </x:c>
      <x:c r="M237" s="24" t="str">
        <x:v>Costal periosteum/intercostal membrane; no specific direct ligament</x:v>
      </x:c>
      <x:c r="N237" s="24" t="str">
        <x:v>Not established</x:v>
      </x:c>
      <x:c r="O237" s="24" t="str">
        <x:v>Not established</x:v>
      </x:c>
      <x:c r="P237" s="24" t="str">
        <x:v>Mixed Type I and Type II; ratio unverified</x:v>
      </x:c>
      <x:c r="Q237" s="24" t="str">
        <x:v>Published biopsies insufficient to state a reliable per-muscle percentage; no inference from function</x:v>
      </x:c>
      <x:c r="R237" s="24" t="str">
        <x:v>https://www.kenhub.com/en/library/anatomy/thorax</x:v>
      </x:c>
      <x:c r="S237" s="24" t="str">
        <x:v>https://pubmed.ncbi.nlm.nih.gov/39359186/</x:v>
      </x:c>
    </x:row>
    <x:row r="238" ht="46" customHeight="1">
      <x:c r="A238" s="24" t="str">
        <x:v>Innermost intercostal (interspace 11, R11-R12)</x:v>
      </x:c>
      <x:c r="B238" s="24" t="str">
        <x:v>Segment-level fascicle</x:v>
      </x:c>
      <x:c r="C238" s="24" t="str">
        <x:v>Stabilizer</x:v>
      </x:c>
      <x:c r="D238" s="24" t="str">
        <x:v>No</x:v>
      </x:c>
      <x:c r="E238" s="24" t="str">
        <x:v>No</x:v>
      </x:c>
      <x:c r="F238" s="24" t="str">
        <x:v>Yes</x:v>
      </x:c>
      <x:c r="G238" s="24" t="str">
        <x:v>Assists rib movement and stabilizes interspace</x:v>
      </x:c>
      <x:c r="H238" s="24" t="str">
        <x:v>Inferior margin of rib 11</x:v>
      </x:c>
      <x:c r="I238" s="24" t="str">
        <x:v>Superior margin of rib 12</x:v>
      </x:c>
      <x:c r="J238" s="24" t="str">
        <x:v>Intercostal nerve 11</x:v>
      </x:c>
      <x:c r="K238" s="24" t="str">
        <x:v>T11</x:v>
      </x:c>
      <x:c r="L238" s="24" t="str">
        <x:v>Segmental rib-to-rib muscle attachment</x:v>
      </x:c>
      <x:c r="M238" s="24" t="str">
        <x:v>Costal periosteum/intercostal membrane; no specific direct ligament</x:v>
      </x:c>
      <x:c r="N238" s="24" t="str">
        <x:v>Not established</x:v>
      </x:c>
      <x:c r="O238" s="24" t="str">
        <x:v>Not established</x:v>
      </x:c>
      <x:c r="P238" s="24" t="str">
        <x:v>Mixed Type I and Type II; ratio unverified</x:v>
      </x:c>
      <x:c r="Q238" s="24" t="str">
        <x:v>Published biopsies insufficient to state a reliable per-muscle percentage; no inference from function</x:v>
      </x:c>
      <x:c r="R238" s="24" t="str">
        <x:v>https://www.kenhub.com/en/library/anatomy/thorax</x:v>
      </x:c>
      <x:c r="S238" s="24" t="str">
        <x:v>https://pubmed.ncbi.nlm.nih.gov/39359186/</x:v>
      </x:c>
    </x:row>
    <x:row r="239" ht="46" customHeight="1">
      <x:c r="A239" s="24" t="str">
        <x:v>Innermost intercostal (interspace 2, R2-R3)</x:v>
      </x:c>
      <x:c r="B239" s="24" t="str">
        <x:v>Segment-level fascicle</x:v>
      </x:c>
      <x:c r="C239" s="24" t="str">
        <x:v>Stabilizer</x:v>
      </x:c>
      <x:c r="D239" s="24" t="str">
        <x:v>No</x:v>
      </x:c>
      <x:c r="E239" s="24" t="str">
        <x:v>No</x:v>
      </x:c>
      <x:c r="F239" s="24" t="str">
        <x:v>Yes</x:v>
      </x:c>
      <x:c r="G239" s="24" t="str">
        <x:v>Assists rib movement and stabilizes interspace</x:v>
      </x:c>
      <x:c r="H239" s="24" t="str">
        <x:v>Inferior margin of rib 2</x:v>
      </x:c>
      <x:c r="I239" s="24" t="str">
        <x:v>Superior margin of rib 3</x:v>
      </x:c>
      <x:c r="J239" s="24" t="str">
        <x:v>Intercostal nerve 2</x:v>
      </x:c>
      <x:c r="K239" s="24" t="str">
        <x:v>T2</x:v>
      </x:c>
      <x:c r="L239" s="24" t="str">
        <x:v>Segmental rib-to-rib muscle attachment</x:v>
      </x:c>
      <x:c r="M239" s="24" t="str">
        <x:v>Costal periosteum/intercostal membrane; no specific direct ligament</x:v>
      </x:c>
      <x:c r="N239" s="24" t="str">
        <x:v>Not established</x:v>
      </x:c>
      <x:c r="O239" s="24" t="str">
        <x:v>Not established</x:v>
      </x:c>
      <x:c r="P239" s="24" t="str">
        <x:v>Mixed Type I and Type II; ratio unverified</x:v>
      </x:c>
      <x:c r="Q239" s="24" t="str">
        <x:v>Published biopsies insufficient to state a reliable per-muscle percentage; no inference from function</x:v>
      </x:c>
      <x:c r="R239" s="24" t="str">
        <x:v>https://www.kenhub.com/en/library/anatomy/thorax</x:v>
      </x:c>
      <x:c r="S239" s="24" t="str">
        <x:v>https://pubmed.ncbi.nlm.nih.gov/39359186/</x:v>
      </x:c>
    </x:row>
    <x:row r="240" ht="46" customHeight="1">
      <x:c r="A240" s="24" t="str">
        <x:v>Innermost intercostal (interspace 3, R3-R4)</x:v>
      </x:c>
      <x:c r="B240" s="24" t="str">
        <x:v>Segment-level fascicle</x:v>
      </x:c>
      <x:c r="C240" s="24" t="str">
        <x:v>Stabilizer</x:v>
      </x:c>
      <x:c r="D240" s="24" t="str">
        <x:v>No</x:v>
      </x:c>
      <x:c r="E240" s="24" t="str">
        <x:v>No</x:v>
      </x:c>
      <x:c r="F240" s="24" t="str">
        <x:v>Yes</x:v>
      </x:c>
      <x:c r="G240" s="24" t="str">
        <x:v>Assists rib movement and stabilizes interspace</x:v>
      </x:c>
      <x:c r="H240" s="24" t="str">
        <x:v>Inferior margin of rib 3</x:v>
      </x:c>
      <x:c r="I240" s="24" t="str">
        <x:v>Superior margin of rib 4</x:v>
      </x:c>
      <x:c r="J240" s="24" t="str">
        <x:v>Intercostal nerve 3</x:v>
      </x:c>
      <x:c r="K240" s="24" t="str">
        <x:v>T3</x:v>
      </x:c>
      <x:c r="L240" s="24" t="str">
        <x:v>Segmental rib-to-rib muscle attachment</x:v>
      </x:c>
      <x:c r="M240" s="24" t="str">
        <x:v>Costal periosteum/intercostal membrane; no specific direct ligament</x:v>
      </x:c>
      <x:c r="N240" s="24" t="str">
        <x:v>Not established</x:v>
      </x:c>
      <x:c r="O240" s="24" t="str">
        <x:v>Not established</x:v>
      </x:c>
      <x:c r="P240" s="24" t="str">
        <x:v>Mixed Type I and Type II; ratio unverified</x:v>
      </x:c>
      <x:c r="Q240" s="24" t="str">
        <x:v>Published biopsies insufficient to state a reliable per-muscle percentage; no inference from function</x:v>
      </x:c>
      <x:c r="R240" s="24" t="str">
        <x:v>https://www.kenhub.com/en/library/anatomy/thorax</x:v>
      </x:c>
      <x:c r="S240" s="24" t="str">
        <x:v>https://pubmed.ncbi.nlm.nih.gov/39359186/</x:v>
      </x:c>
    </x:row>
    <x:row r="241" ht="46" customHeight="1">
      <x:c r="A241" s="24" t="str">
        <x:v>Innermost intercostal (interspace 4, R4-R5)</x:v>
      </x:c>
      <x:c r="B241" s="24" t="str">
        <x:v>Segment-level fascicle</x:v>
      </x:c>
      <x:c r="C241" s="24" t="str">
        <x:v>Stabilizer</x:v>
      </x:c>
      <x:c r="D241" s="24" t="str">
        <x:v>No</x:v>
      </x:c>
      <x:c r="E241" s="24" t="str">
        <x:v>No</x:v>
      </x:c>
      <x:c r="F241" s="24" t="str">
        <x:v>Yes</x:v>
      </x:c>
      <x:c r="G241" s="24" t="str">
        <x:v>Assists rib movement and stabilizes interspace</x:v>
      </x:c>
      <x:c r="H241" s="24" t="str">
        <x:v>Inferior margin of rib 4</x:v>
      </x:c>
      <x:c r="I241" s="24" t="str">
        <x:v>Superior margin of rib 5</x:v>
      </x:c>
      <x:c r="J241" s="24" t="str">
        <x:v>Intercostal nerve 4</x:v>
      </x:c>
      <x:c r="K241" s="24" t="str">
        <x:v>T4</x:v>
      </x:c>
      <x:c r="L241" s="24" t="str">
        <x:v>Segmental rib-to-rib muscle attachment</x:v>
      </x:c>
      <x:c r="M241" s="24" t="str">
        <x:v>Costal periosteum/intercostal membrane; no specific direct ligament</x:v>
      </x:c>
      <x:c r="N241" s="24" t="str">
        <x:v>Not established</x:v>
      </x:c>
      <x:c r="O241" s="24" t="str">
        <x:v>Not established</x:v>
      </x:c>
      <x:c r="P241" s="24" t="str">
        <x:v>Mixed Type I and Type II; ratio unverified</x:v>
      </x:c>
      <x:c r="Q241" s="24" t="str">
        <x:v>Published biopsies insufficient to state a reliable per-muscle percentage; no inference from function</x:v>
      </x:c>
      <x:c r="R241" s="24" t="str">
        <x:v>https://www.kenhub.com/en/library/anatomy/thorax</x:v>
      </x:c>
      <x:c r="S241" s="24" t="str">
        <x:v>https://pubmed.ncbi.nlm.nih.gov/39359186/</x:v>
      </x:c>
    </x:row>
    <x:row r="242" ht="46" customHeight="1">
      <x:c r="A242" s="24" t="str">
        <x:v>Innermost intercostal (interspace 5, R5-R6)</x:v>
      </x:c>
      <x:c r="B242" s="24" t="str">
        <x:v>Segment-level fascicle</x:v>
      </x:c>
      <x:c r="C242" s="24" t="str">
        <x:v>Stabilizer</x:v>
      </x:c>
      <x:c r="D242" s="24" t="str">
        <x:v>No</x:v>
      </x:c>
      <x:c r="E242" s="24" t="str">
        <x:v>No</x:v>
      </x:c>
      <x:c r="F242" s="24" t="str">
        <x:v>Yes</x:v>
      </x:c>
      <x:c r="G242" s="24" t="str">
        <x:v>Assists rib movement and stabilizes interspace</x:v>
      </x:c>
      <x:c r="H242" s="24" t="str">
        <x:v>Inferior margin of rib 5</x:v>
      </x:c>
      <x:c r="I242" s="24" t="str">
        <x:v>Superior margin of rib 6</x:v>
      </x:c>
      <x:c r="J242" s="24" t="str">
        <x:v>Intercostal nerve 5</x:v>
      </x:c>
      <x:c r="K242" s="24" t="str">
        <x:v>T5</x:v>
      </x:c>
      <x:c r="L242" s="24" t="str">
        <x:v>Segmental rib-to-rib muscle attachment</x:v>
      </x:c>
      <x:c r="M242" s="24" t="str">
        <x:v>Costal periosteum/intercostal membrane; no specific direct ligament</x:v>
      </x:c>
      <x:c r="N242" s="24" t="str">
        <x:v>Not established</x:v>
      </x:c>
      <x:c r="O242" s="24" t="str">
        <x:v>Not established</x:v>
      </x:c>
      <x:c r="P242" s="24" t="str">
        <x:v>Mixed Type I and Type II; ratio unverified</x:v>
      </x:c>
      <x:c r="Q242" s="24" t="str">
        <x:v>Published biopsies insufficient to state a reliable per-muscle percentage; no inference from function</x:v>
      </x:c>
      <x:c r="R242" s="24" t="str">
        <x:v>https://www.kenhub.com/en/library/anatomy/thorax</x:v>
      </x:c>
      <x:c r="S242" s="24" t="str">
        <x:v>https://pubmed.ncbi.nlm.nih.gov/39359186/</x:v>
      </x:c>
    </x:row>
    <x:row r="243" ht="46" customHeight="1">
      <x:c r="A243" s="24" t="str">
        <x:v>Innermost intercostal (interspace 6, R6-R7)</x:v>
      </x:c>
      <x:c r="B243" s="24" t="str">
        <x:v>Segment-level fascicle</x:v>
      </x:c>
      <x:c r="C243" s="24" t="str">
        <x:v>Stabilizer</x:v>
      </x:c>
      <x:c r="D243" s="24" t="str">
        <x:v>No</x:v>
      </x:c>
      <x:c r="E243" s="24" t="str">
        <x:v>No</x:v>
      </x:c>
      <x:c r="F243" s="24" t="str">
        <x:v>Yes</x:v>
      </x:c>
      <x:c r="G243" s="24" t="str">
        <x:v>Assists rib movement and stabilizes interspace</x:v>
      </x:c>
      <x:c r="H243" s="24" t="str">
        <x:v>Inferior margin of rib 6</x:v>
      </x:c>
      <x:c r="I243" s="24" t="str">
        <x:v>Superior margin of rib 7</x:v>
      </x:c>
      <x:c r="J243" s="24" t="str">
        <x:v>Intercostal nerve 6</x:v>
      </x:c>
      <x:c r="K243" s="24" t="str">
        <x:v>T6</x:v>
      </x:c>
      <x:c r="L243" s="24" t="str">
        <x:v>Segmental rib-to-rib muscle attachment</x:v>
      </x:c>
      <x:c r="M243" s="24" t="str">
        <x:v>Costal periosteum/intercostal membrane; no specific direct ligament</x:v>
      </x:c>
      <x:c r="N243" s="24" t="str">
        <x:v>Not established</x:v>
      </x:c>
      <x:c r="O243" s="24" t="str">
        <x:v>Not established</x:v>
      </x:c>
      <x:c r="P243" s="24" t="str">
        <x:v>Mixed Type I and Type II; ratio unverified</x:v>
      </x:c>
      <x:c r="Q243" s="24" t="str">
        <x:v>Published biopsies insufficient to state a reliable per-muscle percentage; no inference from function</x:v>
      </x:c>
      <x:c r="R243" s="24" t="str">
        <x:v>https://www.kenhub.com/en/library/anatomy/thorax</x:v>
      </x:c>
      <x:c r="S243" s="24" t="str">
        <x:v>https://pubmed.ncbi.nlm.nih.gov/39359186/</x:v>
      </x:c>
    </x:row>
    <x:row r="244" ht="46" customHeight="1">
      <x:c r="A244" s="24" t="str">
        <x:v>Innermost intercostal (interspace 7, R7-R8)</x:v>
      </x:c>
      <x:c r="B244" s="24" t="str">
        <x:v>Segment-level fascicle</x:v>
      </x:c>
      <x:c r="C244" s="24" t="str">
        <x:v>Stabilizer</x:v>
      </x:c>
      <x:c r="D244" s="24" t="str">
        <x:v>No</x:v>
      </x:c>
      <x:c r="E244" s="24" t="str">
        <x:v>No</x:v>
      </x:c>
      <x:c r="F244" s="24" t="str">
        <x:v>Yes</x:v>
      </x:c>
      <x:c r="G244" s="24" t="str">
        <x:v>Assists rib movement and stabilizes interspace</x:v>
      </x:c>
      <x:c r="H244" s="24" t="str">
        <x:v>Inferior margin of rib 7</x:v>
      </x:c>
      <x:c r="I244" s="24" t="str">
        <x:v>Superior margin of rib 8</x:v>
      </x:c>
      <x:c r="J244" s="24" t="str">
        <x:v>Intercostal nerve 7</x:v>
      </x:c>
      <x:c r="K244" s="24" t="str">
        <x:v>T7</x:v>
      </x:c>
      <x:c r="L244" s="24" t="str">
        <x:v>Segmental rib-to-rib muscle attachment</x:v>
      </x:c>
      <x:c r="M244" s="24" t="str">
        <x:v>Costal periosteum/intercostal membrane; no specific direct ligament</x:v>
      </x:c>
      <x:c r="N244" s="24" t="str">
        <x:v>Not established</x:v>
      </x:c>
      <x:c r="O244" s="24" t="str">
        <x:v>Not established</x:v>
      </x:c>
      <x:c r="P244" s="24" t="str">
        <x:v>Mixed Type I and Type II; ratio unverified</x:v>
      </x:c>
      <x:c r="Q244" s="24" t="str">
        <x:v>Published biopsies insufficient to state a reliable per-muscle percentage; no inference from function</x:v>
      </x:c>
      <x:c r="R244" s="24" t="str">
        <x:v>https://www.kenhub.com/en/library/anatomy/thorax</x:v>
      </x:c>
      <x:c r="S244" s="24" t="str">
        <x:v>https://pubmed.ncbi.nlm.nih.gov/39359186/</x:v>
      </x:c>
    </x:row>
    <x:row r="245" ht="46" customHeight="1">
      <x:c r="A245" s="24" t="str">
        <x:v>Innermost intercostal (interspace 8, R8-R9)</x:v>
      </x:c>
      <x:c r="B245" s="24" t="str">
        <x:v>Segment-level fascicle</x:v>
      </x:c>
      <x:c r="C245" s="24" t="str">
        <x:v>Stabilizer</x:v>
      </x:c>
      <x:c r="D245" s="24" t="str">
        <x:v>No</x:v>
      </x:c>
      <x:c r="E245" s="24" t="str">
        <x:v>No</x:v>
      </x:c>
      <x:c r="F245" s="24" t="str">
        <x:v>Yes</x:v>
      </x:c>
      <x:c r="G245" s="24" t="str">
        <x:v>Assists rib movement and stabilizes interspace</x:v>
      </x:c>
      <x:c r="H245" s="24" t="str">
        <x:v>Inferior margin of rib 8</x:v>
      </x:c>
      <x:c r="I245" s="24" t="str">
        <x:v>Superior margin of rib 9</x:v>
      </x:c>
      <x:c r="J245" s="24" t="str">
        <x:v>Intercostal nerve 8</x:v>
      </x:c>
      <x:c r="K245" s="24" t="str">
        <x:v>T8</x:v>
      </x:c>
      <x:c r="L245" s="24" t="str">
        <x:v>Segmental rib-to-rib muscle attachment</x:v>
      </x:c>
      <x:c r="M245" s="24" t="str">
        <x:v>Costal periosteum/intercostal membrane; no specific direct ligament</x:v>
      </x:c>
      <x:c r="N245" s="24" t="str">
        <x:v>Not established</x:v>
      </x:c>
      <x:c r="O245" s="24" t="str">
        <x:v>Not established</x:v>
      </x:c>
      <x:c r="P245" s="24" t="str">
        <x:v>Mixed Type I and Type II; ratio unverified</x:v>
      </x:c>
      <x:c r="Q245" s="24" t="str">
        <x:v>Published biopsies insufficient to state a reliable per-muscle percentage; no inference from function</x:v>
      </x:c>
      <x:c r="R245" s="24" t="str">
        <x:v>https://www.kenhub.com/en/library/anatomy/thorax</x:v>
      </x:c>
      <x:c r="S245" s="24" t="str">
        <x:v>https://pubmed.ncbi.nlm.nih.gov/39359186/</x:v>
      </x:c>
    </x:row>
    <x:row r="246" ht="46" customHeight="1">
      <x:c r="A246" s="24" t="str">
        <x:v>Innermost intercostal (interspace 9, R9-R10)</x:v>
      </x:c>
      <x:c r="B246" s="24" t="str">
        <x:v>Segment-level fascicle</x:v>
      </x:c>
      <x:c r="C246" s="24" t="str">
        <x:v>Stabilizer</x:v>
      </x:c>
      <x:c r="D246" s="24" t="str">
        <x:v>No</x:v>
      </x:c>
      <x:c r="E246" s="24" t="str">
        <x:v>No</x:v>
      </x:c>
      <x:c r="F246" s="24" t="str">
        <x:v>Yes</x:v>
      </x:c>
      <x:c r="G246" s="24" t="str">
        <x:v>Assists rib movement and stabilizes interspace</x:v>
      </x:c>
      <x:c r="H246" s="24" t="str">
        <x:v>Inferior margin of rib 9</x:v>
      </x:c>
      <x:c r="I246" s="24" t="str">
        <x:v>Superior margin of rib 10</x:v>
      </x:c>
      <x:c r="J246" s="24" t="str">
        <x:v>Intercostal nerve 9</x:v>
      </x:c>
      <x:c r="K246" s="24" t="str">
        <x:v>T9</x:v>
      </x:c>
      <x:c r="L246" s="24" t="str">
        <x:v>Segmental rib-to-rib muscle attachment</x:v>
      </x:c>
      <x:c r="M246" s="24" t="str">
        <x:v>Costal periosteum/intercostal membrane; no specific direct ligament</x:v>
      </x:c>
      <x:c r="N246" s="24" t="str">
        <x:v>Not established</x:v>
      </x:c>
      <x:c r="O246" s="24" t="str">
        <x:v>Not established</x:v>
      </x:c>
      <x:c r="P246" s="24" t="str">
        <x:v>Mixed Type I and Type II; ratio unverified</x:v>
      </x:c>
      <x:c r="Q246" s="24" t="str">
        <x:v>Published biopsies insufficient to state a reliable per-muscle percentage; no inference from function</x:v>
      </x:c>
      <x:c r="R246" s="24" t="str">
        <x:v>https://www.kenhub.com/en/library/anatomy/thorax</x:v>
      </x:c>
      <x:c r="S246" s="24" t="str">
        <x:v>https://pubmed.ncbi.nlm.nih.gov/39359186/</x:v>
      </x:c>
    </x:row>
    <x:row r="247" ht="46" customHeight="1">
      <x:c r="A247" s="24" t="str">
        <x:v>Internal intercostal (interspace 1, R1-R2)</x:v>
      </x:c>
      <x:c r="B247" s="24" t="str">
        <x:v>Segment-level fascicle</x:v>
      </x:c>
      <x:c r="C247" s="24" t="str">
        <x:v>Stabilizer</x:v>
      </x:c>
      <x:c r="D247" s="24" t="str">
        <x:v>No</x:v>
      </x:c>
      <x:c r="E247" s="24" t="str">
        <x:v>No</x:v>
      </x:c>
      <x:c r="F247" s="24" t="str">
        <x:v>Yes</x:v>
      </x:c>
      <x:c r="G247" s="24" t="str">
        <x:v>Interosseous portion depresses rib; interchondral portion elevates</x:v>
      </x:c>
      <x:c r="H247" s="24" t="str">
        <x:v>Inferior margin of rib 1</x:v>
      </x:c>
      <x:c r="I247" s="24" t="str">
        <x:v>Superior margin of rib 2</x:v>
      </x:c>
      <x:c r="J247" s="24" t="str">
        <x:v>Intercostal nerve 1</x:v>
      </x:c>
      <x:c r="K247" s="24" t="str">
        <x:v>T1</x:v>
      </x:c>
      <x:c r="L247" s="24" t="str">
        <x:v>Segmental rib-to-rib muscle attachment</x:v>
      </x:c>
      <x:c r="M247" s="24" t="str">
        <x:v>Costal periosteum/intercostal membrane; no specific direct ligament</x:v>
      </x:c>
      <x:c r="N247" s="24" t="str">
        <x:v>Not established</x:v>
      </x:c>
      <x:c r="O247" s="24" t="str">
        <x:v>Not established</x:v>
      </x:c>
      <x:c r="P247" s="24" t="str">
        <x:v>Mixed Type I and Type II; ratio unverified</x:v>
      </x:c>
      <x:c r="Q247" s="24" t="str">
        <x:v>Published biopsies insufficient to state a reliable per-muscle percentage; no inference from function</x:v>
      </x:c>
      <x:c r="R247" s="24" t="str">
        <x:v>https://www.kenhub.com/en/library/anatomy/thorax</x:v>
      </x:c>
      <x:c r="S247" s="24" t="str">
        <x:v>https://pubmed.ncbi.nlm.nih.gov/39359186/</x:v>
      </x:c>
    </x:row>
    <x:row r="248" ht="46" customHeight="1">
      <x:c r="A248" s="24" t="str">
        <x:v>Internal intercostal (interspace 10, R10-R11)</x:v>
      </x:c>
      <x:c r="B248" s="24" t="str">
        <x:v>Segment-level fascicle</x:v>
      </x:c>
      <x:c r="C248" s="24" t="str">
        <x:v>Stabilizer</x:v>
      </x:c>
      <x:c r="D248" s="24" t="str">
        <x:v>No</x:v>
      </x:c>
      <x:c r="E248" s="24" t="str">
        <x:v>No</x:v>
      </x:c>
      <x:c r="F248" s="24" t="str">
        <x:v>Yes</x:v>
      </x:c>
      <x:c r="G248" s="24" t="str">
        <x:v>Interosseous portion depresses rib; interchondral portion elevates</x:v>
      </x:c>
      <x:c r="H248" s="24" t="str">
        <x:v>Inferior margin of rib 10</x:v>
      </x:c>
      <x:c r="I248" s="24" t="str">
        <x:v>Superior margin of rib 11</x:v>
      </x:c>
      <x:c r="J248" s="24" t="str">
        <x:v>Intercostal nerve 10</x:v>
      </x:c>
      <x:c r="K248" s="24" t="str">
        <x:v>T10</x:v>
      </x:c>
      <x:c r="L248" s="24" t="str">
        <x:v>Segmental rib-to-rib muscle attachment</x:v>
      </x:c>
      <x:c r="M248" s="24" t="str">
        <x:v>Costal periosteum/intercostal membrane; no specific direct ligament</x:v>
      </x:c>
      <x:c r="N248" s="24" t="str">
        <x:v>Not established</x:v>
      </x:c>
      <x:c r="O248" s="24" t="str">
        <x:v>Not established</x:v>
      </x:c>
      <x:c r="P248" s="24" t="str">
        <x:v>Mixed Type I and Type II; ratio unverified</x:v>
      </x:c>
      <x:c r="Q248" s="24" t="str">
        <x:v>Published biopsies insufficient to state a reliable per-muscle percentage; no inference from function</x:v>
      </x:c>
      <x:c r="R248" s="24" t="str">
        <x:v>https://www.kenhub.com/en/library/anatomy/thorax</x:v>
      </x:c>
      <x:c r="S248" s="24" t="str">
        <x:v>https://pubmed.ncbi.nlm.nih.gov/39359186/</x:v>
      </x:c>
    </x:row>
    <x:row r="249" ht="46" customHeight="1">
      <x:c r="A249" s="24" t="str">
        <x:v>Internal intercostal (interspace 11, R11-R12)</x:v>
      </x:c>
      <x:c r="B249" s="24" t="str">
        <x:v>Segment-level fascicle</x:v>
      </x:c>
      <x:c r="C249" s="24" t="str">
        <x:v>Stabilizer</x:v>
      </x:c>
      <x:c r="D249" s="24" t="str">
        <x:v>No</x:v>
      </x:c>
      <x:c r="E249" s="24" t="str">
        <x:v>No</x:v>
      </x:c>
      <x:c r="F249" s="24" t="str">
        <x:v>Yes</x:v>
      </x:c>
      <x:c r="G249" s="24" t="str">
        <x:v>Interosseous portion depresses rib; interchondral portion elevates</x:v>
      </x:c>
      <x:c r="H249" s="24" t="str">
        <x:v>Inferior margin of rib 11</x:v>
      </x:c>
      <x:c r="I249" s="24" t="str">
        <x:v>Superior margin of rib 12</x:v>
      </x:c>
      <x:c r="J249" s="24" t="str">
        <x:v>Intercostal nerve 11</x:v>
      </x:c>
      <x:c r="K249" s="24" t="str">
        <x:v>T11</x:v>
      </x:c>
      <x:c r="L249" s="24" t="str">
        <x:v>Segmental rib-to-rib muscle attachment</x:v>
      </x:c>
      <x:c r="M249" s="24" t="str">
        <x:v>Costal periosteum/intercostal membrane; no specific direct ligament</x:v>
      </x:c>
      <x:c r="N249" s="24" t="str">
        <x:v>Not established</x:v>
      </x:c>
      <x:c r="O249" s="24" t="str">
        <x:v>Not established</x:v>
      </x:c>
      <x:c r="P249" s="24" t="str">
        <x:v>Mixed Type I and Type II; ratio unverified</x:v>
      </x:c>
      <x:c r="Q249" s="24" t="str">
        <x:v>Published biopsies insufficient to state a reliable per-muscle percentage; no inference from function</x:v>
      </x:c>
      <x:c r="R249" s="24" t="str">
        <x:v>https://www.kenhub.com/en/library/anatomy/thorax</x:v>
      </x:c>
      <x:c r="S249" s="24" t="str">
        <x:v>https://pubmed.ncbi.nlm.nih.gov/39359186/</x:v>
      </x:c>
    </x:row>
    <x:row r="250" ht="46" customHeight="1">
      <x:c r="A250" s="24" t="str">
        <x:v>Internal intercostal (interspace 2, R2-R3)</x:v>
      </x:c>
      <x:c r="B250" s="24" t="str">
        <x:v>Segment-level fascicle</x:v>
      </x:c>
      <x:c r="C250" s="24" t="str">
        <x:v>Stabilizer</x:v>
      </x:c>
      <x:c r="D250" s="24" t="str">
        <x:v>No</x:v>
      </x:c>
      <x:c r="E250" s="24" t="str">
        <x:v>No</x:v>
      </x:c>
      <x:c r="F250" s="24" t="str">
        <x:v>Yes</x:v>
      </x:c>
      <x:c r="G250" s="24" t="str">
        <x:v>Interosseous portion depresses rib; interchondral portion elevates</x:v>
      </x:c>
      <x:c r="H250" s="24" t="str">
        <x:v>Inferior margin of rib 2</x:v>
      </x:c>
      <x:c r="I250" s="24" t="str">
        <x:v>Superior margin of rib 3</x:v>
      </x:c>
      <x:c r="J250" s="24" t="str">
        <x:v>Intercostal nerve 2</x:v>
      </x:c>
      <x:c r="K250" s="24" t="str">
        <x:v>T2</x:v>
      </x:c>
      <x:c r="L250" s="24" t="str">
        <x:v>Segmental rib-to-rib muscle attachment</x:v>
      </x:c>
      <x:c r="M250" s="24" t="str">
        <x:v>Costal periosteum/intercostal membrane; no specific direct ligament</x:v>
      </x:c>
      <x:c r="N250" s="24" t="str">
        <x:v>Not established</x:v>
      </x:c>
      <x:c r="O250" s="24" t="str">
        <x:v>Not established</x:v>
      </x:c>
      <x:c r="P250" s="24" t="str">
        <x:v>Mixed Type I and Type II; ratio unverified</x:v>
      </x:c>
      <x:c r="Q250" s="24" t="str">
        <x:v>Published biopsies insufficient to state a reliable per-muscle percentage; no inference from function</x:v>
      </x:c>
      <x:c r="R250" s="24" t="str">
        <x:v>https://www.kenhub.com/en/library/anatomy/thorax</x:v>
      </x:c>
      <x:c r="S250" s="24" t="str">
        <x:v>https://pubmed.ncbi.nlm.nih.gov/39359186/</x:v>
      </x:c>
    </x:row>
    <x:row r="251" ht="46" customHeight="1">
      <x:c r="A251" s="24" t="str">
        <x:v>Internal intercostal (interspace 3, R3-R4)</x:v>
      </x:c>
      <x:c r="B251" s="24" t="str">
        <x:v>Segment-level fascicle</x:v>
      </x:c>
      <x:c r="C251" s="24" t="str">
        <x:v>Stabilizer</x:v>
      </x:c>
      <x:c r="D251" s="24" t="str">
        <x:v>No</x:v>
      </x:c>
      <x:c r="E251" s="24" t="str">
        <x:v>No</x:v>
      </x:c>
      <x:c r="F251" s="24" t="str">
        <x:v>Yes</x:v>
      </x:c>
      <x:c r="G251" s="24" t="str">
        <x:v>Interosseous portion depresses rib; interchondral portion elevates</x:v>
      </x:c>
      <x:c r="H251" s="24" t="str">
        <x:v>Inferior margin of rib 3</x:v>
      </x:c>
      <x:c r="I251" s="24" t="str">
        <x:v>Superior margin of rib 4</x:v>
      </x:c>
      <x:c r="J251" s="24" t="str">
        <x:v>Intercostal nerve 3</x:v>
      </x:c>
      <x:c r="K251" s="24" t="str">
        <x:v>T3</x:v>
      </x:c>
      <x:c r="L251" s="24" t="str">
        <x:v>Segmental rib-to-rib muscle attachment</x:v>
      </x:c>
      <x:c r="M251" s="24" t="str">
        <x:v>Costal periosteum/intercostal membrane; no specific direct ligament</x:v>
      </x:c>
      <x:c r="N251" s="24" t="str">
        <x:v>Not established</x:v>
      </x:c>
      <x:c r="O251" s="24" t="str">
        <x:v>Not established</x:v>
      </x:c>
      <x:c r="P251" s="24" t="str">
        <x:v>Mixed Type I and Type II; ratio unverified</x:v>
      </x:c>
      <x:c r="Q251" s="24" t="str">
        <x:v>Published biopsies insufficient to state a reliable per-muscle percentage; no inference from function</x:v>
      </x:c>
      <x:c r="R251" s="24" t="str">
        <x:v>https://www.kenhub.com/en/library/anatomy/thorax</x:v>
      </x:c>
      <x:c r="S251" s="24" t="str">
        <x:v>https://pubmed.ncbi.nlm.nih.gov/39359186/</x:v>
      </x:c>
    </x:row>
    <x:row r="252" ht="46" customHeight="1">
      <x:c r="A252" s="24" t="str">
        <x:v>Internal intercostal (interspace 4, R4-R5)</x:v>
      </x:c>
      <x:c r="B252" s="24" t="str">
        <x:v>Segment-level fascicle</x:v>
      </x:c>
      <x:c r="C252" s="24" t="str">
        <x:v>Stabilizer</x:v>
      </x:c>
      <x:c r="D252" s="24" t="str">
        <x:v>No</x:v>
      </x:c>
      <x:c r="E252" s="24" t="str">
        <x:v>No</x:v>
      </x:c>
      <x:c r="F252" s="24" t="str">
        <x:v>Yes</x:v>
      </x:c>
      <x:c r="G252" s="24" t="str">
        <x:v>Interosseous portion depresses rib; interchondral portion elevates</x:v>
      </x:c>
      <x:c r="H252" s="24" t="str">
        <x:v>Inferior margin of rib 4</x:v>
      </x:c>
      <x:c r="I252" s="24" t="str">
        <x:v>Superior margin of rib 5</x:v>
      </x:c>
      <x:c r="J252" s="24" t="str">
        <x:v>Intercostal nerve 4</x:v>
      </x:c>
      <x:c r="K252" s="24" t="str">
        <x:v>T4</x:v>
      </x:c>
      <x:c r="L252" s="24" t="str">
        <x:v>Segmental rib-to-rib muscle attachment</x:v>
      </x:c>
      <x:c r="M252" s="24" t="str">
        <x:v>Costal periosteum/intercostal membrane; no specific direct ligament</x:v>
      </x:c>
      <x:c r="N252" s="24" t="str">
        <x:v>Not established</x:v>
      </x:c>
      <x:c r="O252" s="24" t="str">
        <x:v>Not established</x:v>
      </x:c>
      <x:c r="P252" s="24" t="str">
        <x:v>Mixed Type I and Type II; ratio unverified</x:v>
      </x:c>
      <x:c r="Q252" s="24" t="str">
        <x:v>Published biopsies insufficient to state a reliable per-muscle percentage; no inference from function</x:v>
      </x:c>
      <x:c r="R252" s="24" t="str">
        <x:v>https://www.kenhub.com/en/library/anatomy/thorax</x:v>
      </x:c>
      <x:c r="S252" s="24" t="str">
        <x:v>https://pubmed.ncbi.nlm.nih.gov/39359186/</x:v>
      </x:c>
    </x:row>
    <x:row r="253" ht="46" customHeight="1">
      <x:c r="A253" s="24" t="str">
        <x:v>Internal intercostal (interspace 5, R5-R6)</x:v>
      </x:c>
      <x:c r="B253" s="24" t="str">
        <x:v>Segment-level fascicle</x:v>
      </x:c>
      <x:c r="C253" s="24" t="str">
        <x:v>Stabilizer</x:v>
      </x:c>
      <x:c r="D253" s="24" t="str">
        <x:v>No</x:v>
      </x:c>
      <x:c r="E253" s="24" t="str">
        <x:v>No</x:v>
      </x:c>
      <x:c r="F253" s="24" t="str">
        <x:v>Yes</x:v>
      </x:c>
      <x:c r="G253" s="24" t="str">
        <x:v>Interosseous portion depresses rib; interchondral portion elevates</x:v>
      </x:c>
      <x:c r="H253" s="24" t="str">
        <x:v>Inferior margin of rib 5</x:v>
      </x:c>
      <x:c r="I253" s="24" t="str">
        <x:v>Superior margin of rib 6</x:v>
      </x:c>
      <x:c r="J253" s="24" t="str">
        <x:v>Intercostal nerve 5</x:v>
      </x:c>
      <x:c r="K253" s="24" t="str">
        <x:v>T5</x:v>
      </x:c>
      <x:c r="L253" s="24" t="str">
        <x:v>Segmental rib-to-rib muscle attachment</x:v>
      </x:c>
      <x:c r="M253" s="24" t="str">
        <x:v>Costal periosteum/intercostal membrane; no specific direct ligament</x:v>
      </x:c>
      <x:c r="N253" s="24" t="str">
        <x:v>Not established</x:v>
      </x:c>
      <x:c r="O253" s="24" t="str">
        <x:v>Not established</x:v>
      </x:c>
      <x:c r="P253" s="24" t="str">
        <x:v>Mixed Type I and Type II; ratio unverified</x:v>
      </x:c>
      <x:c r="Q253" s="24" t="str">
        <x:v>Published biopsies insufficient to state a reliable per-muscle percentage; no inference from function</x:v>
      </x:c>
      <x:c r="R253" s="24" t="str">
        <x:v>https://www.kenhub.com/en/library/anatomy/thorax</x:v>
      </x:c>
      <x:c r="S253" s="24" t="str">
        <x:v>https://pubmed.ncbi.nlm.nih.gov/39359186/</x:v>
      </x:c>
    </x:row>
    <x:row r="254" ht="46" customHeight="1">
      <x:c r="A254" s="24" t="str">
        <x:v>Internal intercostal (interspace 6, R6-R7)</x:v>
      </x:c>
      <x:c r="B254" s="24" t="str">
        <x:v>Segment-level fascicle</x:v>
      </x:c>
      <x:c r="C254" s="24" t="str">
        <x:v>Stabilizer</x:v>
      </x:c>
      <x:c r="D254" s="24" t="str">
        <x:v>No</x:v>
      </x:c>
      <x:c r="E254" s="24" t="str">
        <x:v>No</x:v>
      </x:c>
      <x:c r="F254" s="24" t="str">
        <x:v>Yes</x:v>
      </x:c>
      <x:c r="G254" s="24" t="str">
        <x:v>Interosseous portion depresses rib; interchondral portion elevates</x:v>
      </x:c>
      <x:c r="H254" s="24" t="str">
        <x:v>Inferior margin of rib 6</x:v>
      </x:c>
      <x:c r="I254" s="24" t="str">
        <x:v>Superior margin of rib 7</x:v>
      </x:c>
      <x:c r="J254" s="24" t="str">
        <x:v>Intercostal nerve 6</x:v>
      </x:c>
      <x:c r="K254" s="24" t="str">
        <x:v>T6</x:v>
      </x:c>
      <x:c r="L254" s="24" t="str">
        <x:v>Segmental rib-to-rib muscle attachment</x:v>
      </x:c>
      <x:c r="M254" s="24" t="str">
        <x:v>Costal periosteum/intercostal membrane; no specific direct ligament</x:v>
      </x:c>
      <x:c r="N254" s="24" t="str">
        <x:v>Not established</x:v>
      </x:c>
      <x:c r="O254" s="24" t="str">
        <x:v>Not established</x:v>
      </x:c>
      <x:c r="P254" s="24" t="str">
        <x:v>Mixed Type I and Type II; ratio unverified</x:v>
      </x:c>
      <x:c r="Q254" s="24" t="str">
        <x:v>Published biopsies insufficient to state a reliable per-muscle percentage; no inference from function</x:v>
      </x:c>
      <x:c r="R254" s="24" t="str">
        <x:v>https://www.kenhub.com/en/library/anatomy/thorax</x:v>
      </x:c>
      <x:c r="S254" s="24" t="str">
        <x:v>https://pubmed.ncbi.nlm.nih.gov/39359186/</x:v>
      </x:c>
    </x:row>
    <x:row r="255" ht="46" customHeight="1">
      <x:c r="A255" s="24" t="str">
        <x:v>Internal intercostal (interspace 7, R7-R8)</x:v>
      </x:c>
      <x:c r="B255" s="24" t="str">
        <x:v>Segment-level fascicle</x:v>
      </x:c>
      <x:c r="C255" s="24" t="str">
        <x:v>Stabilizer</x:v>
      </x:c>
      <x:c r="D255" s="24" t="str">
        <x:v>No</x:v>
      </x:c>
      <x:c r="E255" s="24" t="str">
        <x:v>No</x:v>
      </x:c>
      <x:c r="F255" s="24" t="str">
        <x:v>Yes</x:v>
      </x:c>
      <x:c r="G255" s="24" t="str">
        <x:v>Interosseous portion depresses rib; interchondral portion elevates</x:v>
      </x:c>
      <x:c r="H255" s="24" t="str">
        <x:v>Inferior margin of rib 7</x:v>
      </x:c>
      <x:c r="I255" s="24" t="str">
        <x:v>Superior margin of rib 8</x:v>
      </x:c>
      <x:c r="J255" s="24" t="str">
        <x:v>Intercostal nerve 7</x:v>
      </x:c>
      <x:c r="K255" s="24" t="str">
        <x:v>T7</x:v>
      </x:c>
      <x:c r="L255" s="24" t="str">
        <x:v>Segmental rib-to-rib muscle attachment</x:v>
      </x:c>
      <x:c r="M255" s="24" t="str">
        <x:v>Costal periosteum/intercostal membrane; no specific direct ligament</x:v>
      </x:c>
      <x:c r="N255" s="24" t="str">
        <x:v>Not established</x:v>
      </x:c>
      <x:c r="O255" s="24" t="str">
        <x:v>Not established</x:v>
      </x:c>
      <x:c r="P255" s="24" t="str">
        <x:v>Mixed Type I and Type II; ratio unverified</x:v>
      </x:c>
      <x:c r="Q255" s="24" t="str">
        <x:v>Published biopsies insufficient to state a reliable per-muscle percentage; no inference from function</x:v>
      </x:c>
      <x:c r="R255" s="24" t="str">
        <x:v>https://www.kenhub.com/en/library/anatomy/thorax</x:v>
      </x:c>
      <x:c r="S255" s="24" t="str">
        <x:v>https://pubmed.ncbi.nlm.nih.gov/39359186/</x:v>
      </x:c>
    </x:row>
    <x:row r="256" ht="46" customHeight="1">
      <x:c r="A256" s="24" t="str">
        <x:v>Internal intercostal (interspace 8, R8-R9)</x:v>
      </x:c>
      <x:c r="B256" s="24" t="str">
        <x:v>Segment-level fascicle</x:v>
      </x:c>
      <x:c r="C256" s="24" t="str">
        <x:v>Stabilizer</x:v>
      </x:c>
      <x:c r="D256" s="24" t="str">
        <x:v>No</x:v>
      </x:c>
      <x:c r="E256" s="24" t="str">
        <x:v>No</x:v>
      </x:c>
      <x:c r="F256" s="24" t="str">
        <x:v>Yes</x:v>
      </x:c>
      <x:c r="G256" s="24" t="str">
        <x:v>Interosseous portion depresses rib; interchondral portion elevates</x:v>
      </x:c>
      <x:c r="H256" s="24" t="str">
        <x:v>Inferior margin of rib 8</x:v>
      </x:c>
      <x:c r="I256" s="24" t="str">
        <x:v>Superior margin of rib 9</x:v>
      </x:c>
      <x:c r="J256" s="24" t="str">
        <x:v>Intercostal nerve 8</x:v>
      </x:c>
      <x:c r="K256" s="24" t="str">
        <x:v>T8</x:v>
      </x:c>
      <x:c r="L256" s="24" t="str">
        <x:v>Segmental rib-to-rib muscle attachment</x:v>
      </x:c>
      <x:c r="M256" s="24" t="str">
        <x:v>Costal periosteum/intercostal membrane; no specific direct ligament</x:v>
      </x:c>
      <x:c r="N256" s="24" t="str">
        <x:v>Not established</x:v>
      </x:c>
      <x:c r="O256" s="24" t="str">
        <x:v>Not established</x:v>
      </x:c>
      <x:c r="P256" s="24" t="str">
        <x:v>Mixed Type I and Type II; ratio unverified</x:v>
      </x:c>
      <x:c r="Q256" s="24" t="str">
        <x:v>Published biopsies insufficient to state a reliable per-muscle percentage; no inference from function</x:v>
      </x:c>
      <x:c r="R256" s="24" t="str">
        <x:v>https://www.kenhub.com/en/library/anatomy/thorax</x:v>
      </x:c>
      <x:c r="S256" s="24" t="str">
        <x:v>https://pubmed.ncbi.nlm.nih.gov/39359186/</x:v>
      </x:c>
    </x:row>
    <x:row r="257" ht="46" customHeight="1">
      <x:c r="A257" s="24" t="str">
        <x:v>Internal intercostal (interspace 9, R9-R10)</x:v>
      </x:c>
      <x:c r="B257" s="24" t="str">
        <x:v>Segment-level fascicle</x:v>
      </x:c>
      <x:c r="C257" s="24" t="str">
        <x:v>Stabilizer</x:v>
      </x:c>
      <x:c r="D257" s="24" t="str">
        <x:v>No</x:v>
      </x:c>
      <x:c r="E257" s="24" t="str">
        <x:v>No</x:v>
      </x:c>
      <x:c r="F257" s="24" t="str">
        <x:v>Yes</x:v>
      </x:c>
      <x:c r="G257" s="24" t="str">
        <x:v>Interosseous portion depresses rib; interchondral portion elevates</x:v>
      </x:c>
      <x:c r="H257" s="24" t="str">
        <x:v>Inferior margin of rib 9</x:v>
      </x:c>
      <x:c r="I257" s="24" t="str">
        <x:v>Superior margin of rib 10</x:v>
      </x:c>
      <x:c r="J257" s="24" t="str">
        <x:v>Intercostal nerve 9</x:v>
      </x:c>
      <x:c r="K257" s="24" t="str">
        <x:v>T9</x:v>
      </x:c>
      <x:c r="L257" s="24" t="str">
        <x:v>Segmental rib-to-rib muscle attachment</x:v>
      </x:c>
      <x:c r="M257" s="24" t="str">
        <x:v>Costal periosteum/intercostal membrane; no specific direct ligament</x:v>
      </x:c>
      <x:c r="N257" s="24" t="str">
        <x:v>Not established</x:v>
      </x:c>
      <x:c r="O257" s="24" t="str">
        <x:v>Not established</x:v>
      </x:c>
      <x:c r="P257" s="24" t="str">
        <x:v>Mixed Type I and Type II; ratio unverified</x:v>
      </x:c>
      <x:c r="Q257" s="24" t="str">
        <x:v>Published biopsies insufficient to state a reliable per-muscle percentage; no inference from function</x:v>
      </x:c>
      <x:c r="R257" s="24" t="str">
        <x:v>https://www.kenhub.com/en/library/anatomy/thorax</x:v>
      </x:c>
      <x:c r="S257" s="24" t="str">
        <x:v>https://pubmed.ncbi.nlm.nih.gov/39359186/</x:v>
      </x:c>
    </x:row>
    <x:row r="258" ht="46" customHeight="1">
      <x:c r="A258" s="24" t="str">
        <x:v>Corrugator supercilii</x:v>
      </x:c>
      <x:c r="B258" s="24" t="str">
        <x:v>Brow</x:v>
      </x:c>
      <x:c r="C258" s="24" t="str">
        <x:v>Other</x:v>
      </x:c>
      <x:c r="D258" s="24" t="str">
        <x:v>No</x:v>
      </x:c>
      <x:c r="E258" s="24" t="str">
        <x:v>No</x:v>
      </x:c>
      <x:c r="F258" s="24" t="str">
        <x:v>No</x:v>
      </x:c>
      <x:c r="G258" s="24" t="str">
        <x:v>Draws eyebrows medially/down, vertical wrinkles</x:v>
      </x:c>
      <x:c r="H258" s="24" t="str">
        <x:v>Medial end superciliary arch frontal bone</x:v>
      </x:c>
      <x:c r="I258" s="24" t="str">
        <x:v>Deep skin medial eyebrow</x:v>
      </x:c>
      <x:c r="J258" s="24" t="str">
        <x:v>Temporal branch facial nerve</x:v>
      </x:c>
      <x:c r="K258" s="24" t="str">
        <x:v>CN VII; no spinal root</x:v>
      </x:c>
      <x:c r="L258" s="24" t="str">
        <x:v>Dermal fibrous insertion</x:v>
      </x:c>
      <x:c r="M258" s="24" t="str">
        <x:v>No specific direct ligament attachment</x:v>
      </x:c>
      <x:c r="N258" s="24" t="str">
        <x:v>Not established</x:v>
      </x:c>
      <x:c r="O258" s="24" t="str">
        <x:v>Not established</x:v>
      </x:c>
      <x:c r="P258" s="24" t="str">
        <x:v>Mixed Type I and Type II; ratio unverified</x:v>
      </x:c>
      <x:c r="Q258" s="24" t="str">
        <x:v>Published biopsies insufficient to state a reliable per-muscle percentage; no inference from function</x:v>
      </x:c>
      <x:c r="R258" s="24" t="str">
        <x:v>https://www.kenhub.com/en/library/anatomy/head-anatomy</x:v>
      </x:c>
      <x:c r="S258" s="24" t="str">
        <x:v>https://pubmed.ncbi.nlm.nih.gov/39359186/</x:v>
      </x:c>
    </x:row>
    <x:row r="259" ht="46" customHeight="1">
      <x:c r="A259" s="24" t="str">
        <x:v>Levator anguli oris</x:v>
      </x:c>
      <x:c r="B259" s="24" t="str">
        <x:v>Cheek</x:v>
      </x:c>
      <x:c r="C259" s="24" t="str">
        <x:v>Other</x:v>
      </x:c>
      <x:c r="D259" s="24" t="str">
        <x:v>No</x:v>
      </x:c>
      <x:c r="E259" s="24" t="str">
        <x:v>No</x:v>
      </x:c>
      <x:c r="F259" s="24" t="str">
        <x:v>No</x:v>
      </x:c>
      <x:c r="G259" s="24" t="str">
        <x:v>Raises mouth corner</x:v>
      </x:c>
      <x:c r="H259" s="24" t="str">
        <x:v>Canine fossa of maxilla</x:v>
      </x:c>
      <x:c r="I259" s="24" t="str">
        <x:v>Modiolus at mouth angle</x:v>
      </x:c>
      <x:c r="J259" s="24" t="str">
        <x:v>Buccal facial branches</x:v>
      </x:c>
      <x:c r="K259" s="24" t="str">
        <x:v>CN VII; no spinal root</x:v>
      </x:c>
      <x:c r="L259" s="24" t="str">
        <x:v>Modiolus junction</x:v>
      </x:c>
      <x:c r="M259" s="24" t="str">
        <x:v>No specific ligament attachment</x:v>
      </x:c>
      <x:c r="N259" s="24" t="str">
        <x:v>Not established</x:v>
      </x:c>
      <x:c r="O259" s="24" t="str">
        <x:v>Not established</x:v>
      </x:c>
      <x:c r="P259" s="24" t="str">
        <x:v>Mixed Type I and Type II; ratio unverified</x:v>
      </x:c>
      <x:c r="Q259" s="24" t="str">
        <x:v>Published biopsies insufficient to state a reliable per-muscle percentage; no inference from function</x:v>
      </x:c>
      <x:c r="R259" s="24" t="str">
        <x:v>https://www.kenhub.com/en/library/anatomy/head-anatomy</x:v>
      </x:c>
      <x:c r="S259" s="24" t="str">
        <x:v>https://pubmed.ncbi.nlm.nih.gov/39359186/</x:v>
      </x:c>
    </x:row>
    <x:row r="260" ht="46" customHeight="1">
      <x:c r="A260" s="24" t="str">
        <x:v>Zygomaticus major</x:v>
      </x:c>
      <x:c r="B260" s="24" t="str">
        <x:v>Cheek</x:v>
      </x:c>
      <x:c r="C260" s="24" t="str">
        <x:v>Other</x:v>
      </x:c>
      <x:c r="D260" s="24" t="str">
        <x:v>No</x:v>
      </x:c>
      <x:c r="E260" s="24" t="str">
        <x:v>No</x:v>
      </x:c>
      <x:c r="F260" s="24" t="str">
        <x:v>No</x:v>
      </x:c>
      <x:c r="G260" s="24" t="str">
        <x:v>Elevates and laterally draws mouth angle (smile)</x:v>
      </x:c>
      <x:c r="H260" s="24" t="str">
        <x:v>Lateral zygomatic bone</x:v>
      </x:c>
      <x:c r="I260" s="24" t="str">
        <x:v>Modiolus at angle of mouth</x:v>
      </x:c>
      <x:c r="J260" s="24" t="str">
        <x:v>Zygomatic/buccal facial branches</x:v>
      </x:c>
      <x:c r="K260" s="24" t="str">
        <x:v>CN VII; no spinal root</x:v>
      </x:c>
      <x:c r="L260" s="24" t="str">
        <x:v>Modiolus fibromuscular junction</x:v>
      </x:c>
      <x:c r="M260" s="24" t="str">
        <x:v>No specific ligament attachment</x:v>
      </x:c>
      <x:c r="N260" s="24" t="str">
        <x:v>Not established</x:v>
      </x:c>
      <x:c r="O260" s="24" t="str">
        <x:v>Not established</x:v>
      </x:c>
      <x:c r="P260" s="24" t="str">
        <x:v>Mixed Type I and Type II; ratio unverified</x:v>
      </x:c>
      <x:c r="Q260" s="24" t="str">
        <x:v>Published biopsies insufficient to state a reliable per-muscle percentage; no inference from function</x:v>
      </x:c>
      <x:c r="R260" s="24" t="str">
        <x:v>https://www.kenhub.com/en/library/anatomy/head-anatomy</x:v>
      </x:c>
      <x:c r="S260" s="24" t="str">
        <x:v>https://pubmed.ncbi.nlm.nih.gov/39359186/</x:v>
      </x:c>
    </x:row>
    <x:row r="261" ht="46" customHeight="1">
      <x:c r="A261" s="24" t="str">
        <x:v>Buccinator</x:v>
      </x:c>
      <x:c r="B261" s="24" t="str">
        <x:v>Cheek deep</x:v>
      </x:c>
      <x:c r="C261" s="24" t="str">
        <x:v>Stabilizer</x:v>
      </x:c>
      <x:c r="D261" s="24" t="str">
        <x:v>No</x:v>
      </x:c>
      <x:c r="E261" s="24" t="str">
        <x:v>No</x:v>
      </x:c>
      <x:c r="F261" s="24" t="str">
        <x:v>Yes</x:v>
      </x:c>
      <x:c r="G261" s="24" t="str">
        <x:v>Compresses cheek against molars; blowing/chewing</x:v>
      </x:c>
      <x:c r="H261" s="24" t="str">
        <x:v>Alveolar processes maxilla/mandible; pterygomandibular raphe</x:v>
      </x:c>
      <x:c r="I261" s="24" t="str">
        <x:v>Orbicularis oris and modiolus</x:v>
      </x:c>
      <x:c r="J261" s="24" t="str">
        <x:v>Buccal branches facial nerve (not buccal nerve V3 motor)</x:v>
      </x:c>
      <x:c r="K261" s="24" t="str">
        <x:v>CN VII; no spinal root</x:v>
      </x:c>
      <x:c r="L261" s="24" t="str">
        <x:v>Pterygomandibular raphe fibrous origin</x:v>
      </x:c>
      <x:c r="M261" s="24" t="str">
        <x:v>Pterygomandibular raphe direct origin (not ligament)</x:v>
      </x:c>
      <x:c r="N261" s="24" t="str">
        <x:v>Not established</x:v>
      </x:c>
      <x:c r="O261" s="24" t="str">
        <x:v>Not established</x:v>
      </x:c>
      <x:c r="P261" s="24" t="str">
        <x:v>Mixed Type I and Type II; ratio unverified</x:v>
      </x:c>
      <x:c r="Q261" s="24" t="str">
        <x:v>Published biopsies insufficient to state a reliable per-muscle percentage; no inference from function</x:v>
      </x:c>
      <x:c r="R261" s="24" t="str">
        <x:v>https://www.kenhub.com/en/library/anatomy/head-anatomy</x:v>
      </x:c>
      <x:c r="S261" s="24" t="str">
        <x:v>https://pubmed.ncbi.nlm.nih.gov/39359186/</x:v>
      </x:c>
    </x:row>
    <x:row r="262" ht="46" customHeight="1">
      <x:c r="A262" s="24" t="str">
        <x:v>Risorius</x:v>
      </x:c>
      <x:c r="B262" s="24" t="str">
        <x:v>Cheek superficial</x:v>
      </x:c>
      <x:c r="C262" s="24" t="str">
        <x:v>Other</x:v>
      </x:c>
      <x:c r="D262" s="24" t="str">
        <x:v>No</x:v>
      </x:c>
      <x:c r="E262" s="24" t="str">
        <x:v>No</x:v>
      </x:c>
      <x:c r="F262" s="24" t="str">
        <x:v>No</x:v>
      </x:c>
      <x:c r="G262" s="24" t="str">
        <x:v>Retracts mouth corner laterally</x:v>
      </x:c>
      <x:c r="H262" s="24" t="str">
        <x:v>Parotid/masseteric fascia</x:v>
      </x:c>
      <x:c r="I262" s="24" t="str">
        <x:v>Modiolus at mouth angle</x:v>
      </x:c>
      <x:c r="J262" s="24" t="str">
        <x:v>Buccal facial branches</x:v>
      </x:c>
      <x:c r="K262" s="24" t="str">
        <x:v>CN VII; no spinal root</x:v>
      </x:c>
      <x:c r="L262" s="24" t="str">
        <x:v>Thin fascial fibers</x:v>
      </x:c>
      <x:c r="M262" s="24" t="str">
        <x:v>Parotidomasseteric fascia is fascia, not ligament</x:v>
      </x:c>
      <x:c r="N262" s="24" t="str">
        <x:v>Not established</x:v>
      </x:c>
      <x:c r="O262" s="24" t="str">
        <x:v>Not established</x:v>
      </x:c>
      <x:c r="P262" s="24" t="str">
        <x:v>Mixed Type I and Type II; ratio unverified</x:v>
      </x:c>
      <x:c r="Q262" s="24" t="str">
        <x:v>Published biopsies insufficient to state a reliable per-muscle percentage; no inference from function</x:v>
      </x:c>
      <x:c r="R262" s="24" t="str">
        <x:v>https://www.kenhub.com/en/library/anatomy/head-anatomy</x:v>
      </x:c>
      <x:c r="S262" s="24" t="str">
        <x:v>https://pubmed.ncbi.nlm.nih.gov/39359186/</x:v>
      </x:c>
    </x:row>
    <x:row r="263" ht="46" customHeight="1">
      <x:c r="A263" s="24" t="str">
        <x:v>Mentalis</x:v>
      </x:c>
      <x:c r="B263" s="24" t="str">
        <x:v>Chin</x:v>
      </x:c>
      <x:c r="C263" s="24" t="str">
        <x:v>Other</x:v>
      </x:c>
      <x:c r="D263" s="24" t="str">
        <x:v>No</x:v>
      </x:c>
      <x:c r="E263" s="24" t="str">
        <x:v>No</x:v>
      </x:c>
      <x:c r="F263" s="24" t="str">
        <x:v>No</x:v>
      </x:c>
      <x:c r="G263" s="24" t="str">
        <x:v>Elevates/protrudes lower lip; wrinkles chin</x:v>
      </x:c>
      <x:c r="H263" s="24" t="str">
        <x:v>Incisive fossa of mandible</x:v>
      </x:c>
      <x:c r="I263" s="24" t="str">
        <x:v>Skin chin</x:v>
      </x:c>
      <x:c r="J263" s="24" t="str">
        <x:v>Marginal mandibular facial branch</x:v>
      </x:c>
      <x:c r="K263" s="24" t="str">
        <x:v>CN VII; no spinal root</x:v>
      </x:c>
      <x:c r="L263" s="24" t="str">
        <x:v>Dermal insertion</x:v>
      </x:c>
      <x:c r="M263" s="24" t="str">
        <x:v>No direct ligament attachment</x:v>
      </x:c>
      <x:c r="N263" s="24" t="str">
        <x:v>Not established</x:v>
      </x:c>
      <x:c r="O263" s="24" t="str">
        <x:v>Not established</x:v>
      </x:c>
      <x:c r="P263" s="24" t="str">
        <x:v>Mixed Type I and Type II; ratio unverified</x:v>
      </x:c>
      <x:c r="Q263" s="24" t="str">
        <x:v>Published biopsies insufficient to state a reliable per-muscle percentage; no inference from function</x:v>
      </x:c>
      <x:c r="R263" s="24" t="str">
        <x:v>https://www.kenhub.com/en/library/anatomy/head-anatomy</x:v>
      </x:c>
      <x:c r="S263" s="24" t="str">
        <x:v>https://pubmed.ncbi.nlm.nih.gov/39359186/</x:v>
      </x:c>
    </x:row>
    <x:row r="264" ht="46" customHeight="1">
      <x:c r="A264" s="24" t="str">
        <x:v>Antitragicus</x:v>
      </x:c>
      <x:c r="B264" s="24" t="str">
        <x:v>Ear pinna</x:v>
      </x:c>
      <x:c r="C264" s="24" t="str">
        <x:v>Other</x:v>
      </x:c>
      <x:c r="D264" s="24" t="str">
        <x:v>No</x:v>
      </x:c>
      <x:c r="E264" s="24" t="str">
        <x:v>No</x:v>
      </x:c>
      <x:c r="F264" s="24" t="str">
        <x:v>No</x:v>
      </x:c>
      <x:c r="G264" s="24" t="str">
        <x:v>Minor antitragus/helix movement</x:v>
      </x:c>
      <x:c r="H264" s="24" t="str">
        <x:v>Antitragus cartilage</x:v>
      </x:c>
      <x:c r="I264" s="24" t="str">
        <x:v>Cauda helicis region</x:v>
      </x:c>
      <x:c r="J264" s="24" t="str">
        <x:v>Facial nerve auricular branches</x:v>
      </x:c>
      <x:c r="K264" s="24" t="str">
        <x:v>CN VII; no spinal root</x:v>
      </x:c>
      <x:c r="L264" s="24" t="str">
        <x:v>Short cartilage attachment</x:v>
      </x:c>
      <x:c r="M264" s="24" t="str">
        <x:v>Auricular perichondrium</x:v>
      </x:c>
      <x:c r="N264" s="24" t="str">
        <x:v>Not established</x:v>
      </x:c>
      <x:c r="O264" s="24" t="str">
        <x:v>Not established</x:v>
      </x:c>
      <x:c r="P264" s="24" t="str">
        <x:v>Mixed Type I and Type II; ratio unverified</x:v>
      </x:c>
      <x:c r="Q264" s="24" t="str">
        <x:v>Published biopsies insufficient to state a reliable per-muscle percentage; no inference from function</x:v>
      </x:c>
      <x:c r="R264" s="24" t="str">
        <x:v>https://www.kenhub.com/en/library/anatomy/head-anatomy</x:v>
      </x:c>
      <x:c r="S264" s="24" t="str">
        <x:v>https://pubmed.ncbi.nlm.nih.gov/39359186/</x:v>
      </x:c>
    </x:row>
    <x:row r="265" ht="46" customHeight="1">
      <x:c r="A265" s="24" t="str">
        <x:v>Helicis major (intrinsic auricular)</x:v>
      </x:c>
      <x:c r="B265" s="24" t="str">
        <x:v>Ear pinna</x:v>
      </x:c>
      <x:c r="C265" s="24" t="str">
        <x:v>Other</x:v>
      </x:c>
      <x:c r="D265" s="24" t="str">
        <x:v>No</x:v>
      </x:c>
      <x:c r="E265" s="24" t="str">
        <x:v>No</x:v>
      </x:c>
      <x:c r="F265" s="24" t="str">
        <x:v>No</x:v>
      </x:c>
      <x:c r="G265" s="24" t="str">
        <x:v>Minor helix shape change</x:v>
      </x:c>
      <x:c r="H265" s="24" t="str">
        <x:v>Spine of helix</x:v>
      </x:c>
      <x:c r="I265" s="24" t="str">
        <x:v>Anterior border of helix</x:v>
      </x:c>
      <x:c r="J265" s="24" t="str">
        <x:v>Facial nerve auricular branches</x:v>
      </x:c>
      <x:c r="K265" s="24" t="str">
        <x:v>CN VII; no spinal root</x:v>
      </x:c>
      <x:c r="L265" s="24" t="str">
        <x:v>Intrachondral/fascial slips</x:v>
      </x:c>
      <x:c r="M265" s="24" t="str">
        <x:v>Auricular perichondrium</x:v>
      </x:c>
      <x:c r="N265" s="24" t="str">
        <x:v>Not established</x:v>
      </x:c>
      <x:c r="O265" s="24" t="str">
        <x:v>Not established</x:v>
      </x:c>
      <x:c r="P265" s="24" t="str">
        <x:v>Mixed Type I and Type II; ratio unverified</x:v>
      </x:c>
      <x:c r="Q265" s="24" t="str">
        <x:v>Published biopsies insufficient to state a reliable per-muscle percentage; no inference from function</x:v>
      </x:c>
      <x:c r="R265" s="24" t="str">
        <x:v>https://www.kenhub.com/en/library/anatomy/head-anatomy</x:v>
      </x:c>
      <x:c r="S265" s="24" t="str">
        <x:v>https://pubmed.ncbi.nlm.nih.gov/39359186/</x:v>
      </x:c>
    </x:row>
    <x:row r="266" ht="46" customHeight="1">
      <x:c r="A266" s="24" t="str">
        <x:v>Helicis minor (intrinsic auricular)</x:v>
      </x:c>
      <x:c r="B266" s="24" t="str">
        <x:v>Ear pinna</x:v>
      </x:c>
      <x:c r="C266" s="24" t="str">
        <x:v>Other</x:v>
      </x:c>
      <x:c r="D266" s="24" t="str">
        <x:v>No</x:v>
      </x:c>
      <x:c r="E266" s="24" t="str">
        <x:v>No</x:v>
      </x:c>
      <x:c r="F266" s="24" t="str">
        <x:v>No</x:v>
      </x:c>
      <x:c r="G266" s="24" t="str">
        <x:v>Minor helix shape change</x:v>
      </x:c>
      <x:c r="H266" s="24" t="str">
        <x:v>Root of helix</x:v>
      </x:c>
      <x:c r="I266" s="24" t="str">
        <x:v>Nearby anterior helix</x:v>
      </x:c>
      <x:c r="J266" s="24" t="str">
        <x:v>Facial nerve auricular branches</x:v>
      </x:c>
      <x:c r="K266" s="24" t="str">
        <x:v>CN VII; no spinal root</x:v>
      </x:c>
      <x:c r="L266" s="24" t="str">
        <x:v>Short dermal/cartilaginous fibers</x:v>
      </x:c>
      <x:c r="M266" s="24" t="str">
        <x:v>Perichondrium of helix</x:v>
      </x:c>
      <x:c r="N266" s="24" t="str">
        <x:v>Not established</x:v>
      </x:c>
      <x:c r="O266" s="24" t="str">
        <x:v>Not established</x:v>
      </x:c>
      <x:c r="P266" s="24" t="str">
        <x:v>Mixed Type I and Type II; ratio unverified</x:v>
      </x:c>
      <x:c r="Q266" s="24" t="str">
        <x:v>Published biopsies insufficient to state a reliable per-muscle percentage; no inference from function</x:v>
      </x:c>
      <x:c r="R266" s="24" t="str">
        <x:v>https://www.kenhub.com/en/library/anatomy/head-anatomy</x:v>
      </x:c>
      <x:c r="S266" s="24" t="str">
        <x:v>https://pubmed.ncbi.nlm.nih.gov/39359186/</x:v>
      </x:c>
    </x:row>
    <x:row r="267" ht="46" customHeight="1">
      <x:c r="A267" s="24" t="str">
        <x:v>Tragicus</x:v>
      </x:c>
      <x:c r="B267" s="24" t="str">
        <x:v>Ear pinna</x:v>
      </x:c>
      <x:c r="C267" s="24" t="str">
        <x:v>Other</x:v>
      </x:c>
      <x:c r="D267" s="24" t="str">
        <x:v>No</x:v>
      </x:c>
      <x:c r="E267" s="24" t="str">
        <x:v>No</x:v>
      </x:c>
      <x:c r="F267" s="24" t="str">
        <x:v>No</x:v>
      </x:c>
      <x:c r="G267" s="24" t="str">
        <x:v>Alters tragus shape</x:v>
      </x:c>
      <x:c r="H267" s="24" t="str">
        <x:v>Lateral tragal cartilage</x:v>
      </x:c>
      <x:c r="I267" s="24" t="str">
        <x:v>Skin/cartilage tragus</x:v>
      </x:c>
      <x:c r="J267" s="24" t="str">
        <x:v>Facial nerve auricular branches</x:v>
      </x:c>
      <x:c r="K267" s="24" t="str">
        <x:v>CN VII; no spinal root</x:v>
      </x:c>
      <x:c r="L267" s="24" t="str">
        <x:v>Dermal/cartilage insertion</x:v>
      </x:c>
      <x:c r="M267" s="24" t="str">
        <x:v>Tragal cartilage fibrous covering</x:v>
      </x:c>
      <x:c r="N267" s="24" t="str">
        <x:v>Not established</x:v>
      </x:c>
      <x:c r="O267" s="24" t="str">
        <x:v>Not established</x:v>
      </x:c>
      <x:c r="P267" s="24" t="str">
        <x:v>Mixed Type I and Type II; ratio unverified</x:v>
      </x:c>
      <x:c r="Q267" s="24" t="str">
        <x:v>Published biopsies insufficient to state a reliable per-muscle percentage; no inference from function</x:v>
      </x:c>
      <x:c r="R267" s="24" t="str">
        <x:v>https://www.kenhub.com/en/library/anatomy/head-anatomy</x:v>
      </x:c>
      <x:c r="S267" s="24" t="str">
        <x:v>https://pubmed.ncbi.nlm.nih.gov/39359186/</x:v>
      </x:c>
    </x:row>
    <x:row r="268" ht="46" customHeight="1">
      <x:c r="A268" s="24" t="str">
        <x:v>Oblique auricular muscle</x:v>
      </x:c>
      <x:c r="B268" s="24" t="str">
        <x:v>Ear pinna posterior</x:v>
      </x:c>
      <x:c r="C268" s="24" t="str">
        <x:v>Other</x:v>
      </x:c>
      <x:c r="D268" s="24" t="str">
        <x:v>No</x:v>
      </x:c>
      <x:c r="E268" s="24" t="str">
        <x:v>No</x:v>
      </x:c>
      <x:c r="F268" s="24" t="str">
        <x:v>No</x:v>
      </x:c>
      <x:c r="G268" s="24" t="str">
        <x:v>Minor ear shape adjustments</x:v>
      </x:c>
      <x:c r="H268" s="24" t="str">
        <x:v>Posterior conchal eminence</x:v>
      </x:c>
      <x:c r="I268" s="24" t="str">
        <x:v>Posterior triangular fossa</x:v>
      </x:c>
      <x:c r="J268" s="24" t="str">
        <x:v>Facial nerve auricular branches</x:v>
      </x:c>
      <x:c r="K268" s="24" t="str">
        <x:v>CN VII; no spinal root</x:v>
      </x:c>
      <x:c r="L268" s="24" t="str">
        <x:v>Short fascicular attachment</x:v>
      </x:c>
      <x:c r="M268" s="24" t="str">
        <x:v>Auricular perichondrium</x:v>
      </x:c>
      <x:c r="N268" s="24" t="str">
        <x:v>Not established</x:v>
      </x:c>
      <x:c r="O268" s="24" t="str">
        <x:v>Not established</x:v>
      </x:c>
      <x:c r="P268" s="24" t="str">
        <x:v>Mixed Type I and Type II; ratio unverified</x:v>
      </x:c>
      <x:c r="Q268" s="24" t="str">
        <x:v>Published biopsies insufficient to state a reliable per-muscle percentage; no inference from function</x:v>
      </x:c>
      <x:c r="R268" s="24" t="str">
        <x:v>https://www.kenhub.com/en/library/anatomy/head-anatomy</x:v>
      </x:c>
      <x:c r="S268" s="24" t="str">
        <x:v>https://pubmed.ncbi.nlm.nih.gov/39359186/</x:v>
      </x:c>
    </x:row>
    <x:row r="269" ht="46" customHeight="1">
      <x:c r="A269" s="24" t="str">
        <x:v>Transverse auricular muscle</x:v>
      </x:c>
      <x:c r="B269" s="24" t="str">
        <x:v>Ear pinna posterior</x:v>
      </x:c>
      <x:c r="C269" s="24" t="str">
        <x:v>Other</x:v>
      </x:c>
      <x:c r="D269" s="24" t="str">
        <x:v>No</x:v>
      </x:c>
      <x:c r="E269" s="24" t="str">
        <x:v>No</x:v>
      </x:c>
      <x:c r="F269" s="24" t="str">
        <x:v>No</x:v>
      </x:c>
      <x:c r="G269" s="24" t="str">
        <x:v>Flattens ear contours</x:v>
      </x:c>
      <x:c r="H269" s="24" t="str">
        <x:v>Convexity of concha posterior surface</x:v>
      </x:c>
      <x:c r="I269" s="24" t="str">
        <x:v>Eminence of scapha</x:v>
      </x:c>
      <x:c r="J269" s="24" t="str">
        <x:v>Facial nerve auricular branches</x:v>
      </x:c>
      <x:c r="K269" s="24" t="str">
        <x:v>CN VII; no spinal root</x:v>
      </x:c>
      <x:c r="L269" s="24" t="str">
        <x:v>Short auricular fascial slips</x:v>
      </x:c>
      <x:c r="M269" s="24" t="str">
        <x:v>Auricular perichondrium</x:v>
      </x:c>
      <x:c r="N269" s="24" t="str">
        <x:v>Not established</x:v>
      </x:c>
      <x:c r="O269" s="24" t="str">
        <x:v>Not established</x:v>
      </x:c>
      <x:c r="P269" s="24" t="str">
        <x:v>Mixed Type I and Type II; ratio unverified</x:v>
      </x:c>
      <x:c r="Q269" s="24" t="str">
        <x:v>Published biopsies insufficient to state a reliable per-muscle percentage; no inference from function</x:v>
      </x:c>
      <x:c r="R269" s="24" t="str">
        <x:v>https://www.kenhub.com/en/library/anatomy/head-anatomy</x:v>
      </x:c>
      <x:c r="S269" s="24" t="str">
        <x:v>https://pubmed.ncbi.nlm.nih.gov/39359186/</x:v>
      </x:c>
    </x:row>
    <x:row r="270" ht="46" customHeight="1">
      <x:c r="A270" s="24" t="str">
        <x:v>Auricularis anterior</x:v>
      </x:c>
      <x:c r="B270" s="24" t="str">
        <x:v>External auricle</x:v>
      </x:c>
      <x:c r="C270" s="24" t="str">
        <x:v>Other</x:v>
      </x:c>
      <x:c r="D270" s="24" t="str">
        <x:v>No</x:v>
      </x:c>
      <x:c r="E270" s="24" t="str">
        <x:v>No</x:v>
      </x:c>
      <x:c r="F270" s="24" t="str">
        <x:v>No</x:v>
      </x:c>
      <x:c r="G270" s="24" t="str">
        <x:v>Draws ear forward</x:v>
      </x:c>
      <x:c r="H270" s="24" t="str">
        <x:v>Temporal fascia</x:v>
      </x:c>
      <x:c r="I270" s="24" t="str">
        <x:v>Anterior helix of auricle</x:v>
      </x:c>
      <x:c r="J270" s="24" t="str">
        <x:v>Temporal facial nerve</x:v>
      </x:c>
      <x:c r="K270" s="24" t="str">
        <x:v>CN VII; no spinal root</x:v>
      </x:c>
      <x:c r="L270" s="24" t="str">
        <x:v>Fibrous auricular insertion</x:v>
      </x:c>
      <x:c r="M270" s="24" t="str">
        <x:v>Auricular cartilage perichondrium</x:v>
      </x:c>
      <x:c r="N270" s="24" t="str">
        <x:v>Not established</x:v>
      </x:c>
      <x:c r="O270" s="24" t="str">
        <x:v>Not established</x:v>
      </x:c>
      <x:c r="P270" s="24" t="str">
        <x:v>Mixed Type I and Type II; ratio unverified</x:v>
      </x:c>
      <x:c r="Q270" s="24" t="str">
        <x:v>Published biopsies insufficient to state a reliable per-muscle percentage; no inference from function</x:v>
      </x:c>
      <x:c r="R270" s="24" t="str">
        <x:v>https://www.kenhub.com/en/library/anatomy/head-anatomy</x:v>
      </x:c>
      <x:c r="S270" s="24" t="str">
        <x:v>https://pubmed.ncbi.nlm.nih.gov/39359186/</x:v>
      </x:c>
    </x:row>
    <x:row r="271" ht="46" customHeight="1">
      <x:c r="A271" s="24" t="str">
        <x:v>Auricularis posterior</x:v>
      </x:c>
      <x:c r="B271" s="24" t="str">
        <x:v>External auricle</x:v>
      </x:c>
      <x:c r="C271" s="24" t="str">
        <x:v>Other</x:v>
      </x:c>
      <x:c r="D271" s="24" t="str">
        <x:v>No</x:v>
      </x:c>
      <x:c r="E271" s="24" t="str">
        <x:v>No</x:v>
      </x:c>
      <x:c r="F271" s="24" t="str">
        <x:v>No</x:v>
      </x:c>
      <x:c r="G271" s="24" t="str">
        <x:v>Retracts ear</x:v>
      </x:c>
      <x:c r="H271" s="24" t="str">
        <x:v>Mastoid region temporal bone</x:v>
      </x:c>
      <x:c r="I271" s="24" t="str">
        <x:v>Posterior auricular cartilage</x:v>
      </x:c>
      <x:c r="J271" s="24" t="str">
        <x:v>Posterior auricular facial nerve</x:v>
      </x:c>
      <x:c r="K271" s="24" t="str">
        <x:v>CN VII; no spinal root</x:v>
      </x:c>
      <x:c r="L271" s="24" t="str">
        <x:v>Small auricular tendons</x:v>
      </x:c>
      <x:c r="M271" s="24" t="str">
        <x:v>Auricular cartilage fibrous tissues</x:v>
      </x:c>
      <x:c r="N271" s="24" t="str">
        <x:v>Not established</x:v>
      </x:c>
      <x:c r="O271" s="24" t="str">
        <x:v>Not established</x:v>
      </x:c>
      <x:c r="P271" s="24" t="str">
        <x:v>Mixed Type I and Type II; ratio unverified</x:v>
      </x:c>
      <x:c r="Q271" s="24" t="str">
        <x:v>Published biopsies insufficient to state a reliable per-muscle percentage; no inference from function</x:v>
      </x:c>
      <x:c r="R271" s="24" t="str">
        <x:v>https://www.kenhub.com/en/library/anatomy/head-anatomy</x:v>
      </x:c>
      <x:c r="S271" s="24" t="str">
        <x:v>https://pubmed.ncbi.nlm.nih.gov/39359186/</x:v>
      </x:c>
    </x:row>
    <x:row r="272" ht="46" customHeight="1">
      <x:c r="A272" s="24" t="str">
        <x:v>Auricularis superior</x:v>
      </x:c>
      <x:c r="B272" s="24" t="str">
        <x:v>External auricle</x:v>
      </x:c>
      <x:c r="C272" s="24" t="str">
        <x:v>Other</x:v>
      </x:c>
      <x:c r="D272" s="24" t="str">
        <x:v>No</x:v>
      </x:c>
      <x:c r="E272" s="24" t="str">
        <x:v>No</x:v>
      </x:c>
      <x:c r="F272" s="24" t="str">
        <x:v>No</x:v>
      </x:c>
      <x:c r="G272" s="24" t="str">
        <x:v>Elevates ear</x:v>
      </x:c>
      <x:c r="H272" s="24" t="str">
        <x:v>Epicranial aponeurosis</x:v>
      </x:c>
      <x:c r="I272" s="24" t="str">
        <x:v>Upper auricular cartilage</x:v>
      </x:c>
      <x:c r="J272" s="24" t="str">
        <x:v>Temporal facial nerve</x:v>
      </x:c>
      <x:c r="K272" s="24" t="str">
        <x:v>CN VII; no spinal root</x:v>
      </x:c>
      <x:c r="L272" s="24" t="str">
        <x:v>Epicranial aponeurosis</x:v>
      </x:c>
      <x:c r="M272" s="24" t="str">
        <x:v>Auricular perichondrium, not ligament</x:v>
      </x:c>
      <x:c r="N272" s="24" t="str">
        <x:v>Not established</x:v>
      </x:c>
      <x:c r="O272" s="24" t="str">
        <x:v>Not established</x:v>
      </x:c>
      <x:c r="P272" s="24" t="str">
        <x:v>Mixed Type I and Type II; ratio unverified</x:v>
      </x:c>
      <x:c r="Q272" s="24" t="str">
        <x:v>Published biopsies insufficient to state a reliable per-muscle percentage; no inference from function</x:v>
      </x:c>
      <x:c r="R272" s="24" t="str">
        <x:v>https://www.kenhub.com/en/library/anatomy/head-anatomy</x:v>
      </x:c>
      <x:c r="S272" s="24" t="str">
        <x:v>https://pubmed.ncbi.nlm.nih.gov/39359186/</x:v>
      </x:c>
    </x:row>
    <x:row r="273" ht="46" customHeight="1">
      <x:c r="A273" s="24" t="str">
        <x:v>Genioglossus</x:v>
      </x:c>
      <x:c r="B273" s="24" t="str">
        <x:v>Extrinsic tongue</x:v>
      </x:c>
      <x:c r="C273" s="24" t="str">
        <x:v>Stabilizer</x:v>
      </x:c>
      <x:c r="D273" s="24" t="str">
        <x:v>No</x:v>
      </x:c>
      <x:c r="E273" s="24" t="str">
        <x:v>No</x:v>
      </x:c>
      <x:c r="F273" s="24" t="str">
        <x:v>Yes</x:v>
      </x:c>
      <x:c r="G273" s="24" t="str">
        <x:v>Protrudes tongue; prevents posterior airway collapse</x:v>
      </x:c>
      <x:c r="H273" s="24" t="str">
        <x:v>Superior mental spine mandible</x:v>
      </x:c>
      <x:c r="I273" s="24" t="str">
        <x:v>Throughout tongue dorsum; some to hyoid</x:v>
      </x:c>
      <x:c r="J273" s="24" t="str">
        <x:v>Hypoglossal nerve</x:v>
      </x:c>
      <x:c r="K273" s="24" t="str">
        <x:v>CN XII; no spinal root</x:v>
      </x:c>
      <x:c r="L273" s="24" t="str">
        <x:v>Muscular insertion fibers to tongue/hyoid</x:v>
      </x:c>
      <x:c r="M273" s="24" t="str">
        <x:v>Lingual septum as fibrous scaffold</x:v>
      </x:c>
      <x:c r="N273" s="24" t="str">
        <x:v>Not established</x:v>
      </x:c>
      <x:c r="O273" s="24" t="str">
        <x:v>Not established</x:v>
      </x:c>
      <x:c r="P273" s="24" t="str">
        <x:v>Mixed Type I and Type II; ratio unverified</x:v>
      </x:c>
      <x:c r="Q273" s="24" t="str">
        <x:v>Published biopsies insufficient to state a reliable per-muscle percentage; no inference from function</x:v>
      </x:c>
      <x:c r="R273" s="24" t="str">
        <x:v>https://www.kenhub.com/en/library/anatomy/head-anatomy</x:v>
      </x:c>
      <x:c r="S273" s="24" t="str">
        <x:v>https://pubmed.ncbi.nlm.nih.gov/39359186/</x:v>
      </x:c>
    </x:row>
    <x:row r="274" ht="46" customHeight="1">
      <x:c r="A274" s="24" t="str">
        <x:v>Hyoglossus</x:v>
      </x:c>
      <x:c r="B274" s="24" t="str">
        <x:v>Extrinsic tongue</x:v>
      </x:c>
      <x:c r="C274" s="24" t="str">
        <x:v>Other</x:v>
      </x:c>
      <x:c r="D274" s="24" t="str">
        <x:v>No</x:v>
      </x:c>
      <x:c r="E274" s="24" t="str">
        <x:v>No</x:v>
      </x:c>
      <x:c r="F274" s="24" t="str">
        <x:v>No</x:v>
      </x:c>
      <x:c r="G274" s="24" t="str">
        <x:v>Depresses and retracts tongue</x:v>
      </x:c>
      <x:c r="H274" s="24" t="str">
        <x:v>Greater horn and body hyoid</x:v>
      </x:c>
      <x:c r="I274" s="24" t="str">
        <x:v>Side of tongue</x:v>
      </x:c>
      <x:c r="J274" s="24" t="str">
        <x:v>Hypoglossal nerve</x:v>
      </x:c>
      <x:c r="K274" s="24" t="str">
        <x:v>CN XII; no spinal root</x:v>
      </x:c>
      <x:c r="L274" s="24" t="str">
        <x:v>Hyoid origin tendon</x:v>
      </x:c>
      <x:c r="M274" s="24" t="str">
        <x:v>Stylohyoid ligament near greater horn, not direct insertion</x:v>
      </x:c>
      <x:c r="N274" s="24" t="str">
        <x:v>Not established</x:v>
      </x:c>
      <x:c r="O274" s="24" t="str">
        <x:v>Not established</x:v>
      </x:c>
      <x:c r="P274" s="24" t="str">
        <x:v>Mixed Type I and Type II; ratio unverified</x:v>
      </x:c>
      <x:c r="Q274" s="24" t="str">
        <x:v>Published biopsies insufficient to state a reliable per-muscle percentage; no inference from function</x:v>
      </x:c>
      <x:c r="R274" s="24" t="str">
        <x:v>https://www.kenhub.com/en/library/anatomy/head-anatomy</x:v>
      </x:c>
      <x:c r="S274" s="24" t="str">
        <x:v>https://pubmed.ncbi.nlm.nih.gov/39359186/</x:v>
      </x:c>
    </x:row>
    <x:row r="275" ht="46" customHeight="1">
      <x:c r="A275" s="24" t="str">
        <x:v>Styloglossus</x:v>
      </x:c>
      <x:c r="B275" s="24" t="str">
        <x:v>Extrinsic tongue</x:v>
      </x:c>
      <x:c r="C275" s="24" t="str">
        <x:v>Other</x:v>
      </x:c>
      <x:c r="D275" s="24" t="str">
        <x:v>No</x:v>
      </x:c>
      <x:c r="E275" s="24" t="str">
        <x:v>No</x:v>
      </x:c>
      <x:c r="F275" s="24" t="str">
        <x:v>No</x:v>
      </x:c>
      <x:c r="G275" s="24" t="str">
        <x:v>Retracts/elevates sides of tongue</x:v>
      </x:c>
      <x:c r="H275" s="24" t="str">
        <x:v>Styloid process and stylohyoid ligament</x:v>
      </x:c>
      <x:c r="I275" s="24" t="str">
        <x:v>Side and inferior tongue</x:v>
      </x:c>
      <x:c r="J275" s="24" t="str">
        <x:v>Hypoglossal nerve</x:v>
      </x:c>
      <x:c r="K275" s="24" t="str">
        <x:v>CN XII; no spinal root</x:v>
      </x:c>
      <x:c r="L275" s="24" t="str">
        <x:v>Styloid origin tendon</x:v>
      </x:c>
      <x:c r="M275" s="24" t="str">
        <x:v>Stylohyoid ligament direct origin fibers</x:v>
      </x:c>
      <x:c r="N275" s="24" t="str">
        <x:v>Not established</x:v>
      </x:c>
      <x:c r="O275" s="24" t="str">
        <x:v>Not established</x:v>
      </x:c>
      <x:c r="P275" s="24" t="str">
        <x:v>Mixed Type I and Type II; ratio unverified</x:v>
      </x:c>
      <x:c r="Q275" s="24" t="str">
        <x:v>Published biopsies insufficient to state a reliable per-muscle percentage; no inference from function</x:v>
      </x:c>
      <x:c r="R275" s="24" t="str">
        <x:v>https://www.kenhub.com/en/library/anatomy/head-anatomy</x:v>
      </x:c>
      <x:c r="S275" s="24" t="str">
        <x:v>https://pubmed.ncbi.nlm.nih.gov/39359186/</x:v>
      </x:c>
    </x:row>
    <x:row r="276" ht="46" customHeight="1">
      <x:c r="A276" s="24" t="str">
        <x:v>Palatoglossus</x:v>
      </x:c>
      <x:c r="B276" s="24" t="str">
        <x:v>Extrinsic tongue / soft palate</x:v>
      </x:c>
      <x:c r="C276" s="24" t="str">
        <x:v>Stabilizer</x:v>
      </x:c>
      <x:c r="D276" s="24" t="str">
        <x:v>No</x:v>
      </x:c>
      <x:c r="E276" s="24" t="str">
        <x:v>No</x:v>
      </x:c>
      <x:c r="F276" s="24" t="str">
        <x:v>Yes</x:v>
      </x:c>
      <x:c r="G276" s="24" t="str">
        <x:v>Elevates posterior tongue; closes oropharyngeal isthmus</x:v>
      </x:c>
      <x:c r="H276" s="24" t="str">
        <x:v>Palatine aponeurosis</x:v>
      </x:c>
      <x:c r="I276" s="24" t="str">
        <x:v>Side of posterior tongue</x:v>
      </x:c>
      <x:c r="J276" s="24" t="str">
        <x:v>Pharyngeal plexus via vagus nerve</x:v>
      </x:c>
      <x:c r="K276" s="24" t="str">
        <x:v>CN X; no spinal root</x:v>
      </x:c>
      <x:c r="L276" s="24" t="str">
        <x:v>Palatine aponeurosis</x:v>
      </x:c>
      <x:c r="M276" s="24" t="str">
        <x:v>Palatine aponeurosis fibrous origin</x:v>
      </x:c>
      <x:c r="N276" s="24" t="str">
        <x:v>Not established</x:v>
      </x:c>
      <x:c r="O276" s="24" t="str">
        <x:v>Not established</x:v>
      </x:c>
      <x:c r="P276" s="24" t="str">
        <x:v>Mixed Type I and Type II; ratio unverified</x:v>
      </x:c>
      <x:c r="Q276" s="24" t="str">
        <x:v>Published biopsies insufficient to state a reliable per-muscle percentage; no inference from function</x:v>
      </x:c>
      <x:c r="R276" s="24" t="str">
        <x:v>https://www.kenhub.com/en/library/anatomy/head-anatomy</x:v>
      </x:c>
      <x:c r="S276" s="24" t="str">
        <x:v>https://pubmed.ncbi.nlm.nih.gov/39359186/</x:v>
      </x:c>
    </x:row>
    <x:row r="277" ht="46" customHeight="1">
      <x:c r="A277" s="24" t="str">
        <x:v>Orbicularis oculi palpebral part</x:v>
      </x:c>
      <x:c r="B277" s="24" t="str">
        <x:v>Eyelids</x:v>
      </x:c>
      <x:c r="C277" s="24" t="str">
        <x:v>Stabilizer</x:v>
      </x:c>
      <x:c r="D277" s="24" t="str">
        <x:v>No</x:v>
      </x:c>
      <x:c r="E277" s="24" t="str">
        <x:v>No</x:v>
      </x:c>
      <x:c r="F277" s="24" t="str">
        <x:v>Yes</x:v>
      </x:c>
      <x:c r="G277" s="24" t="str">
        <x:v>Gentle eyelid closure; blink</x:v>
      </x:c>
      <x:c r="H277" s="24" t="str">
        <x:v>Medial palpebral ligament</x:v>
      </x:c>
      <x:c r="I277" s="24" t="str">
        <x:v>Lateral palpebral raphe</x:v>
      </x:c>
      <x:c r="J277" s="24" t="str">
        <x:v>Temporal and zygomatic facial branches</x:v>
      </x:c>
      <x:c r="K277" s="24" t="str">
        <x:v>CN VII; no spinal root</x:v>
      </x:c>
      <x:c r="L277" s="24" t="str">
        <x:v>Palpebral raphe fibrous attachment</x:v>
      </x:c>
      <x:c r="M277" s="24" t="str">
        <x:v>Medial palpebral ligament direct origin</x:v>
      </x:c>
      <x:c r="N277" s="24" t="str">
        <x:v>Not established</x:v>
      </x:c>
      <x:c r="O277" s="24" t="str">
        <x:v>Not established</x:v>
      </x:c>
      <x:c r="P277" s="24" t="str">
        <x:v>Mixed Type I and Type II; ratio unverified</x:v>
      </x:c>
      <x:c r="Q277" s="24" t="str">
        <x:v>Published biopsies insufficient to state a reliable per-muscle percentage; no inference from function</x:v>
      </x:c>
      <x:c r="R277" s="24" t="str">
        <x:v>https://www.kenhub.com/en/library/anatomy/head-anatomy</x:v>
      </x:c>
      <x:c r="S277" s="24" t="str">
        <x:v>https://pubmed.ncbi.nlm.nih.gov/39359186/</x:v>
      </x:c>
    </x:row>
    <x:row r="278" ht="46" customHeight="1">
      <x:c r="A278" s="24" t="str">
        <x:v>Inferior longitudinal tongue muscle</x:v>
      </x:c>
      <x:c r="B278" s="24" t="str">
        <x:v>Intrinsic tongue</x:v>
      </x:c>
      <x:c r="C278" s="24" t="str">
        <x:v>Other</x:v>
      </x:c>
      <x:c r="D278" s="24" t="str">
        <x:v>No</x:v>
      </x:c>
      <x:c r="E278" s="24" t="str">
        <x:v>No</x:v>
      </x:c>
      <x:c r="F278" s="24" t="str">
        <x:v>No</x:v>
      </x:c>
      <x:c r="G278" s="24" t="str">
        <x:v>Shortens tongue; curls tip downward</x:v>
      </x:c>
      <x:c r="H278" s="24" t="str">
        <x:v>Root of tongue and hyoid vicinity</x:v>
      </x:c>
      <x:c r="I278" s="24" t="str">
        <x:v>Tongue apex</x:v>
      </x:c>
      <x:c r="J278" s="24" t="str">
        <x:v>Hypoglossal nerve</x:v>
      </x:c>
      <x:c r="K278" s="24" t="str">
        <x:v>CN XII; no spinal root</x:v>
      </x:c>
      <x:c r="L278" s="24" t="str">
        <x:v>Intralingual fascicles</x:v>
      </x:c>
      <x:c r="M278" s="24" t="str">
        <x:v>Lingual septum</x:v>
      </x:c>
      <x:c r="N278" s="24" t="str">
        <x:v>Not established</x:v>
      </x:c>
      <x:c r="O278" s="24" t="str">
        <x:v>Not established</x:v>
      </x:c>
      <x:c r="P278" s="24" t="str">
        <x:v>Mixed Type I and Type II; ratio unverified</x:v>
      </x:c>
      <x:c r="Q278" s="24" t="str">
        <x:v>Published biopsies insufficient to state a reliable per-muscle percentage; no inference from function</x:v>
      </x:c>
      <x:c r="R278" s="24" t="str">
        <x:v>https://www.kenhub.com/en/library/anatomy/head-anatomy</x:v>
      </x:c>
      <x:c r="S278" s="24" t="str">
        <x:v>https://pubmed.ncbi.nlm.nih.gov/39359186/</x:v>
      </x:c>
    </x:row>
    <x:row r="279" ht="46" customHeight="1">
      <x:c r="A279" s="24" t="str">
        <x:v>Superior longitudinal tongue muscle</x:v>
      </x:c>
      <x:c r="B279" s="24" t="str">
        <x:v>Intrinsic tongue</x:v>
      </x:c>
      <x:c r="C279" s="24" t="str">
        <x:v>Other</x:v>
      </x:c>
      <x:c r="D279" s="24" t="str">
        <x:v>No</x:v>
      </x:c>
      <x:c r="E279" s="24" t="str">
        <x:v>No</x:v>
      </x:c>
      <x:c r="F279" s="24" t="str">
        <x:v>No</x:v>
      </x:c>
      <x:c r="G279" s="24" t="str">
        <x:v>Shortens tongue; curls tip/sides upward</x:v>
      </x:c>
      <x:c r="H279" s="24" t="str">
        <x:v>Submucosal tissue and posterior tongue fibrous septum</x:v>
      </x:c>
      <x:c r="I279" s="24" t="str">
        <x:v>Tip and margins of tongue</x:v>
      </x:c>
      <x:c r="J279" s="24" t="str">
        <x:v>Hypoglossal nerve</x:v>
      </x:c>
      <x:c r="K279" s="24" t="str">
        <x:v>CN XII; no spinal root</x:v>
      </x:c>
      <x:c r="L279" s="24" t="str">
        <x:v>Intralingual fibrous septa, no long tendon</x:v>
      </x:c>
      <x:c r="M279" s="24" t="str">
        <x:v>Lingual septum, not ligament</x:v>
      </x:c>
      <x:c r="N279" s="24" t="str">
        <x:v>Not established</x:v>
      </x:c>
      <x:c r="O279" s="24" t="str">
        <x:v>Not established</x:v>
      </x:c>
      <x:c r="P279" s="24" t="str">
        <x:v>Mixed Type I and Type II; ratio unverified</x:v>
      </x:c>
      <x:c r="Q279" s="24" t="str">
        <x:v>Published biopsies insufficient to state a reliable per-muscle percentage; no inference from function</x:v>
      </x:c>
      <x:c r="R279" s="24" t="str">
        <x:v>https://www.kenhub.com/en/library/anatomy/head-anatomy</x:v>
      </x:c>
      <x:c r="S279" s="24" t="str">
        <x:v>https://pubmed.ncbi.nlm.nih.gov/39359186/</x:v>
      </x:c>
    </x:row>
    <x:row r="280" ht="46" customHeight="1">
      <x:c r="A280" s="24" t="str">
        <x:v>Transverse tongue muscle</x:v>
      </x:c>
      <x:c r="B280" s="24" t="str">
        <x:v>Intrinsic tongue</x:v>
      </x:c>
      <x:c r="C280" s="24" t="str">
        <x:v>Stabilizer</x:v>
      </x:c>
      <x:c r="D280" s="24" t="str">
        <x:v>No</x:v>
      </x:c>
      <x:c r="E280" s="24" t="str">
        <x:v>No</x:v>
      </x:c>
      <x:c r="F280" s="24" t="str">
        <x:v>Yes</x:v>
      </x:c>
      <x:c r="G280" s="24" t="str">
        <x:v>Narrows/elongates tongue</x:v>
      </x:c>
      <x:c r="H280" s="24" t="str">
        <x:v>Median fibrous lingual septum</x:v>
      </x:c>
      <x:c r="I280" s="24" t="str">
        <x:v>Lateral tongue margins</x:v>
      </x:c>
      <x:c r="J280" s="24" t="str">
        <x:v>Hypoglossal nerve</x:v>
      </x:c>
      <x:c r="K280" s="24" t="str">
        <x:v>CN XII; no spinal root</x:v>
      </x:c>
      <x:c r="L280" s="24" t="str">
        <x:v>Fibrous lingual septum direct origin</x:v>
      </x:c>
      <x:c r="M280" s="24" t="str">
        <x:v>Lingual septum fibrous tissue</x:v>
      </x:c>
      <x:c r="N280" s="24" t="str">
        <x:v>Not established</x:v>
      </x:c>
      <x:c r="O280" s="24" t="str">
        <x:v>Not established</x:v>
      </x:c>
      <x:c r="P280" s="24" t="str">
        <x:v>Mixed Type I and Type II; ratio unverified</x:v>
      </x:c>
      <x:c r="Q280" s="24" t="str">
        <x:v>Published biopsies insufficient to state a reliable per-muscle percentage; no inference from function</x:v>
      </x:c>
      <x:c r="R280" s="24" t="str">
        <x:v>https://www.kenhub.com/en/library/anatomy/head-anatomy</x:v>
      </x:c>
      <x:c r="S280" s="24" t="str">
        <x:v>https://pubmed.ncbi.nlm.nih.gov/39359186/</x:v>
      </x:c>
    </x:row>
    <x:row r="281" ht="46" customHeight="1">
      <x:c r="A281" s="24" t="str">
        <x:v>Vertical tongue muscle</x:v>
      </x:c>
      <x:c r="B281" s="24" t="str">
        <x:v>Intrinsic tongue</x:v>
      </x:c>
      <x:c r="C281" s="24" t="str">
        <x:v>Other</x:v>
      </x:c>
      <x:c r="D281" s="24" t="str">
        <x:v>No</x:v>
      </x:c>
      <x:c r="E281" s="24" t="str">
        <x:v>No</x:v>
      </x:c>
      <x:c r="F281" s="24" t="str">
        <x:v>No</x:v>
      </x:c>
      <x:c r="G281" s="24" t="str">
        <x:v>Flattens/broadens tongue</x:v>
      </x:c>
      <x:c r="H281" s="24" t="str">
        <x:v>Dorsal tongue aponeurosis</x:v>
      </x:c>
      <x:c r="I281" s="24" t="str">
        <x:v>Inferior tongue surface</x:v>
      </x:c>
      <x:c r="J281" s="24" t="str">
        <x:v>Hypoglossal nerve</x:v>
      </x:c>
      <x:c r="K281" s="24" t="str">
        <x:v>CN XII; no spinal root</x:v>
      </x:c>
      <x:c r="L281" s="24" t="str">
        <x:v>Lingual aponeurosis</x:v>
      </x:c>
      <x:c r="M281" s="24" t="str">
        <x:v>Fibrous aponeurosis (not ligament)</x:v>
      </x:c>
      <x:c r="N281" s="24" t="str">
        <x:v>Not established</x:v>
      </x:c>
      <x:c r="O281" s="24" t="str">
        <x:v>Not established</x:v>
      </x:c>
      <x:c r="P281" s="24" t="str">
        <x:v>Mixed Type I and Type II; ratio unverified</x:v>
      </x:c>
      <x:c r="Q281" s="24" t="str">
        <x:v>Published biopsies insufficient to state a reliable per-muscle percentage; no inference from function</x:v>
      </x:c>
      <x:c r="R281" s="24" t="str">
        <x:v>https://www.kenhub.com/en/library/anatomy/head-anatomy</x:v>
      </x:c>
      <x:c r="S281" s="24" t="str">
        <x:v>https://pubmed.ncbi.nlm.nih.gov/39359186/</x:v>
      </x:c>
    </x:row>
    <x:row r="282" ht="46" customHeight="1">
      <x:c r="A282" s="24" t="str">
        <x:v>Orbicularis oris marginal part</x:v>
      </x:c>
      <x:c r="B282" s="24" t="str">
        <x:v>Lips</x:v>
      </x:c>
      <x:c r="C282" s="24" t="str">
        <x:v>Stabilizer</x:v>
      </x:c>
      <x:c r="D282" s="24" t="str">
        <x:v>No</x:v>
      </x:c>
      <x:c r="E282" s="24" t="str">
        <x:v>No</x:v>
      </x:c>
      <x:c r="F282" s="24" t="str">
        <x:v>Yes</x:v>
      </x:c>
      <x:c r="G282" s="24" t="str">
        <x:v>Purses/protrudes lips</x:v>
      </x:c>
      <x:c r="H282" s="24" t="str">
        <x:v>Modiolus and surrounding perioral muscle fibers</x:v>
      </x:c>
      <x:c r="I282" s="24" t="str">
        <x:v>Skin and mucosa of lip vermilion</x:v>
      </x:c>
      <x:c r="J282" s="24" t="str">
        <x:v>Buccal and marginal mandibular facial branches</x:v>
      </x:c>
      <x:c r="K282" s="24" t="str">
        <x:v>CN VII; no spinal root</x:v>
      </x:c>
      <x:c r="L282" s="24" t="str">
        <x:v>Musculofascial modiolus attachments</x:v>
      </x:c>
      <x:c r="M282" s="24" t="str">
        <x:v>No independent ligament attachment</x:v>
      </x:c>
      <x:c r="N282" s="24" t="str">
        <x:v>Not established</x:v>
      </x:c>
      <x:c r="O282" s="24" t="str">
        <x:v>Not established</x:v>
      </x:c>
      <x:c r="P282" s="24" t="str">
        <x:v>Mixed Type I and Type II; ratio unverified</x:v>
      </x:c>
      <x:c r="Q282" s="24" t="str">
        <x:v>Published biopsies insufficient to state a reliable per-muscle percentage; no inference from function</x:v>
      </x:c>
      <x:c r="R282" s="24" t="str">
        <x:v>https://www.kenhub.com/en/library/anatomy/head-anatomy</x:v>
      </x:c>
      <x:c r="S282" s="24" t="str">
        <x:v>https://pubmed.ncbi.nlm.nih.gov/39359186/</x:v>
      </x:c>
    </x:row>
    <x:row r="283" ht="46" customHeight="1">
      <x:c r="A283" s="24" t="str">
        <x:v>Orbicularis oris peripheral part</x:v>
      </x:c>
      <x:c r="B283" s="24" t="str">
        <x:v>Lips</x:v>
      </x:c>
      <x:c r="C283" s="24" t="str">
        <x:v>Stabilizer</x:v>
      </x:c>
      <x:c r="D283" s="24" t="str">
        <x:v>No</x:v>
      </x:c>
      <x:c r="E283" s="24" t="str">
        <x:v>No</x:v>
      </x:c>
      <x:c r="F283" s="24" t="str">
        <x:v>Yes</x:v>
      </x:c>
      <x:c r="G283" s="24" t="str">
        <x:v>Closes and compresses lips</x:v>
      </x:c>
      <x:c r="H283" s="24" t="str">
        <x:v>Maxillary/mandibular perioral fascicles and modiolus</x:v>
      </x:c>
      <x:c r="I283" s="24" t="str">
        <x:v>Dermis upper/lower lips</x:v>
      </x:c>
      <x:c r="J283" s="24" t="str">
        <x:v>Buccal/marginal mandibular facial branches</x:v>
      </x:c>
      <x:c r="K283" s="24" t="str">
        <x:v>CN VII; no spinal root</x:v>
      </x:c>
      <x:c r="L283" s="24" t="str">
        <x:v>Modiolus/fascial fiber attachments</x:v>
      </x:c>
      <x:c r="M283" s="24" t="str">
        <x:v>No independent ligament attachment</x:v>
      </x:c>
      <x:c r="N283" s="24" t="str">
        <x:v>Not established</x:v>
      </x:c>
      <x:c r="O283" s="24" t="str">
        <x:v>Not established</x:v>
      </x:c>
      <x:c r="P283" s="24" t="str">
        <x:v>Mixed Type I and Type II; ratio unverified</x:v>
      </x:c>
      <x:c r="Q283" s="24" t="str">
        <x:v>Published biopsies insufficient to state a reliable per-muscle percentage; no inference from function</x:v>
      </x:c>
      <x:c r="R283" s="24" t="str">
        <x:v>https://www.kenhub.com/en/library/anatomy/head-anatomy</x:v>
      </x:c>
      <x:c r="S283" s="24" t="str">
        <x:v>https://pubmed.ncbi.nlm.nih.gov/39359186/</x:v>
      </x:c>
    </x:row>
    <x:row r="284" ht="46" customHeight="1">
      <x:c r="A284" s="24" t="str">
        <x:v>Depressor anguli oris</x:v>
      </x:c>
      <x:c r="B284" s="24" t="str">
        <x:v>Lower face</x:v>
      </x:c>
      <x:c r="C284" s="24" t="str">
        <x:v>Other</x:v>
      </x:c>
      <x:c r="D284" s="24" t="str">
        <x:v>No</x:v>
      </x:c>
      <x:c r="E284" s="24" t="str">
        <x:v>No</x:v>
      </x:c>
      <x:c r="F284" s="24" t="str">
        <x:v>No</x:v>
      </x:c>
      <x:c r="G284" s="24" t="str">
        <x:v>Depresses angle of mouth</x:v>
      </x:c>
      <x:c r="H284" s="24" t="str">
        <x:v>Oblique line mandible</x:v>
      </x:c>
      <x:c r="I284" s="24" t="str">
        <x:v>Modiolus at mouth angle</x:v>
      </x:c>
      <x:c r="J284" s="24" t="str">
        <x:v>Marginal mandibular facial branch</x:v>
      </x:c>
      <x:c r="K284" s="24" t="str">
        <x:v>CN VII; no spinal root</x:v>
      </x:c>
      <x:c r="L284" s="24" t="str">
        <x:v>Modiolus insertion</x:v>
      </x:c>
      <x:c r="M284" s="24" t="str">
        <x:v>No direct ligament attachment</x:v>
      </x:c>
      <x:c r="N284" s="24" t="str">
        <x:v>Not established</x:v>
      </x:c>
      <x:c r="O284" s="24" t="str">
        <x:v>Not established</x:v>
      </x:c>
      <x:c r="P284" s="24" t="str">
        <x:v>Mixed Type I and Type II; ratio unverified</x:v>
      </x:c>
      <x:c r="Q284" s="24" t="str">
        <x:v>Published biopsies insufficient to state a reliable per-muscle percentage; no inference from function</x:v>
      </x:c>
      <x:c r="R284" s="24" t="str">
        <x:v>https://www.kenhub.com/en/library/anatomy/head-anatomy</x:v>
      </x:c>
      <x:c r="S284" s="24" t="str">
        <x:v>https://pubmed.ncbi.nlm.nih.gov/39359186/</x:v>
      </x:c>
    </x:row>
    <x:row r="285" ht="46" customHeight="1">
      <x:c r="A285" s="24" t="str">
        <x:v>Depressor labii inferioris</x:v>
      </x:c>
      <x:c r="B285" s="24" t="str">
        <x:v>Lower face</x:v>
      </x:c>
      <x:c r="C285" s="24" t="str">
        <x:v>Other</x:v>
      </x:c>
      <x:c r="D285" s="24" t="str">
        <x:v>No</x:v>
      </x:c>
      <x:c r="E285" s="24" t="str">
        <x:v>No</x:v>
      </x:c>
      <x:c r="F285" s="24" t="str">
        <x:v>No</x:v>
      </x:c>
      <x:c r="G285" s="24" t="str">
        <x:v>Depresses/everts lower lip</x:v>
      </x:c>
      <x:c r="H285" s="24" t="str">
        <x:v>Oblique line mandible</x:v>
      </x:c>
      <x:c r="I285" s="24" t="str">
        <x:v>Skin lower lip</x:v>
      </x:c>
      <x:c r="J285" s="24" t="str">
        <x:v>Marginal mandibular facial branch</x:v>
      </x:c>
      <x:c r="K285" s="24" t="str">
        <x:v>CN VII; no spinal root</x:v>
      </x:c>
      <x:c r="L285" s="24" t="str">
        <x:v>Dermal fascicles</x:v>
      </x:c>
      <x:c r="M285" s="24" t="str">
        <x:v>No direct ligament attachment</x:v>
      </x:c>
      <x:c r="N285" s="24" t="str">
        <x:v>Not established</x:v>
      </x:c>
      <x:c r="O285" s="24" t="str">
        <x:v>Not established</x:v>
      </x:c>
      <x:c r="P285" s="24" t="str">
        <x:v>Mixed Type I and Type II; ratio unverified</x:v>
      </x:c>
      <x:c r="Q285" s="24" t="str">
        <x:v>Published biopsies insufficient to state a reliable per-muscle percentage; no inference from function</x:v>
      </x:c>
      <x:c r="R285" s="24" t="str">
        <x:v>https://www.kenhub.com/en/library/anatomy/head-anatomy</x:v>
      </x:c>
      <x:c r="S285" s="24" t="str">
        <x:v>https://pubmed.ncbi.nlm.nih.gov/39359186/</x:v>
      </x:c>
    </x:row>
    <x:row r="286" ht="46" customHeight="1">
      <x:c r="A286" s="24" t="str">
        <x:v>Masseter deep portion</x:v>
      </x:c>
      <x:c r="B286" s="24" t="str">
        <x:v>Mastication</x:v>
      </x:c>
      <x:c r="C286" s="24" t="str">
        <x:v>Stabilizer</x:v>
      </x:c>
      <x:c r="D286" s="24" t="str">
        <x:v>No</x:v>
      </x:c>
      <x:c r="E286" s="24" t="str">
        <x:v>No</x:v>
      </x:c>
      <x:c r="F286" s="24" t="str">
        <x:v>Yes</x:v>
      </x:c>
      <x:c r="G286" s="24" t="str">
        <x:v>Elevates/retracts mandible</x:v>
      </x:c>
      <x:c r="H286" s="24" t="str">
        <x:v>Posterior zygomatic arch</x:v>
      </x:c>
      <x:c r="I286" s="24" t="str">
        <x:v>Lateral ramus and coronoid process mandible</x:v>
      </x:c>
      <x:c r="J286" s="24" t="str">
        <x:v>Masseteric nerve (V3)</x:v>
      </x:c>
      <x:c r="K286" s="24" t="str">
        <x:v>CN V3; no spinal motor root</x:v>
      </x:c>
      <x:c r="L286" s="24" t="str">
        <x:v>Deep masseter insertion tendon</x:v>
      </x:c>
      <x:c r="M286" s="24" t="str">
        <x:v>TMJ lateral ligament nearby, no direct insertion</x:v>
      </x:c>
      <x:c r="N286" s="24" t="str">
        <x:v>Not established</x:v>
      </x:c>
      <x:c r="O286" s="24" t="str">
        <x:v>Not established</x:v>
      </x:c>
      <x:c r="P286" s="24" t="str">
        <x:v>Mixed Type I and Type II; ratio unverified</x:v>
      </x:c>
      <x:c r="Q286" s="24" t="str">
        <x:v>Published biopsies insufficient to state a reliable per-muscle percentage; no inference from function</x:v>
      </x:c>
      <x:c r="R286" s="24" t="str">
        <x:v>https://www.kenhub.com/en/library/anatomy/head-anatomy</x:v>
      </x:c>
      <x:c r="S286" s="24" t="str">
        <x:v>https://pubmed.ncbi.nlm.nih.gov/39359186/</x:v>
      </x:c>
    </x:row>
    <x:row r="287" ht="46" customHeight="1">
      <x:c r="A287" s="24" t="str">
        <x:v>Masseter superficial portion</x:v>
      </x:c>
      <x:c r="B287" s="24" t="str">
        <x:v>Mastication</x:v>
      </x:c>
      <x:c r="C287" s="24" t="str">
        <x:v>Stabilizer</x:v>
      </x:c>
      <x:c r="D287" s="24" t="str">
        <x:v>No</x:v>
      </x:c>
      <x:c r="E287" s="24" t="str">
        <x:v>No</x:v>
      </x:c>
      <x:c r="F287" s="24" t="str">
        <x:v>Yes</x:v>
      </x:c>
      <x:c r="G287" s="24" t="str">
        <x:v>Elevates and protrudes mandible</x:v>
      </x:c>
      <x:c r="H287" s="24" t="str">
        <x:v>Zygomatic process maxilla; anterior zygomatic arch</x:v>
      </x:c>
      <x:c r="I287" s="24" t="str">
        <x:v>Lateral angle and inferior ramus mandible</x:v>
      </x:c>
      <x:c r="J287" s="24" t="str">
        <x:v>Masseteric nerve (V3)</x:v>
      </x:c>
      <x:c r="K287" s="24" t="str">
        <x:v>CN V3; no spinal motor root</x:v>
      </x:c>
      <x:c r="L287" s="24" t="str">
        <x:v>Masseteric aponeurosis</x:v>
      </x:c>
      <x:c r="M287" s="24" t="str">
        <x:v>Sphenomandibular ligament medial to ramus, not direct muscle attachment</x:v>
      </x:c>
      <x:c r="N287" s="24" t="str">
        <x:v>Not established</x:v>
      </x:c>
      <x:c r="O287" s="24" t="str">
        <x:v>Not established</x:v>
      </x:c>
      <x:c r="P287" s="24" t="str">
        <x:v>Mixed Type I and Type II; ratio unverified</x:v>
      </x:c>
      <x:c r="Q287" s="24" t="str">
        <x:v>Published biopsies insufficient to state a reliable per-muscle percentage; no inference from function</x:v>
      </x:c>
      <x:c r="R287" s="24" t="str">
        <x:v>https://www.kenhub.com/en/library/anatomy/head-anatomy</x:v>
      </x:c>
      <x:c r="S287" s="24" t="str">
        <x:v>https://pubmed.ncbi.nlm.nih.gov/39359186/</x:v>
      </x:c>
    </x:row>
    <x:row r="288" ht="46" customHeight="1">
      <x:c r="A288" s="24" t="str">
        <x:v>Medial pterygoid deep head</x:v>
      </x:c>
      <x:c r="B288" s="24" t="str">
        <x:v>Mastication</x:v>
      </x:c>
      <x:c r="C288" s="24" t="str">
        <x:v>Stabilizer</x:v>
      </x:c>
      <x:c r="D288" s="24" t="str">
        <x:v>No</x:v>
      </x:c>
      <x:c r="E288" s="24" t="str">
        <x:v>No</x:v>
      </x:c>
      <x:c r="F288" s="24" t="str">
        <x:v>Yes</x:v>
      </x:c>
      <x:c r="G288" s="24" t="str">
        <x:v>Elevates/protrudes mandible; grinding movement</x:v>
      </x:c>
      <x:c r="H288" s="24" t="str">
        <x:v>Medial surface lateral pterygoid plate and pyramidal palatine process</x:v>
      </x:c>
      <x:c r="I288" s="24" t="str">
        <x:v>Medial mandibular angle/ramus</x:v>
      </x:c>
      <x:c r="J288" s="24" t="str">
        <x:v>Nerve to medial pterygoid (V3)</x:v>
      </x:c>
      <x:c r="K288" s="24" t="str">
        <x:v>CN V3; no spinal motor root</x:v>
      </x:c>
      <x:c r="L288" s="24" t="str">
        <x:v>Pterygoid insertion tendon</x:v>
      </x:c>
      <x:c r="M288" s="24" t="str">
        <x:v>Sphenomandibular ligament lies nearby</x:v>
      </x:c>
      <x:c r="N288" s="24" t="str">
        <x:v>Not established</x:v>
      </x:c>
      <x:c r="O288" s="24" t="str">
        <x:v>Not established</x:v>
      </x:c>
      <x:c r="P288" s="24" t="str">
        <x:v>Mixed Type I and Type II; ratio unverified</x:v>
      </x:c>
      <x:c r="Q288" s="24" t="str">
        <x:v>Published biopsies insufficient to state a reliable per-muscle percentage; no inference from function</x:v>
      </x:c>
      <x:c r="R288" s="24" t="str">
        <x:v>https://www.kenhub.com/en/library/anatomy/head-anatomy</x:v>
      </x:c>
      <x:c r="S288" s="24" t="str">
        <x:v>https://pubmed.ncbi.nlm.nih.gov/39359186/</x:v>
      </x:c>
    </x:row>
    <x:row r="289" ht="46" customHeight="1">
      <x:c r="A289" s="24" t="str">
        <x:v>Medial pterygoid superficial head</x:v>
      </x:c>
      <x:c r="B289" s="24" t="str">
        <x:v>Mastication</x:v>
      </x:c>
      <x:c r="C289" s="24" t="str">
        <x:v>Stabilizer</x:v>
      </x:c>
      <x:c r="D289" s="24" t="str">
        <x:v>No</x:v>
      </x:c>
      <x:c r="E289" s="24" t="str">
        <x:v>No</x:v>
      </x:c>
      <x:c r="F289" s="24" t="str">
        <x:v>Yes</x:v>
      </x:c>
      <x:c r="G289" s="24" t="str">
        <x:v>Elevates/protrudes mandible</x:v>
      </x:c>
      <x:c r="H289" s="24" t="str">
        <x:v>Maxillary tuberosity</x:v>
      </x:c>
      <x:c r="I289" s="24" t="str">
        <x:v>Medial mandibular angle/ramus</x:v>
      </x:c>
      <x:c r="J289" s="24" t="str">
        <x:v>Nerve to medial pterygoid (V3)</x:v>
      </x:c>
      <x:c r="K289" s="24" t="str">
        <x:v>CN V3; no spinal motor root</x:v>
      </x:c>
      <x:c r="L289" s="24" t="str">
        <x:v>Fibrous insertion tendon</x:v>
      </x:c>
      <x:c r="M289" s="24" t="str">
        <x:v>Sphenomandibular ligament nearby</x:v>
      </x:c>
      <x:c r="N289" s="24" t="str">
        <x:v>Not established</x:v>
      </x:c>
      <x:c r="O289" s="24" t="str">
        <x:v>Not established</x:v>
      </x:c>
      <x:c r="P289" s="24" t="str">
        <x:v>Mixed Type I and Type II; ratio unverified</x:v>
      </x:c>
      <x:c r="Q289" s="24" t="str">
        <x:v>Published biopsies insufficient to state a reliable per-muscle percentage; no inference from function</x:v>
      </x:c>
      <x:c r="R289" s="24" t="str">
        <x:v>https://www.kenhub.com/en/library/anatomy/head-anatomy</x:v>
      </x:c>
      <x:c r="S289" s="24" t="str">
        <x:v>https://pubmed.ncbi.nlm.nih.gov/39359186/</x:v>
      </x:c>
    </x:row>
    <x:row r="290" ht="46" customHeight="1">
      <x:c r="A290" s="24" t="str">
        <x:v>Temporalis anterior fibers</x:v>
      </x:c>
      <x:c r="B290" s="24" t="str">
        <x:v>Mastication</x:v>
      </x:c>
      <x:c r="C290" s="24" t="str">
        <x:v>Stabilizer</x:v>
      </x:c>
      <x:c r="D290" s="24" t="str">
        <x:v>No</x:v>
      </x:c>
      <x:c r="E290" s="24" t="str">
        <x:v>No</x:v>
      </x:c>
      <x:c r="F290" s="24" t="str">
        <x:v>Yes</x:v>
      </x:c>
      <x:c r="G290" s="24" t="str">
        <x:v>Elevates mandible</x:v>
      </x:c>
      <x:c r="H290" s="24" t="str">
        <x:v>Anterior temporal fossa; temporal fascia</x:v>
      </x:c>
      <x:c r="I290" s="24" t="str">
        <x:v>Coronoid process/anterior mandibular ramus</x:v>
      </x:c>
      <x:c r="J290" s="24" t="str">
        <x:v>Deep temporal nerves (V3)</x:v>
      </x:c>
      <x:c r="K290" s="24" t="str">
        <x:v>CN V3; no spinal motor root</x:v>
      </x:c>
      <x:c r="L290" s="24" t="str">
        <x:v>Temporalis tendon</x:v>
      </x:c>
      <x:c r="M290" s="24" t="str">
        <x:v>Temporal fascia direct origin; TMJ ligament nearby</x:v>
      </x:c>
      <x:c r="N290" s="24" t="str">
        <x:v>Not established</x:v>
      </x:c>
      <x:c r="O290" s="24" t="str">
        <x:v>Not established</x:v>
      </x:c>
      <x:c r="P290" s="24" t="str">
        <x:v>Mixed Type I and Type II; ratio unverified</x:v>
      </x:c>
      <x:c r="Q290" s="24" t="str">
        <x:v>Published biopsies insufficient to state a reliable per-muscle percentage; no inference from function</x:v>
      </x:c>
      <x:c r="R290" s="24" t="str">
        <x:v>https://www.kenhub.com/en/library/anatomy/head-anatomy</x:v>
      </x:c>
      <x:c r="S290" s="24" t="str">
        <x:v>https://pubmed.ncbi.nlm.nih.gov/39359186/</x:v>
      </x:c>
    </x:row>
    <x:row r="291" ht="46" customHeight="1">
      <x:c r="A291" s="24" t="str">
        <x:v>Temporalis posterior fibers</x:v>
      </x:c>
      <x:c r="B291" s="24" t="str">
        <x:v>Mastication</x:v>
      </x:c>
      <x:c r="C291" s="24" t="str">
        <x:v>Stabilizer</x:v>
      </x:c>
      <x:c r="D291" s="24" t="str">
        <x:v>No</x:v>
      </x:c>
      <x:c r="E291" s="24" t="str">
        <x:v>No</x:v>
      </x:c>
      <x:c r="F291" s="24" t="str">
        <x:v>Yes</x:v>
      </x:c>
      <x:c r="G291" s="24" t="str">
        <x:v>Retracts and elevates mandible</x:v>
      </x:c>
      <x:c r="H291" s="24" t="str">
        <x:v>Posterior temporal fossa; temporal fascia</x:v>
      </x:c>
      <x:c r="I291" s="24" t="str">
        <x:v>Coronoid process of mandible</x:v>
      </x:c>
      <x:c r="J291" s="24" t="str">
        <x:v>Deep temporal nerves (V3)</x:v>
      </x:c>
      <x:c r="K291" s="24" t="str">
        <x:v>CN V3; no spinal motor root</x:v>
      </x:c>
      <x:c r="L291" s="24" t="str">
        <x:v>Temporalis tendon</x:v>
      </x:c>
      <x:c r="M291" s="24" t="str">
        <x:v>Temporal fascia origin</x:v>
      </x:c>
      <x:c r="N291" s="24" t="str">
        <x:v>Not established</x:v>
      </x:c>
      <x:c r="O291" s="24" t="str">
        <x:v>Not established</x:v>
      </x:c>
      <x:c r="P291" s="24" t="str">
        <x:v>Mixed Type I and Type II; ratio unverified</x:v>
      </x:c>
      <x:c r="Q291" s="24" t="str">
        <x:v>Published biopsies insufficient to state a reliable per-muscle percentage; no inference from function</x:v>
      </x:c>
      <x:c r="R291" s="24" t="str">
        <x:v>https://www.kenhub.com/en/library/anatomy/head-anatomy</x:v>
      </x:c>
      <x:c r="S291" s="24" t="str">
        <x:v>https://pubmed.ncbi.nlm.nih.gov/39359186/</x:v>
      </x:c>
    </x:row>
    <x:row r="292" ht="46" customHeight="1">
      <x:c r="A292" s="24" t="str">
        <x:v>Lateral pterygoid inferior head</x:v>
      </x:c>
      <x:c r="B292" s="24" t="str">
        <x:v>Mastication / TMJ</x:v>
      </x:c>
      <x:c r="C292" s="24" t="str">
        <x:v>Other</x:v>
      </x:c>
      <x:c r="D292" s="24" t="str">
        <x:v>No</x:v>
      </x:c>
      <x:c r="E292" s="24" t="str">
        <x:v>No</x:v>
      </x:c>
      <x:c r="F292" s="24" t="str">
        <x:v>No</x:v>
      </x:c>
      <x:c r="G292" s="24" t="str">
        <x:v>Protrudes/depresses mandible; side-to-side chewing</x:v>
      </x:c>
      <x:c r="H292" s="24" t="str">
        <x:v>Lateral surface lateral pterygoid plate</x:v>
      </x:c>
      <x:c r="I292" s="24" t="str">
        <x:v>Pterygoid fovea of mandibular neck</x:v>
      </x:c>
      <x:c r="J292" s="24" t="str">
        <x:v>Nerve to lateral pterygoid (V3)</x:v>
      </x:c>
      <x:c r="K292" s="24" t="str">
        <x:v>CN V3; no spinal motor root</x:v>
      </x:c>
      <x:c r="L292" s="24" t="str">
        <x:v>Pterygoid fovea insertion tendon</x:v>
      </x:c>
      <x:c r="M292" s="24" t="str">
        <x:v>TMJ capsular ligament complex nearby</x:v>
      </x:c>
      <x:c r="N292" s="24" t="str">
        <x:v>Not established</x:v>
      </x:c>
      <x:c r="O292" s="24" t="str">
        <x:v>Not established</x:v>
      </x:c>
      <x:c r="P292" s="24" t="str">
        <x:v>Mixed Type I and Type II; ratio unverified</x:v>
      </x:c>
      <x:c r="Q292" s="24" t="str">
        <x:v>Published biopsies insufficient to state a reliable per-muscle percentage; no inference from function</x:v>
      </x:c>
      <x:c r="R292" s="24" t="str">
        <x:v>https://www.kenhub.com/en/library/anatomy/head-anatomy</x:v>
      </x:c>
      <x:c r="S292" s="24" t="str">
        <x:v>https://pubmed.ncbi.nlm.nih.gov/39359186/</x:v>
      </x:c>
    </x:row>
    <x:row r="293" ht="46" customHeight="1">
      <x:c r="A293" s="24" t="str">
        <x:v>Lateral pterygoid superior head</x:v>
      </x:c>
      <x:c r="B293" s="24" t="str">
        <x:v>Mastication / TMJ</x:v>
      </x:c>
      <x:c r="C293" s="24" t="str">
        <x:v>Stabilizer</x:v>
      </x:c>
      <x:c r="D293" s="24" t="str">
        <x:v>No</x:v>
      </x:c>
      <x:c r="E293" s="24" t="str">
        <x:v>No</x:v>
      </x:c>
      <x:c r="F293" s="24" t="str">
        <x:v>Yes</x:v>
      </x:c>
      <x:c r="G293" s="24" t="str">
        <x:v>Stabilizes articular disc and jaw during closing</x:v>
      </x:c>
      <x:c r="H293" s="24" t="str">
        <x:v>Infratemporal surface/crest greater wing sphenoid</x:v>
      </x:c>
      <x:c r="I293" s="24" t="str">
        <x:v>TMJ articular disc/capsule and pterygoid fovea mandibular neck</x:v>
      </x:c>
      <x:c r="J293" s="24" t="str">
        <x:v>Nerve to lateral pterygoid (V3)</x:v>
      </x:c>
      <x:c r="K293" s="24" t="str">
        <x:v>CN V3; no spinal motor root</x:v>
      </x:c>
      <x:c r="L293" s="24" t="str">
        <x:v>Capsulodiscal fibrous attachment</x:v>
      </x:c>
      <x:c r="M293" s="24" t="str">
        <x:v>TMJ capsule and lateral ligament adjacent</x:v>
      </x:c>
      <x:c r="N293" s="24" t="str">
        <x:v>Not established</x:v>
      </x:c>
      <x:c r="O293" s="24" t="str">
        <x:v>Not established</x:v>
      </x:c>
      <x:c r="P293" s="24" t="str">
        <x:v>Mixed Type I and Type II; ratio unverified</x:v>
      </x:c>
      <x:c r="Q293" s="24" t="str">
        <x:v>Published biopsies insufficient to state a reliable per-muscle percentage; no inference from function</x:v>
      </x:c>
      <x:c r="R293" s="24" t="str">
        <x:v>https://www.kenhub.com/en/library/anatomy/head-anatomy</x:v>
      </x:c>
      <x:c r="S293" s="24" t="str">
        <x:v>https://pubmed.ncbi.nlm.nih.gov/39359186/</x:v>
      </x:c>
    </x:row>
    <x:row r="294" ht="46" customHeight="1">
      <x:c r="A294" s="24" t="str">
        <x:v>Orbicularis oculi lacrimal part (Horner muscle)</x:v>
      </x:c>
      <x:c r="B294" s="24" t="str">
        <x:v>Medial eyelid</x:v>
      </x:c>
      <x:c r="C294" s="24" t="str">
        <x:v>Stabilizer</x:v>
      </x:c>
      <x:c r="D294" s="24" t="str">
        <x:v>No</x:v>
      </x:c>
      <x:c r="E294" s="24" t="str">
        <x:v>No</x:v>
      </x:c>
      <x:c r="F294" s="24" t="str">
        <x:v>Yes</x:v>
      </x:c>
      <x:c r="G294" s="24" t="str">
        <x:v>Drains tears via lacrimal pump; eyelid closure</x:v>
      </x:c>
      <x:c r="H294" s="24" t="str">
        <x:v>Posterior lacrimal crest/lacrimal fascia</x:v>
      </x:c>
      <x:c r="I294" s="24" t="str">
        <x:v>Medial tarsal plates</x:v>
      </x:c>
      <x:c r="J294" s="24" t="str">
        <x:v>Zygomatic branch facial nerve</x:v>
      </x:c>
      <x:c r="K294" s="24" t="str">
        <x:v>CN VII; no spinal root</x:v>
      </x:c>
      <x:c r="L294" s="24" t="str">
        <x:v>Tarsal tendon/fibrous slips</x:v>
      </x:c>
      <x:c r="M294" s="24" t="str">
        <x:v>Medial canthal tendon/lacrimal fascia</x:v>
      </x:c>
      <x:c r="N294" s="24" t="str">
        <x:v>Not established</x:v>
      </x:c>
      <x:c r="O294" s="24" t="str">
        <x:v>Not established</x:v>
      </x:c>
      <x:c r="P294" s="24" t="str">
        <x:v>Mixed Type I and Type II; ratio unverified</x:v>
      </x:c>
      <x:c r="Q294" s="24" t="str">
        <x:v>Published biopsies insufficient to state a reliable per-muscle percentage; no inference from function</x:v>
      </x:c>
      <x:c r="R294" s="24" t="str">
        <x:v>https://www.kenhub.com/en/library/anatomy/head-anatomy</x:v>
      </x:c>
      <x:c r="S294" s="24" t="str">
        <x:v>https://pubmed.ncbi.nlm.nih.gov/39359186/</x:v>
      </x:c>
    </x:row>
    <x:row r="295" ht="46" customHeight="1">
      <x:c r="A295" s="24" t="str">
        <x:v>Procerus</x:v>
      </x:c>
      <x:c r="B295" s="24" t="str">
        <x:v>Nasal bridge</x:v>
      </x:c>
      <x:c r="C295" s="24" t="str">
        <x:v>Other</x:v>
      </x:c>
      <x:c r="D295" s="24" t="str">
        <x:v>No</x:v>
      </x:c>
      <x:c r="E295" s="24" t="str">
        <x:v>No</x:v>
      </x:c>
      <x:c r="F295" s="24" t="str">
        <x:v>No</x:v>
      </x:c>
      <x:c r="G295" s="24" t="str">
        <x:v>Depresses medial brow; transverse nasal wrinkles</x:v>
      </x:c>
      <x:c r="H295" s="24" t="str">
        <x:v>Nasal bone and upper lateral nasal cartilage</x:v>
      </x:c>
      <x:c r="I295" s="24" t="str">
        <x:v>Skin between eyebrows</x:v>
      </x:c>
      <x:c r="J295" s="24" t="str">
        <x:v>Temporal/buccal facial branches</x:v>
      </x:c>
      <x:c r="K295" s="24" t="str">
        <x:v>CN VII; no spinal root</x:v>
      </x:c>
      <x:c r="L295" s="24" t="str">
        <x:v>Fibrous dermal insertion</x:v>
      </x:c>
      <x:c r="M295" s="24" t="str">
        <x:v>No specific direct ligament attachment</x:v>
      </x:c>
      <x:c r="N295" s="24" t="str">
        <x:v>Not established</x:v>
      </x:c>
      <x:c r="O295" s="24" t="str">
        <x:v>Not established</x:v>
      </x:c>
      <x:c r="P295" s="24" t="str">
        <x:v>Mixed Type I and Type II; ratio unverified</x:v>
      </x:c>
      <x:c r="Q295" s="24" t="str">
        <x:v>Published biopsies insufficient to state a reliable per-muscle percentage; no inference from function</x:v>
      </x:c>
      <x:c r="R295" s="24" t="str">
        <x:v>https://www.kenhub.com/en/library/anatomy/head-anatomy</x:v>
      </x:c>
      <x:c r="S295" s="24" t="str">
        <x:v>https://pubmed.ncbi.nlm.nih.gov/39359186/</x:v>
      </x:c>
    </x:row>
    <x:row r="296" ht="46" customHeight="1">
      <x:c r="A296" s="24" t="str">
        <x:v>Depressor septi nasi</x:v>
      </x:c>
      <x:c r="B296" s="24" t="str">
        <x:v>Nose</x:v>
      </x:c>
      <x:c r="C296" s="24" t="str">
        <x:v>Other</x:v>
      </x:c>
      <x:c r="D296" s="24" t="str">
        <x:v>No</x:v>
      </x:c>
      <x:c r="E296" s="24" t="str">
        <x:v>No</x:v>
      </x:c>
      <x:c r="F296" s="24" t="str">
        <x:v>No</x:v>
      </x:c>
      <x:c r="G296" s="24" t="str">
        <x:v>Draws septum downward, narrows nostrils</x:v>
      </x:c>
      <x:c r="H296" s="24" t="str">
        <x:v>Incisive fossa of maxilla</x:v>
      </x:c>
      <x:c r="I296" s="24" t="str">
        <x:v>Mobile nasal septum/columella</x:v>
      </x:c>
      <x:c r="J296" s="24" t="str">
        <x:v>Buccal facial branches</x:v>
      </x:c>
      <x:c r="K296" s="24" t="str">
        <x:v>CN VII; no spinal root</x:v>
      </x:c>
      <x:c r="L296" s="24" t="str">
        <x:v>Fibrous septal insertion</x:v>
      </x:c>
      <x:c r="M296" s="24" t="str">
        <x:v>Nasal septal cartilage connective tissue</x:v>
      </x:c>
      <x:c r="N296" s="24" t="str">
        <x:v>Not established</x:v>
      </x:c>
      <x:c r="O296" s="24" t="str">
        <x:v>Not established</x:v>
      </x:c>
      <x:c r="P296" s="24" t="str">
        <x:v>Mixed Type I and Type II; ratio unverified</x:v>
      </x:c>
      <x:c r="Q296" s="24" t="str">
        <x:v>Published biopsies insufficient to state a reliable per-muscle percentage; no inference from function</x:v>
      </x:c>
      <x:c r="R296" s="24" t="str">
        <x:v>https://www.kenhub.com/en/library/anatomy/head-anatomy</x:v>
      </x:c>
      <x:c r="S296" s="24" t="str">
        <x:v>https://pubmed.ncbi.nlm.nih.gov/39359186/</x:v>
      </x:c>
    </x:row>
    <x:row r="297" ht="46" customHeight="1">
      <x:c r="A297" s="24" t="str">
        <x:v>Nasalis alar part (dilator naris)</x:v>
      </x:c>
      <x:c r="B297" s="24" t="str">
        <x:v>Nose</x:v>
      </x:c>
      <x:c r="C297" s="24" t="str">
        <x:v>Other</x:v>
      </x:c>
      <x:c r="D297" s="24" t="str">
        <x:v>No</x:v>
      </x:c>
      <x:c r="E297" s="24" t="str">
        <x:v>No</x:v>
      </x:c>
      <x:c r="F297" s="24" t="str">
        <x:v>No</x:v>
      </x:c>
      <x:c r="G297" s="24" t="str">
        <x:v>Dilates nostril</x:v>
      </x:c>
      <x:c r="H297" s="24" t="str">
        <x:v>Maxilla near lateral incisor</x:v>
      </x:c>
      <x:c r="I297" s="24" t="str">
        <x:v>Greater alar cartilage/skin of nostril</x:v>
      </x:c>
      <x:c r="J297" s="24" t="str">
        <x:v>Buccal facial branches</x:v>
      </x:c>
      <x:c r="K297" s="24" t="str">
        <x:v>CN VII; no spinal root</x:v>
      </x:c>
      <x:c r="L297" s="24" t="str">
        <x:v>Dermal/cartilage fascicles</x:v>
      </x:c>
      <x:c r="M297" s="24" t="str">
        <x:v>Alar cartilaginous connective tissue</x:v>
      </x:c>
      <x:c r="N297" s="24" t="str">
        <x:v>Not established</x:v>
      </x:c>
      <x:c r="O297" s="24" t="str">
        <x:v>Not established</x:v>
      </x:c>
      <x:c r="P297" s="24" t="str">
        <x:v>Mixed Type I and Type II; ratio unverified</x:v>
      </x:c>
      <x:c r="Q297" s="24" t="str">
        <x:v>Published biopsies insufficient to state a reliable per-muscle percentage; no inference from function</x:v>
      </x:c>
      <x:c r="R297" s="24" t="str">
        <x:v>https://www.kenhub.com/en/library/anatomy/head-anatomy</x:v>
      </x:c>
      <x:c r="S297" s="24" t="str">
        <x:v>https://pubmed.ncbi.nlm.nih.gov/39359186/</x:v>
      </x:c>
    </x:row>
    <x:row r="298" ht="46" customHeight="1">
      <x:c r="A298" s="24" t="str">
        <x:v>Nasalis transverse part (compressor naris)</x:v>
      </x:c>
      <x:c r="B298" s="24" t="str">
        <x:v>Nose</x:v>
      </x:c>
      <x:c r="C298" s="24" t="str">
        <x:v>Other</x:v>
      </x:c>
      <x:c r="D298" s="24" t="str">
        <x:v>No</x:v>
      </x:c>
      <x:c r="E298" s="24" t="str">
        <x:v>No</x:v>
      </x:c>
      <x:c r="F298" s="24" t="str">
        <x:v>No</x:v>
      </x:c>
      <x:c r="G298" s="24" t="str">
        <x:v>Compresses nasal opening</x:v>
      </x:c>
      <x:c r="H298" s="24" t="str">
        <x:v>Maxilla lateral to nose</x:v>
      </x:c>
      <x:c r="I298" s="24" t="str">
        <x:v>Aponeurosis bridge of nose</x:v>
      </x:c>
      <x:c r="J298" s="24" t="str">
        <x:v>Buccal facial branches</x:v>
      </x:c>
      <x:c r="K298" s="24" t="str">
        <x:v>CN VII; no spinal root</x:v>
      </x:c>
      <x:c r="L298" s="24" t="str">
        <x:v>Dorsal nasal aponeurosis</x:v>
      </x:c>
      <x:c r="M298" s="24" t="str">
        <x:v>Nasal cartilage fibrous attachments</x:v>
      </x:c>
      <x:c r="N298" s="24" t="str">
        <x:v>Not established</x:v>
      </x:c>
      <x:c r="O298" s="24" t="str">
        <x:v>Not established</x:v>
      </x:c>
      <x:c r="P298" s="24" t="str">
        <x:v>Mixed Type I and Type II; ratio unverified</x:v>
      </x:c>
      <x:c r="Q298" s="24" t="str">
        <x:v>Published biopsies insufficient to state a reliable per-muscle percentage; no inference from function</x:v>
      </x:c>
      <x:c r="R298" s="24" t="str">
        <x:v>https://www.kenhub.com/en/library/anatomy/head-anatomy</x:v>
      </x:c>
      <x:c r="S298" s="24" t="str">
        <x:v>https://pubmed.ncbi.nlm.nih.gov/39359186/</x:v>
      </x:c>
    </x:row>
    <x:row r="299" ht="46" customHeight="1">
      <x:c r="A299" s="24" t="str">
        <x:v>Levator labii superioris alaeque nasi</x:v>
      </x:c>
      <x:c r="B299" s="24" t="str">
        <x:v>Nose upper lip</x:v>
      </x:c>
      <x:c r="C299" s="24" t="str">
        <x:v>Other</x:v>
      </x:c>
      <x:c r="D299" s="24" t="str">
        <x:v>No</x:v>
      </x:c>
      <x:c r="E299" s="24" t="str">
        <x:v>No</x:v>
      </x:c>
      <x:c r="F299" s="24" t="str">
        <x:v>No</x:v>
      </x:c>
      <x:c r="G299" s="24" t="str">
        <x:v>Raises upper lip/dilates nostril</x:v>
      </x:c>
      <x:c r="H299" s="24" t="str">
        <x:v>Frontal process of maxilla</x:v>
      </x:c>
      <x:c r="I299" s="24" t="str">
        <x:v>Alar cartilage and upper lip skin</x:v>
      </x:c>
      <x:c r="J299" s="24" t="str">
        <x:v>Buccal facial branches</x:v>
      </x:c>
      <x:c r="K299" s="24" t="str">
        <x:v>CN VII; no spinal root</x:v>
      </x:c>
      <x:c r="L299" s="24" t="str">
        <x:v>Dermal insertions</x:v>
      </x:c>
      <x:c r="M299" s="24" t="str">
        <x:v>No specific ligament attachment</x:v>
      </x:c>
      <x:c r="N299" s="24" t="str">
        <x:v>Not established</x:v>
      </x:c>
      <x:c r="O299" s="24" t="str">
        <x:v>Not established</x:v>
      </x:c>
      <x:c r="P299" s="24" t="str">
        <x:v>Mixed Type I and Type II; ratio unverified</x:v>
      </x:c>
      <x:c r="Q299" s="24" t="str">
        <x:v>Published biopsies insufficient to state a reliable per-muscle percentage; no inference from function</x:v>
      </x:c>
      <x:c r="R299" s="24" t="str">
        <x:v>https://www.kenhub.com/en/library/anatomy/head-anatomy</x:v>
      </x:c>
      <x:c r="S299" s="24" t="str">
        <x:v>https://pubmed.ncbi.nlm.nih.gov/39359186/</x:v>
      </x:c>
    </x:row>
    <x:row r="300" ht="46" customHeight="1">
      <x:c r="A300" s="24" t="str">
        <x:v>Orbicularis oculi orbital part</x:v>
      </x:c>
      <x:c r="B300" s="24" t="str">
        <x:v>Periorbital</x:v>
      </x:c>
      <x:c r="C300" s="24" t="str">
        <x:v>Stabilizer</x:v>
      </x:c>
      <x:c r="D300" s="24" t="str">
        <x:v>No</x:v>
      </x:c>
      <x:c r="E300" s="24" t="str">
        <x:v>No</x:v>
      </x:c>
      <x:c r="F300" s="24" t="str">
        <x:v>Yes</x:v>
      </x:c>
      <x:c r="G300" s="24" t="str">
        <x:v>Forceful eyelid closure</x:v>
      </x:c>
      <x:c r="H300" s="24" t="str">
        <x:v>Medial orbital margin; medial palpebral ligament</x:v>
      </x:c>
      <x:c r="I300" s="24" t="str">
        <x:v>Skin around orbital rim</x:v>
      </x:c>
      <x:c r="J300" s="24" t="str">
        <x:v>Temporal and zygomatic branches facial nerve</x:v>
      </x:c>
      <x:c r="K300" s="24" t="str">
        <x:v>CN VII; no spinal root</x:v>
      </x:c>
      <x:c r="L300" s="24" t="str">
        <x:v>Medial canthal tendon/medial palpebral ligament</x:v>
      </x:c>
      <x:c r="M300" s="24" t="str">
        <x:v>Medial palpebral ligament direct origin</x:v>
      </x:c>
      <x:c r="N300" s="24" t="str">
        <x:v>Not established</x:v>
      </x:c>
      <x:c r="O300" s="24" t="str">
        <x:v>Not established</x:v>
      </x:c>
      <x:c r="P300" s="24" t="str">
        <x:v>Mixed Type I and Type II; ratio unverified</x:v>
      </x:c>
      <x:c r="Q300" s="24" t="str">
        <x:v>Published biopsies insufficient to state a reliable per-muscle percentage; no inference from function</x:v>
      </x:c>
      <x:c r="R300" s="24" t="str">
        <x:v>https://www.kenhub.com/en/library/anatomy/head-anatomy</x:v>
      </x:c>
      <x:c r="S300" s="24" t="str">
        <x:v>https://pubmed.ncbi.nlm.nih.gov/39359186/</x:v>
      </x:c>
    </x:row>
    <x:row r="301" ht="46" customHeight="1">
      <x:c r="A301" s="24" t="str">
        <x:v>Frontalis (occipitofrontalis frontal belly)</x:v>
      </x:c>
      <x:c r="B301" s="24" t="str">
        <x:v>Scalp</x:v>
      </x:c>
      <x:c r="C301" s="24" t="str">
        <x:v>Other</x:v>
      </x:c>
      <x:c r="D301" s="24" t="str">
        <x:v>No</x:v>
      </x:c>
      <x:c r="E301" s="24" t="str">
        <x:v>No</x:v>
      </x:c>
      <x:c r="F301" s="24" t="str">
        <x:v>No</x:v>
      </x:c>
      <x:c r="G301" s="24" t="str">
        <x:v>Raises eyebrows; wrinkles forehead</x:v>
      </x:c>
      <x:c r="H301" s="24" t="str">
        <x:v>Epicranial aponeurosis</x:v>
      </x:c>
      <x:c r="I301" s="24" t="str">
        <x:v>Skin eyebrows/root nose</x:v>
      </x:c>
      <x:c r="J301" s="24" t="str">
        <x:v>Temporal branches facial nerve</x:v>
      </x:c>
      <x:c r="K301" s="24" t="str">
        <x:v>CN VII; no spinal root</x:v>
      </x:c>
      <x:c r="L301" s="24" t="str">
        <x:v>Epicranial aponeurosis</x:v>
      </x:c>
      <x:c r="M301" s="24" t="str">
        <x:v>No direct ligament attachment</x:v>
      </x:c>
      <x:c r="N301" s="24" t="str">
        <x:v>Not established</x:v>
      </x:c>
      <x:c r="O301" s="24" t="str">
        <x:v>Not established</x:v>
      </x:c>
      <x:c r="P301" s="24" t="str">
        <x:v>Mixed Type I and Type II; ratio unverified</x:v>
      </x:c>
      <x:c r="Q301" s="24" t="str">
        <x:v>Published biopsies insufficient to state a reliable per-muscle percentage; no inference from function</x:v>
      </x:c>
      <x:c r="R301" s="24" t="str">
        <x:v>https://www.kenhub.com/en/library/anatomy/head-anatomy</x:v>
      </x:c>
      <x:c r="S301" s="24" t="str">
        <x:v>https://pubmed.ncbi.nlm.nih.gov/39359186/</x:v>
      </x:c>
    </x:row>
    <x:row r="302" ht="46" customHeight="1">
      <x:c r="A302" s="24" t="str">
        <x:v>Occipitalis (occipitofrontalis occipital belly)</x:v>
      </x:c>
      <x:c r="B302" s="24" t="str">
        <x:v>Scalp</x:v>
      </x:c>
      <x:c r="C302" s="24" t="str">
        <x:v>Other</x:v>
      </x:c>
      <x:c r="D302" s="24" t="str">
        <x:v>No</x:v>
      </x:c>
      <x:c r="E302" s="24" t="str">
        <x:v>No</x:v>
      </x:c>
      <x:c r="F302" s="24" t="str">
        <x:v>No</x:v>
      </x:c>
      <x:c r="G302" s="24" t="str">
        <x:v>Retracts scalp</x:v>
      </x:c>
      <x:c r="H302" s="24" t="str">
        <x:v>Lateral superior nuchal line; mastoid part temporal bone</x:v>
      </x:c>
      <x:c r="I302" s="24" t="str">
        <x:v>Epicranial aponeurosis</x:v>
      </x:c>
      <x:c r="J302" s="24" t="str">
        <x:v>Posterior auricular branch facial nerve</x:v>
      </x:c>
      <x:c r="K302" s="24" t="str">
        <x:v>CN VII; no spinal root</x:v>
      </x:c>
      <x:c r="L302" s="24" t="str">
        <x:v>Galea aponeurotica (epicranial aponeurosis)</x:v>
      </x:c>
      <x:c r="M302" s="24" t="str">
        <x:v>Nuchal ligament nearby, no direct attachment</x:v>
      </x:c>
      <x:c r="N302" s="24" t="str">
        <x:v>Not established</x:v>
      </x:c>
      <x:c r="O302" s="24" t="str">
        <x:v>Not established</x:v>
      </x:c>
      <x:c r="P302" s="24" t="str">
        <x:v>Mixed Type I and Type II; ratio unverified</x:v>
      </x:c>
      <x:c r="Q302" s="24" t="str">
        <x:v>Published biopsies insufficient to state a reliable per-muscle percentage; no inference from function</x:v>
      </x:c>
      <x:c r="R302" s="24" t="str">
        <x:v>https://www.kenhub.com/en/library/anatomy/head-anatomy</x:v>
      </x:c>
      <x:c r="S302" s="24" t="str">
        <x:v>https://pubmed.ncbi.nlm.nih.gov/39359186/</x:v>
      </x:c>
    </x:row>
    <x:row r="303" ht="46" customHeight="1">
      <x:c r="A303" s="24" t="str">
        <x:v>Temporoparietalis</x:v>
      </x:c>
      <x:c r="B303" s="24" t="str">
        <x:v>Scalp</x:v>
      </x:c>
      <x:c r="C303" s="24" t="str">
        <x:v>Other</x:v>
      </x:c>
      <x:c r="D303" s="24" t="str">
        <x:v>No</x:v>
      </x:c>
      <x:c r="E303" s="24" t="str">
        <x:v>No</x:v>
      </x:c>
      <x:c r="F303" s="24" t="str">
        <x:v>No</x:v>
      </x:c>
      <x:c r="G303" s="24" t="str">
        <x:v>Tenses scalp; moves auricle slightly</x:v>
      </x:c>
      <x:c r="H303" s="24" t="str">
        <x:v>Fascia above auricle</x:v>
      </x:c>
      <x:c r="I303" s="24" t="str">
        <x:v>Epicranial aponeurosis</x:v>
      </x:c>
      <x:c r="J303" s="24" t="str">
        <x:v>Temporal branches facial nerve</x:v>
      </x:c>
      <x:c r="K303" s="24" t="str">
        <x:v>CN VII; no spinal root</x:v>
      </x:c>
      <x:c r="L303" s="24" t="str">
        <x:v>Epicranial aponeurosis</x:v>
      </x:c>
      <x:c r="M303" s="24" t="str">
        <x:v>Auricular fascia, no known direct ligament</x:v>
      </x:c>
      <x:c r="N303" s="24" t="str">
        <x:v>Not established</x:v>
      </x:c>
      <x:c r="O303" s="24" t="str">
        <x:v>Not established</x:v>
      </x:c>
      <x:c r="P303" s="24" t="str">
        <x:v>Mixed Type I and Type II; ratio unverified</x:v>
      </x:c>
      <x:c r="Q303" s="24" t="str">
        <x:v>Published biopsies insufficient to state a reliable per-muscle percentage; no inference from function</x:v>
      </x:c>
      <x:c r="R303" s="24" t="str">
        <x:v>https://www.kenhub.com/en/library/anatomy/head-anatomy</x:v>
      </x:c>
      <x:c r="S303" s="24" t="str">
        <x:v>https://pubmed.ncbi.nlm.nih.gov/39359186/</x:v>
      </x:c>
    </x:row>
    <x:row r="304" ht="46" customHeight="1">
      <x:c r="A304" s="24" t="str">
        <x:v>Levator labii superioris</x:v>
      </x:c>
      <x:c r="B304" s="24" t="str">
        <x:v>Upper lip</x:v>
      </x:c>
      <x:c r="C304" s="24" t="str">
        <x:v>Other</x:v>
      </x:c>
      <x:c r="D304" s="24" t="str">
        <x:v>No</x:v>
      </x:c>
      <x:c r="E304" s="24" t="str">
        <x:v>No</x:v>
      </x:c>
      <x:c r="F304" s="24" t="str">
        <x:v>No</x:v>
      </x:c>
      <x:c r="G304" s="24" t="str">
        <x:v>Raises upper lip</x:v>
      </x:c>
      <x:c r="H304" s="24" t="str">
        <x:v>Infraorbital margin maxilla</x:v>
      </x:c>
      <x:c r="I304" s="24" t="str">
        <x:v>Skin/muscle upper lip</x:v>
      </x:c>
      <x:c r="J304" s="24" t="str">
        <x:v>Zygomatic/buccal facial branches</x:v>
      </x:c>
      <x:c r="K304" s="24" t="str">
        <x:v>CN VII; no spinal root</x:v>
      </x:c>
      <x:c r="L304" s="24" t="str">
        <x:v>Dermal fibers</x:v>
      </x:c>
      <x:c r="M304" s="24" t="str">
        <x:v>No specific ligament attachment</x:v>
      </x:c>
      <x:c r="N304" s="24" t="str">
        <x:v>Not established</x:v>
      </x:c>
      <x:c r="O304" s="24" t="str">
        <x:v>Not established</x:v>
      </x:c>
      <x:c r="P304" s="24" t="str">
        <x:v>Mixed Type I and Type II; ratio unverified</x:v>
      </x:c>
      <x:c r="Q304" s="24" t="str">
        <x:v>Published biopsies insufficient to state a reliable per-muscle percentage; no inference from function</x:v>
      </x:c>
      <x:c r="R304" s="24" t="str">
        <x:v>https://www.kenhub.com/en/library/anatomy/head-anatomy</x:v>
      </x:c>
      <x:c r="S304" s="24" t="str">
        <x:v>https://pubmed.ncbi.nlm.nih.gov/39359186/</x:v>
      </x:c>
    </x:row>
    <x:row r="305" ht="46" customHeight="1">
      <x:c r="A305" s="24" t="str">
        <x:v>Zygomaticus minor</x:v>
      </x:c>
      <x:c r="B305" s="24" t="str">
        <x:v>Upper lip</x:v>
      </x:c>
      <x:c r="C305" s="24" t="str">
        <x:v>Other</x:v>
      </x:c>
      <x:c r="D305" s="24" t="str">
        <x:v>No</x:v>
      </x:c>
      <x:c r="E305" s="24" t="str">
        <x:v>No</x:v>
      </x:c>
      <x:c r="F305" s="24" t="str">
        <x:v>No</x:v>
      </x:c>
      <x:c r="G305" s="24" t="str">
        <x:v>Elevates upper lip</x:v>
      </x:c>
      <x:c r="H305" s="24" t="str">
        <x:v>Zygomatic bone lateral malar region</x:v>
      </x:c>
      <x:c r="I305" s="24" t="str">
        <x:v>Upper lip skin/orbicularis oris</x:v>
      </x:c>
      <x:c r="J305" s="24" t="str">
        <x:v>Zygomatic/buccal facial branches</x:v>
      </x:c>
      <x:c r="K305" s="24" t="str">
        <x:v>CN VII; no spinal root</x:v>
      </x:c>
      <x:c r="L305" s="24" t="str">
        <x:v>Dermal musculofascial insertion</x:v>
      </x:c>
      <x:c r="M305" s="24" t="str">
        <x:v>No specific ligament attachment</x:v>
      </x:c>
      <x:c r="N305" s="24" t="str">
        <x:v>Not established</x:v>
      </x:c>
      <x:c r="O305" s="24" t="str">
        <x:v>Not established</x:v>
      </x:c>
      <x:c r="P305" s="24" t="str">
        <x:v>Mixed Type I and Type II; ratio unverified</x:v>
      </x:c>
      <x:c r="Q305" s="24" t="str">
        <x:v>Published biopsies insufficient to state a reliable per-muscle percentage; no inference from function</x:v>
      </x:c>
      <x:c r="R305" s="24" t="str">
        <x:v>https://www.kenhub.com/en/library/anatomy/head-anatomy</x:v>
      </x:c>
      <x:c r="S305" s="24" t="str">
        <x:v>https://pubmed.ncbi.nlm.nih.gov/39359186/</x:v>
      </x:c>
    </x:row>
    <x:row r="306" ht="46" customHeight="1">
      <x:c r="A306" s="24" t="str">
        <x:v>Aryepiglottic muscle</x:v>
      </x:c>
      <x:c r="B306" s="24" t="str">
        <x:v>Intrinsic laryngeal</x:v>
      </x:c>
      <x:c r="C306" s="24" t="str">
        <x:v>Stabilizer</x:v>
      </x:c>
      <x:c r="D306" s="24" t="str">
        <x:v>No</x:v>
      </x:c>
      <x:c r="E306" s="24" t="str">
        <x:v>No</x:v>
      </x:c>
      <x:c r="F306" s="24" t="str">
        <x:v>Yes</x:v>
      </x:c>
      <x:c r="G306" s="24" t="str">
        <x:v>Narrows laryngeal inlet during swallow</x:v>
      </x:c>
      <x:c r="H306" s="24" t="str">
        <x:v>Apex arytenoid via oblique arytenoid continuation</x:v>
      </x:c>
      <x:c r="I306" s="24" t="str">
        <x:v>Lateral edge epiglottis</x:v>
      </x:c>
      <x:c r="J306" s="24" t="str">
        <x:v>Recurrent laryngeal nerve</x:v>
      </x:c>
      <x:c r="K306" s="24" t="str">
        <x:v>CN X; no spinal root</x:v>
      </x:c>
      <x:c r="L306" s="24" t="str">
        <x:v>Aryepiglottic fold fibrous insertion</x:v>
      </x:c>
      <x:c r="M306" s="24" t="str">
        <x:v>Quadrangular membrane under aryepiglottic fold</x:v>
      </x:c>
      <x:c r="N306" s="24" t="str">
        <x:v>Not established for this specific muscle</x:v>
      </x:c>
      <x:c r="O306" s="24" t="str">
        <x:v>Not established for this specific muscle</x:v>
      </x:c>
      <x:c r="P306" s="24" t="str">
        <x:v>Mixed/specialized; not quantified</x:v>
      </x:c>
      <x:c r="Q306" s="24" t="str">
        <x:v>Laryngeal and swallowing muscles vary in specialized fiber isoforms; no defensible per-muscle percentage provided</x:v>
      </x:c>
      <x:c r="R306" s="24" t="str">
        <x:v>https://www.kenhub.com/en/library/anatomy/muscles-and-walls-of-the-pharynx</x:v>
      </x:c>
      <x:c r="S306" s="24" t="str">
        <x:v>https://pmc.ncbi.nlm.nih.gov/articles/PMC11212792/</x:v>
      </x:c>
    </x:row>
    <x:row r="307" ht="46" customHeight="1">
      <x:c r="A307" s="24" t="str">
        <x:v>Cricothyroid oblique part</x:v>
      </x:c>
      <x:c r="B307" s="24" t="str">
        <x:v>Intrinsic laryngeal</x:v>
      </x:c>
      <x:c r="C307" s="24" t="str">
        <x:v>Stabilizer</x:v>
      </x:c>
      <x:c r="D307" s="24" t="str">
        <x:v>No</x:v>
      </x:c>
      <x:c r="E307" s="24" t="str">
        <x:v>No</x:v>
      </x:c>
      <x:c r="F307" s="24" t="str">
        <x:v>Yes</x:v>
      </x:c>
      <x:c r="G307" s="24" t="str">
        <x:v>Lengthens/tenses vocal folds</x:v>
      </x:c>
      <x:c r="H307" s="24" t="str">
        <x:v>Cricoid cartilage lateral arch</x:v>
      </x:c>
      <x:c r="I307" s="24" t="str">
        <x:v>Inferior horn thyroid cartilage</x:v>
      </x:c>
      <x:c r="J307" s="24" t="str">
        <x:v>External branch superior laryngeal nerve</x:v>
      </x:c>
      <x:c r="K307" s="24" t="str">
        <x:v>CN X; no spinal root</x:v>
      </x:c>
      <x:c r="L307" s="24" t="str">
        <x:v>Short oblique tendon</x:v>
      </x:c>
      <x:c r="M307" s="24" t="str">
        <x:v>Cricothyroid joint ligament complex adjacent</x:v>
      </x:c>
      <x:c r="N307" s="24" t="str">
        <x:v>Not established for this specific muscle</x:v>
      </x:c>
      <x:c r="O307" s="24" t="str">
        <x:v>Not established for this specific muscle</x:v>
      </x:c>
      <x:c r="P307" s="24" t="str">
        <x:v>Mixed/specialized; not quantified</x:v>
      </x:c>
      <x:c r="Q307" s="24" t="str">
        <x:v>Laryngeal and swallowing muscles vary in specialized fiber isoforms; no defensible per-muscle percentage provided</x:v>
      </x:c>
      <x:c r="R307" s="24" t="str">
        <x:v>https://www.kenhub.com/en/library/anatomy/muscles-and-walls-of-the-pharynx</x:v>
      </x:c>
      <x:c r="S307" s="24" t="str">
        <x:v>https://pmc.ncbi.nlm.nih.gov/articles/PMC11212792/</x:v>
      </x:c>
    </x:row>
    <x:row r="308" ht="46" customHeight="1">
      <x:c r="A308" s="24" t="str">
        <x:v>Cricothyroid straight part</x:v>
      </x:c>
      <x:c r="B308" s="24" t="str">
        <x:v>Intrinsic laryngeal</x:v>
      </x:c>
      <x:c r="C308" s="24" t="str">
        <x:v>Stabilizer</x:v>
      </x:c>
      <x:c r="D308" s="24" t="str">
        <x:v>No</x:v>
      </x:c>
      <x:c r="E308" s="24" t="str">
        <x:v>No</x:v>
      </x:c>
      <x:c r="F308" s="24" t="str">
        <x:v>Yes</x:v>
      </x:c>
      <x:c r="G308" s="24" t="str">
        <x:v>Tilts thyroid cartilage forward to tense vocal folds</x:v>
      </x:c>
      <x:c r="H308" s="24" t="str">
        <x:v>Anterolateral arch cricoid cartilage</x:v>
      </x:c>
      <x:c r="I308" s="24" t="str">
        <x:v>Inferior border lamina thyroid cartilage</x:v>
      </x:c>
      <x:c r="J308" s="24" t="str">
        <x:v>External branch superior laryngeal nerve</x:v>
      </x:c>
      <x:c r="K308" s="24" t="str">
        <x:v>CN X; no spinal root</x:v>
      </x:c>
      <x:c r="L308" s="24" t="str">
        <x:v>Short cartilage-to-cartilage tendon</x:v>
      </x:c>
      <x:c r="M308" s="24" t="str">
        <x:v>Cricothyroid ligament/membrane adjacent</x:v>
      </x:c>
      <x:c r="N308" s="24" t="str">
        <x:v>Not established for this specific muscle</x:v>
      </x:c>
      <x:c r="O308" s="24" t="str">
        <x:v>Not established for this specific muscle</x:v>
      </x:c>
      <x:c r="P308" s="24" t="str">
        <x:v>Mixed/specialized; not quantified</x:v>
      </x:c>
      <x:c r="Q308" s="24" t="str">
        <x:v>Laryngeal and swallowing muscles vary in specialized fiber isoforms; no defensible per-muscle percentage provided</x:v>
      </x:c>
      <x:c r="R308" s="24" t="str">
        <x:v>https://www.kenhub.com/en/library/anatomy/muscles-and-walls-of-the-pharynx</x:v>
      </x:c>
      <x:c r="S308" s="24" t="str">
        <x:v>https://pmc.ncbi.nlm.nih.gov/articles/PMC11212792/</x:v>
      </x:c>
    </x:row>
    <x:row r="309" ht="46" customHeight="1">
      <x:c r="A309" s="24" t="str">
        <x:v>Lateral cricoarytenoid</x:v>
      </x:c>
      <x:c r="B309" s="24" t="str">
        <x:v>Intrinsic laryngeal</x:v>
      </x:c>
      <x:c r="C309" s="24" t="str">
        <x:v>Stabilizer</x:v>
      </x:c>
      <x:c r="D309" s="24" t="str">
        <x:v>No</x:v>
      </x:c>
      <x:c r="E309" s="24" t="str">
        <x:v>No</x:v>
      </x:c>
      <x:c r="F309" s="24" t="str">
        <x:v>Yes</x:v>
      </x:c>
      <x:c r="G309" s="24" t="str">
        <x:v>Adducts vocal processes; closes glottis</x:v>
      </x:c>
      <x:c r="H309" s="24" t="str">
        <x:v>Superior/lateral arch cricoid cartilage</x:v>
      </x:c>
      <x:c r="I309" s="24" t="str">
        <x:v>Muscular process arytenoid cartilage</x:v>
      </x:c>
      <x:c r="J309" s="24" t="str">
        <x:v>Recurrent laryngeal nerve</x:v>
      </x:c>
      <x:c r="K309" s="24" t="str">
        <x:v>CN X; no spinal root</x:v>
      </x:c>
      <x:c r="L309" s="24" t="str">
        <x:v>Arytenoid muscular process tendon</x:v>
      </x:c>
      <x:c r="M309" s="24" t="str">
        <x:v>Cricoarytenoid capsule nearby</x:v>
      </x:c>
      <x:c r="N309" s="24" t="str">
        <x:v>Not established for this specific muscle</x:v>
      </x:c>
      <x:c r="O309" s="24" t="str">
        <x:v>Not established for this specific muscle</x:v>
      </x:c>
      <x:c r="P309" s="24" t="str">
        <x:v>Mixed/specialized; not quantified</x:v>
      </x:c>
      <x:c r="Q309" s="24" t="str">
        <x:v>Laryngeal and swallowing muscles vary in specialized fiber isoforms; no defensible per-muscle percentage provided</x:v>
      </x:c>
      <x:c r="R309" s="24" t="str">
        <x:v>https://www.kenhub.com/en/library/anatomy/muscles-and-walls-of-the-pharynx</x:v>
      </x:c>
      <x:c r="S309" s="24" t="str">
        <x:v>https://pmc.ncbi.nlm.nih.gov/articles/PMC11212792/</x:v>
      </x:c>
    </x:row>
    <x:row r="310" ht="46" customHeight="1">
      <x:c r="A310" s="24" t="str">
        <x:v>Oblique arytenoid</x:v>
      </x:c>
      <x:c r="B310" s="24" t="str">
        <x:v>Intrinsic laryngeal</x:v>
      </x:c>
      <x:c r="C310" s="24" t="str">
        <x:v>Stabilizer</x:v>
      </x:c>
      <x:c r="D310" s="24" t="str">
        <x:v>No</x:v>
      </x:c>
      <x:c r="E310" s="24" t="str">
        <x:v>No</x:v>
      </x:c>
      <x:c r="F310" s="24" t="str">
        <x:v>Yes</x:v>
      </x:c>
      <x:c r="G310" s="24" t="str">
        <x:v>Closes laryngeal inlet, assists adduction</x:v>
      </x:c>
      <x:c r="H310" s="24" t="str">
        <x:v>Muscular process of one arytenoid</x:v>
      </x:c>
      <x:c r="I310" s="24" t="str">
        <x:v>Apex of opposite arytenoid</x:v>
      </x:c>
      <x:c r="J310" s="24" t="str">
        <x:v>Recurrent laryngeal nerve</x:v>
      </x:c>
      <x:c r="K310" s="24" t="str">
        <x:v>CN X; no spinal root</x:v>
      </x:c>
      <x:c r="L310" s="24" t="str">
        <x:v>Short arytenoid aponeurosis</x:v>
      </x:c>
      <x:c r="M310" s="24" t="str">
        <x:v>Quadrangular membrane continuation near apex</x:v>
      </x:c>
      <x:c r="N310" s="24" t="str">
        <x:v>Not established for this specific muscle</x:v>
      </x:c>
      <x:c r="O310" s="24" t="str">
        <x:v>Not established for this specific muscle</x:v>
      </x:c>
      <x:c r="P310" s="24" t="str">
        <x:v>Mixed/specialized; not quantified</x:v>
      </x:c>
      <x:c r="Q310" s="24" t="str">
        <x:v>Laryngeal and swallowing muscles vary in specialized fiber isoforms; no defensible per-muscle percentage provided</x:v>
      </x:c>
      <x:c r="R310" s="24" t="str">
        <x:v>https://www.kenhub.com/en/library/anatomy/muscles-and-walls-of-the-pharynx</x:v>
      </x:c>
      <x:c r="S310" s="24" t="str">
        <x:v>https://pmc.ncbi.nlm.nih.gov/articles/PMC11212792/</x:v>
      </x:c>
    </x:row>
    <x:row r="311" ht="46" customHeight="1">
      <x:c r="A311" s="24" t="str">
        <x:v>Posterior cricoarytenoid</x:v>
      </x:c>
      <x:c r="B311" s="24" t="str">
        <x:v>Intrinsic laryngeal</x:v>
      </x:c>
      <x:c r="C311" s="24" t="str">
        <x:v>Stabilizer</x:v>
      </x:c>
      <x:c r="D311" s="24" t="str">
        <x:v>No</x:v>
      </x:c>
      <x:c r="E311" s="24" t="str">
        <x:v>No</x:v>
      </x:c>
      <x:c r="F311" s="24" t="str">
        <x:v>Yes</x:v>
      </x:c>
      <x:c r="G311" s="24" t="str">
        <x:v>Abducts vocal folds; opens rima glottidis</x:v>
      </x:c>
      <x:c r="H311" s="24" t="str">
        <x:v>Posterior lamina of cricoid cartilage</x:v>
      </x:c>
      <x:c r="I311" s="24" t="str">
        <x:v>Muscular process arytenoid cartilage</x:v>
      </x:c>
      <x:c r="J311" s="24" t="str">
        <x:v>Recurrent laryngeal nerve</x:v>
      </x:c>
      <x:c r="K311" s="24" t="str">
        <x:v>CN X; no spinal root</x:v>
      </x:c>
      <x:c r="L311" s="24" t="str">
        <x:v>Short arytenoid tendon</x:v>
      </x:c>
      <x:c r="M311" s="24" t="str">
        <x:v>Cricoarytenoid joint capsule/ligaments adjacent</x:v>
      </x:c>
      <x:c r="N311" s="24" t="str">
        <x:v>Not established for this specific muscle</x:v>
      </x:c>
      <x:c r="O311" s="24" t="str">
        <x:v>Not established for this specific muscle</x:v>
      </x:c>
      <x:c r="P311" s="24" t="str">
        <x:v>Mixed/specialized; not quantified</x:v>
      </x:c>
      <x:c r="Q311" s="24" t="str">
        <x:v>Laryngeal and swallowing muscles vary in specialized fiber isoforms; no defensible per-muscle percentage provided</x:v>
      </x:c>
      <x:c r="R311" s="24" t="str">
        <x:v>https://www.kenhub.com/en/library/anatomy/muscles-and-walls-of-the-pharynx</x:v>
      </x:c>
      <x:c r="S311" s="24" t="str">
        <x:v>https://pmc.ncbi.nlm.nih.gov/articles/PMC11212792/</x:v>
      </x:c>
    </x:row>
    <x:row r="312" ht="46" customHeight="1">
      <x:c r="A312" s="24" t="str">
        <x:v>Thyroarytenoid</x:v>
      </x:c>
      <x:c r="B312" s="24" t="str">
        <x:v>Intrinsic laryngeal</x:v>
      </x:c>
      <x:c r="C312" s="24" t="str">
        <x:v>Stabilizer</x:v>
      </x:c>
      <x:c r="D312" s="24" t="str">
        <x:v>No</x:v>
      </x:c>
      <x:c r="E312" s="24" t="str">
        <x:v>No</x:v>
      </x:c>
      <x:c r="F312" s="24" t="str">
        <x:v>Yes</x:v>
      </x:c>
      <x:c r="G312" s="24" t="str">
        <x:v>Shortens/relaxes vocal folds; sphincter action</x:v>
      </x:c>
      <x:c r="H312" s="24" t="str">
        <x:v>Inner thyroid angle anteriorly</x:v>
      </x:c>
      <x:c r="I312" s="24" t="str">
        <x:v>Anterolateral arytenoid cartilage</x:v>
      </x:c>
      <x:c r="J312" s="24" t="str">
        <x:v>Recurrent laryngeal nerve</x:v>
      </x:c>
      <x:c r="K312" s="24" t="str">
        <x:v>CN X; no spinal root</x:v>
      </x:c>
      <x:c r="L312" s="24" t="str">
        <x:v>Vocal ligament-connected muscle fibers</x:v>
      </x:c>
      <x:c r="M312" s="24" t="str">
        <x:v>Vocal ligament lies medial to thyroarytenoid</x:v>
      </x:c>
      <x:c r="N312" s="24" t="str">
        <x:v>Not established for this specific muscle</x:v>
      </x:c>
      <x:c r="O312" s="24" t="str">
        <x:v>Not established for this specific muscle</x:v>
      </x:c>
      <x:c r="P312" s="24" t="str">
        <x:v>Mixed/specialized; not quantified</x:v>
      </x:c>
      <x:c r="Q312" s="24" t="str">
        <x:v>Laryngeal and swallowing muscles vary in specialized fiber isoforms; no defensible per-muscle percentage provided</x:v>
      </x:c>
      <x:c r="R312" s="24" t="str">
        <x:v>https://www.kenhub.com/en/library/anatomy/muscles-and-walls-of-the-pharynx</x:v>
      </x:c>
      <x:c r="S312" s="24" t="str">
        <x:v>https://pmc.ncbi.nlm.nih.gov/articles/PMC11212792/</x:v>
      </x:c>
    </x:row>
    <x:row r="313" ht="46" customHeight="1">
      <x:c r="A313" s="24" t="str">
        <x:v>Thyroepiglottic muscle</x:v>
      </x:c>
      <x:c r="B313" s="24" t="str">
        <x:v>Intrinsic laryngeal</x:v>
      </x:c>
      <x:c r="C313" s="24" t="str">
        <x:v>Other</x:v>
      </x:c>
      <x:c r="D313" s="24" t="str">
        <x:v>No</x:v>
      </x:c>
      <x:c r="E313" s="24" t="str">
        <x:v>No</x:v>
      </x:c>
      <x:c r="F313" s="24" t="str">
        <x:v>No</x:v>
      </x:c>
      <x:c r="G313" s="24" t="str">
        <x:v>Widens laryngeal inlet</x:v>
      </x:c>
      <x:c r="H313" s="24" t="str">
        <x:v>Inner thyroid angle, continuation thyroarytenoid</x:v>
      </x:c>
      <x:c r="I313" s="24" t="str">
        <x:v>Lateral edge epiglottis</x:v>
      </x:c>
      <x:c r="J313" s="24" t="str">
        <x:v>Recurrent laryngeal nerve</x:v>
      </x:c>
      <x:c r="K313" s="24" t="str">
        <x:v>CN X; no spinal root</x:v>
      </x:c>
      <x:c r="L313" s="24" t="str">
        <x:v>Aryepiglottic fold fibers</x:v>
      </x:c>
      <x:c r="M313" s="24" t="str">
        <x:v>Quadrangular membrane adjacent</x:v>
      </x:c>
      <x:c r="N313" s="24" t="str">
        <x:v>Not established for this specific muscle</x:v>
      </x:c>
      <x:c r="O313" s="24" t="str">
        <x:v>Not established for this specific muscle</x:v>
      </x:c>
      <x:c r="P313" s="24" t="str">
        <x:v>Mixed/specialized; not quantified</x:v>
      </x:c>
      <x:c r="Q313" s="24" t="str">
        <x:v>Laryngeal and swallowing muscles vary in specialized fiber isoforms; no defensible per-muscle percentage provided</x:v>
      </x:c>
      <x:c r="R313" s="24" t="str">
        <x:v>https://www.kenhub.com/en/library/anatomy/muscles-and-walls-of-the-pharynx</x:v>
      </x:c>
      <x:c r="S313" s="24" t="str">
        <x:v>https://pmc.ncbi.nlm.nih.gov/articles/PMC11212792/</x:v>
      </x:c>
    </x:row>
    <x:row r="314" ht="46" customHeight="1">
      <x:c r="A314" s="24" t="str">
        <x:v>Transverse arytenoid</x:v>
      </x:c>
      <x:c r="B314" s="24" t="str">
        <x:v>Intrinsic laryngeal</x:v>
      </x:c>
      <x:c r="C314" s="24" t="str">
        <x:v>Stabilizer</x:v>
      </x:c>
      <x:c r="D314" s="24" t="str">
        <x:v>No</x:v>
      </x:c>
      <x:c r="E314" s="24" t="str">
        <x:v>No</x:v>
      </x:c>
      <x:c r="F314" s="24" t="str">
        <x:v>Yes</x:v>
      </x:c>
      <x:c r="G314" s="24" t="str">
        <x:v>Adducts arytenoids; closes posterior glottis</x:v>
      </x:c>
      <x:c r="H314" s="24" t="str">
        <x:v>Posterior surface one arytenoid cartilage</x:v>
      </x:c>
      <x:c r="I314" s="24" t="str">
        <x:v>Posterior surface opposite arytenoid</x:v>
      </x:c>
      <x:c r="J314" s="24" t="str">
        <x:v>Recurrent laryngeal nerve</x:v>
      </x:c>
      <x:c r="K314" s="24" t="str">
        <x:v>CN X; no spinal root</x:v>
      </x:c>
      <x:c r="L314" s="24" t="str">
        <x:v>Transverse interarytenoid fibers</x:v>
      </x:c>
      <x:c r="M314" s="24" t="str">
        <x:v>Cricoarytenoid ligament complex nearby</x:v>
      </x:c>
      <x:c r="N314" s="24" t="str">
        <x:v>Not established for this specific muscle</x:v>
      </x:c>
      <x:c r="O314" s="24" t="str">
        <x:v>Not established for this specific muscle</x:v>
      </x:c>
      <x:c r="P314" s="24" t="str">
        <x:v>Mixed/specialized; not quantified</x:v>
      </x:c>
      <x:c r="Q314" s="24" t="str">
        <x:v>Laryngeal and swallowing muscles vary in specialized fiber isoforms; no defensible per-muscle percentage provided</x:v>
      </x:c>
      <x:c r="R314" s="24" t="str">
        <x:v>https://www.kenhub.com/en/library/anatomy/muscles-and-walls-of-the-pharynx</x:v>
      </x:c>
      <x:c r="S314" s="24" t="str">
        <x:v>https://pmc.ncbi.nlm.nih.gov/articles/PMC11212792/</x:v>
      </x:c>
    </x:row>
    <x:row r="315" ht="46" customHeight="1">
      <x:c r="A315" s="24" t="str">
        <x:v>Vocalis</x:v>
      </x:c>
      <x:c r="B315" s="24" t="str">
        <x:v>Intrinsic laryngeal</x:v>
      </x:c>
      <x:c r="C315" s="24" t="str">
        <x:v>Stabilizer</x:v>
      </x:c>
      <x:c r="D315" s="24" t="str">
        <x:v>No</x:v>
      </x:c>
      <x:c r="E315" s="24" t="str">
        <x:v>No</x:v>
      </x:c>
      <x:c r="F315" s="24" t="str">
        <x:v>Yes</x:v>
      </x:c>
      <x:c r="G315" s="24" t="str">
        <x:v>Fine-tunes vocal fold tension</x:v>
      </x:c>
      <x:c r="H315" s="24" t="str">
        <x:v>Anterior thyroid cartilage and vocal ligament</x:v>
      </x:c>
      <x:c r="I315" s="24" t="str">
        <x:v>Vocal process arytenoid and vocal ligament</x:v>
      </x:c>
      <x:c r="J315" s="24" t="str">
        <x:v>Recurrent laryngeal nerve</x:v>
      </x:c>
      <x:c r="K315" s="24" t="str">
        <x:v>CN X; no spinal root</x:v>
      </x:c>
      <x:c r="L315" s="24" t="str">
        <x:v>Fibers directly adjacent/attach vocal ligament</x:v>
      </x:c>
      <x:c r="M315" s="24" t="str">
        <x:v>Vocal ligament direct intimate muscular relationship</x:v>
      </x:c>
      <x:c r="N315" s="24" t="str">
        <x:v>Not established for this specific muscle</x:v>
      </x:c>
      <x:c r="O315" s="24" t="str">
        <x:v>Not established for this specific muscle</x:v>
      </x:c>
      <x:c r="P315" s="24" t="str">
        <x:v>Mixed/specialized; not quantified</x:v>
      </x:c>
      <x:c r="Q315" s="24" t="str">
        <x:v>Laryngeal and swallowing muscles vary in specialized fiber isoforms; no defensible per-muscle percentage provided</x:v>
      </x:c>
      <x:c r="R315" s="24" t="str">
        <x:v>https://www.kenhub.com/en/library/anatomy/muscles-and-walls-of-the-pharynx</x:v>
      </x:c>
      <x:c r="S315" s="24" t="str">
        <x:v>https://pmc.ncbi.nlm.nih.gov/articles/PMC11212792/</x:v>
      </x:c>
    </x:row>
    <x:row r="316" ht="46" customHeight="1">
      <x:c r="A316" s="24" t="str">
        <x:v>Inferior pharyngeal constrictor thyropharyngeus</x:v>
      </x:c>
      <x:c r="B316" s="24" t="str">
        <x:v>Pharyngeal circular</x:v>
      </x:c>
      <x:c r="C316" s="24" t="str">
        <x:v>Stabilizer</x:v>
      </x:c>
      <x:c r="D316" s="24" t="str">
        <x:v>No</x:v>
      </x:c>
      <x:c r="E316" s="24" t="str">
        <x:v>No</x:v>
      </x:c>
      <x:c r="F316" s="24" t="str">
        <x:v>Yes</x:v>
      </x:c>
      <x:c r="G316" s="24" t="str">
        <x:v>Pharyngeal constriction during swallow</x:v>
      </x:c>
      <x:c r="H316" s="24" t="str">
        <x:v>Oblique line thyroid cartilage</x:v>
      </x:c>
      <x:c r="I316" s="24" t="str">
        <x:v>Median pharyngeal raphe</x:v>
      </x:c>
      <x:c r="J316" s="24" t="str">
        <x:v>Pharyngeal plexus via vagus nerve</x:v>
      </x:c>
      <x:c r="K316" s="24" t="str">
        <x:v>CN X; no spinal root</x:v>
      </x:c>
      <x:c r="L316" s="24" t="str">
        <x:v>Pharyngeal raphe</x:v>
      </x:c>
      <x:c r="M316" s="24" t="str">
        <x:v>Thyrohyoid membrane adjacent</x:v>
      </x:c>
      <x:c r="N316" s="24" t="str">
        <x:v>Not established for this specific muscle</x:v>
      </x:c>
      <x:c r="O316" s="24" t="str">
        <x:v>Not established for this specific muscle</x:v>
      </x:c>
      <x:c r="P316" s="24" t="str">
        <x:v>Mixed/specialized; not quantified</x:v>
      </x:c>
      <x:c r="Q316" s="24" t="str">
        <x:v>Laryngeal and swallowing muscles vary in specialized fiber isoforms; no defensible per-muscle percentage provided</x:v>
      </x:c>
      <x:c r="R316" s="24" t="str">
        <x:v>https://www.kenhub.com/en/library/anatomy/muscles-and-walls-of-the-pharynx</x:v>
      </x:c>
      <x:c r="S316" s="24" t="str">
        <x:v>https://pmc.ncbi.nlm.nih.gov/articles/PMC11212792/</x:v>
      </x:c>
    </x:row>
    <x:row r="317" ht="46" customHeight="1">
      <x:c r="A317" s="24" t="str">
        <x:v>Middle pharyngeal constrictor</x:v>
      </x:c>
      <x:c r="B317" s="24" t="str">
        <x:v>Pharyngeal circular</x:v>
      </x:c>
      <x:c r="C317" s="24" t="str">
        <x:v>Stabilizer</x:v>
      </x:c>
      <x:c r="D317" s="24" t="str">
        <x:v>No</x:v>
      </x:c>
      <x:c r="E317" s="24" t="str">
        <x:v>No</x:v>
      </x:c>
      <x:c r="F317" s="24" t="str">
        <x:v>Yes</x:v>
      </x:c>
      <x:c r="G317" s="24" t="str">
        <x:v>Constricts mid pharynx in swallow</x:v>
      </x:c>
      <x:c r="H317" s="24" t="str">
        <x:v>Greater and lesser hyoid horns; stylohyoid ligament</x:v>
      </x:c>
      <x:c r="I317" s="24" t="str">
        <x:v>Median pharyngeal raphe</x:v>
      </x:c>
      <x:c r="J317" s="24" t="str">
        <x:v>Pharyngeal plexus via vagus nerve</x:v>
      </x:c>
      <x:c r="K317" s="24" t="str">
        <x:v>CN X; no spinal root</x:v>
      </x:c>
      <x:c r="L317" s="24" t="str">
        <x:v>Pharyngeal raphe</x:v>
      </x:c>
      <x:c r="M317" s="24" t="str">
        <x:v>Stylohyoid ligament direct origin</x:v>
      </x:c>
      <x:c r="N317" s="24" t="str">
        <x:v>Not established for this specific muscle</x:v>
      </x:c>
      <x:c r="O317" s="24" t="str">
        <x:v>Not established for this specific muscle</x:v>
      </x:c>
      <x:c r="P317" s="24" t="str">
        <x:v>Mixed/specialized; not quantified</x:v>
      </x:c>
      <x:c r="Q317" s="24" t="str">
        <x:v>Laryngeal and swallowing muscles vary in specialized fiber isoforms; no defensible per-muscle percentage provided</x:v>
      </x:c>
      <x:c r="R317" s="24" t="str">
        <x:v>https://www.kenhub.com/en/library/anatomy/muscles-and-walls-of-the-pharynx</x:v>
      </x:c>
      <x:c r="S317" s="24" t="str">
        <x:v>https://pmc.ncbi.nlm.nih.gov/articles/PMC11212792/</x:v>
      </x:c>
    </x:row>
    <x:row r="318" ht="46" customHeight="1">
      <x:c r="A318" s="24" t="str">
        <x:v>Superior pharyngeal constrictor</x:v>
      </x:c>
      <x:c r="B318" s="24" t="str">
        <x:v>Pharyngeal circular</x:v>
      </x:c>
      <x:c r="C318" s="24" t="str">
        <x:v>Stabilizer</x:v>
      </x:c>
      <x:c r="D318" s="24" t="str">
        <x:v>No</x:v>
      </x:c>
      <x:c r="E318" s="24" t="str">
        <x:v>No</x:v>
      </x:c>
      <x:c r="F318" s="24" t="str">
        <x:v>Yes</x:v>
      </x:c>
      <x:c r="G318" s="24" t="str">
        <x:v>Constricts superior pharynx during swallow</x:v>
      </x:c>
      <x:c r="H318" s="24" t="str">
        <x:v>Pterygoid hamulus; pterygomandibular raphe; mylohyoid line; tongue</x:v>
      </x:c>
      <x:c r="I318" s="24" t="str">
        <x:v>Median pharyngeal raphe and pharyngeal tubercle</x:v>
      </x:c>
      <x:c r="J318" s="24" t="str">
        <x:v>Pharyngeal plexus via vagus nerve</x:v>
      </x:c>
      <x:c r="K318" s="24" t="str">
        <x:v>CN X; no spinal root</x:v>
      </x:c>
      <x:c r="L318" s="24" t="str">
        <x:v>Pharyngeal raphe fibrous insertion</x:v>
      </x:c>
      <x:c r="M318" s="24" t="str">
        <x:v>Pterygomandibular raphe direct origin</x:v>
      </x:c>
      <x:c r="N318" s="24" t="str">
        <x:v>Not established for this specific muscle</x:v>
      </x:c>
      <x:c r="O318" s="24" t="str">
        <x:v>Not established for this specific muscle</x:v>
      </x:c>
      <x:c r="P318" s="24" t="str">
        <x:v>Mixed/specialized; not quantified</x:v>
      </x:c>
      <x:c r="Q318" s="24" t="str">
        <x:v>Laryngeal and swallowing muscles vary in specialized fiber isoforms; no defensible per-muscle percentage provided</x:v>
      </x:c>
      <x:c r="R318" s="24" t="str">
        <x:v>https://www.kenhub.com/en/library/anatomy/muscles-and-walls-of-the-pharynx</x:v>
      </x:c>
      <x:c r="S318" s="24" t="str">
        <x:v>https://pmc.ncbi.nlm.nih.gov/articles/PMC11212792/</x:v>
      </x:c>
    </x:row>
    <x:row r="319" ht="46" customHeight="1">
      <x:c r="A319" s="24" t="str">
        <x:v>Salpingopharyngeus</x:v>
      </x:c>
      <x:c r="B319" s="24" t="str">
        <x:v>Pharyngeal longitudinal</x:v>
      </x:c>
      <x:c r="C319" s="24" t="str">
        <x:v>Stabilizer</x:v>
      </x:c>
      <x:c r="D319" s="24" t="str">
        <x:v>No</x:v>
      </x:c>
      <x:c r="E319" s="24" t="str">
        <x:v>No</x:v>
      </x:c>
      <x:c r="F319" s="24" t="str">
        <x:v>Yes</x:v>
      </x:c>
      <x:c r="G319" s="24" t="str">
        <x:v>Elevates pharynx; assists opening auditory tube</x:v>
      </x:c>
      <x:c r="H319" s="24" t="str">
        <x:v>Cartilage auditory tube</x:v>
      </x:c>
      <x:c r="I319" s="24" t="str">
        <x:v>Blends into palatopharyngeus and pharyngeal wall</x:v>
      </x:c>
      <x:c r="J319" s="24" t="str">
        <x:v>Pharyngeal plexus via vagus nerve</x:v>
      </x:c>
      <x:c r="K319" s="24" t="str">
        <x:v>CN X; no spinal root</x:v>
      </x:c>
      <x:c r="L319" s="24" t="str">
        <x:v>Pharyngeal fascial insertion</x:v>
      </x:c>
      <x:c r="M319" s="24" t="str">
        <x:v>Pharyngobasilar fascia adjacent</x:v>
      </x:c>
      <x:c r="N319" s="24" t="str">
        <x:v>Not established for this specific muscle</x:v>
      </x:c>
      <x:c r="O319" s="24" t="str">
        <x:v>Not established for this specific muscle</x:v>
      </x:c>
      <x:c r="P319" s="24" t="str">
        <x:v>Mixed/specialized; not quantified</x:v>
      </x:c>
      <x:c r="Q319" s="24" t="str">
        <x:v>Laryngeal and swallowing muscles vary in specialized fiber isoforms; no defensible per-muscle percentage provided</x:v>
      </x:c>
      <x:c r="R319" s="24" t="str">
        <x:v>https://www.kenhub.com/en/library/anatomy/muscles-and-walls-of-the-pharynx</x:v>
      </x:c>
      <x:c r="S319" s="24" t="str">
        <x:v>https://pmc.ncbi.nlm.nih.gov/articles/PMC11212792/</x:v>
      </x:c>
    </x:row>
    <x:row r="320" ht="46" customHeight="1">
      <x:c r="A320" s="24" t="str">
        <x:v>Stylopharyngeus</x:v>
      </x:c>
      <x:c r="B320" s="24" t="str">
        <x:v>Pharyngeal longitudinal</x:v>
      </x:c>
      <x:c r="C320" s="24" t="str">
        <x:v>Stabilizer</x:v>
      </x:c>
      <x:c r="D320" s="24" t="str">
        <x:v>No</x:v>
      </x:c>
      <x:c r="E320" s="24" t="str">
        <x:v>No</x:v>
      </x:c>
      <x:c r="F320" s="24" t="str">
        <x:v>Yes</x:v>
      </x:c>
      <x:c r="G320" s="24" t="str">
        <x:v>Elevates pharynx/larynx during swallowing</x:v>
      </x:c>
      <x:c r="H320" s="24" t="str">
        <x:v>Medial side of styloid process</x:v>
      </x:c>
      <x:c r="I320" s="24" t="str">
        <x:v>Pharyngeal wall and superior thyroid cartilage</x:v>
      </x:c>
      <x:c r="J320" s="24" t="str">
        <x:v>Glossopharyngeal nerve</x:v>
      </x:c>
      <x:c r="K320" s="24" t="str">
        <x:v>CN IX; no spinal root</x:v>
      </x:c>
      <x:c r="L320" s="24" t="str">
        <x:v>Fibers into pharyngeal wall</x:v>
      </x:c>
      <x:c r="M320" s="24" t="str">
        <x:v>Stylohyoid ligament nearby</x:v>
      </x:c>
      <x:c r="N320" s="24" t="str">
        <x:v>Not established for this specific muscle</x:v>
      </x:c>
      <x:c r="O320" s="24" t="str">
        <x:v>Not established for this specific muscle</x:v>
      </x:c>
      <x:c r="P320" s="24" t="str">
        <x:v>Mixed/specialized; not quantified</x:v>
      </x:c>
      <x:c r="Q320" s="24" t="str">
        <x:v>Laryngeal and swallowing muscles vary in specialized fiber isoforms; no defensible per-muscle percentage provided</x:v>
      </x:c>
      <x:c r="R320" s="24" t="str">
        <x:v>https://www.kenhub.com/en/library/anatomy/muscles-and-walls-of-the-pharynx</x:v>
      </x:c>
      <x:c r="S320" s="24" t="str">
        <x:v>https://pmc.ncbi.nlm.nih.gov/articles/PMC11212792/</x:v>
      </x:c>
    </x:row>
    <x:row r="321" ht="46" customHeight="1">
      <x:c r="A321" s="24" t="str">
        <x:v>Levator veli palatini</x:v>
      </x:c>
      <x:c r="B321" s="24" t="str">
        <x:v>Soft palate</x:v>
      </x:c>
      <x:c r="C321" s="24" t="str">
        <x:v>Stabilizer</x:v>
      </x:c>
      <x:c r="D321" s="24" t="str">
        <x:v>No</x:v>
      </x:c>
      <x:c r="E321" s="24" t="str">
        <x:v>No</x:v>
      </x:c>
      <x:c r="F321" s="24" t="str">
        <x:v>Yes</x:v>
      </x:c>
      <x:c r="G321" s="24" t="str">
        <x:v>Elevates palate during swallowing; seals nasopharynx</x:v>
      </x:c>
      <x:c r="H321" s="24" t="str">
        <x:v>Petrous temporal bone; cartilaginous auditory tube</x:v>
      </x:c>
      <x:c r="I321" s="24" t="str">
        <x:v>Palatine aponeurosis</x:v>
      </x:c>
      <x:c r="J321" s="24" t="str">
        <x:v>Pharyngeal plexus via vagus nerve</x:v>
      </x:c>
      <x:c r="K321" s="24" t="str">
        <x:v>CN X; no spinal root</x:v>
      </x:c>
      <x:c r="L321" s="24" t="str">
        <x:v>Fibrous palatal insertion</x:v>
      </x:c>
      <x:c r="M321" s="24" t="str">
        <x:v>Palatine aponeurosis</x:v>
      </x:c>
      <x:c r="N321" s="24" t="str">
        <x:v>Not established for this specific muscle</x:v>
      </x:c>
      <x:c r="O321" s="24" t="str">
        <x:v>Not established for this specific muscle</x:v>
      </x:c>
      <x:c r="P321" s="24" t="str">
        <x:v>Mixed/specialized; not quantified</x:v>
      </x:c>
      <x:c r="Q321" s="24" t="str">
        <x:v>Laryngeal and swallowing muscles vary in specialized fiber isoforms; no defensible per-muscle percentage provided</x:v>
      </x:c>
      <x:c r="R321" s="24" t="str">
        <x:v>https://www.kenhub.com/en/library/anatomy/muscles-and-walls-of-the-pharynx</x:v>
      </x:c>
      <x:c r="S321" s="24" t="str">
        <x:v>https://pmc.ncbi.nlm.nih.gov/articles/PMC11212792/</x:v>
      </x:c>
    </x:row>
    <x:row r="322" ht="46" customHeight="1">
      <x:c r="A322" s="24" t="str">
        <x:v>Musculus uvulae</x:v>
      </x:c>
      <x:c r="B322" s="24" t="str">
        <x:v>Soft palate</x:v>
      </x:c>
      <x:c r="C322" s="24" t="str">
        <x:v>Stabilizer</x:v>
      </x:c>
      <x:c r="D322" s="24" t="str">
        <x:v>No</x:v>
      </x:c>
      <x:c r="E322" s="24" t="str">
        <x:v>No</x:v>
      </x:c>
      <x:c r="F322" s="24" t="str">
        <x:v>Yes</x:v>
      </x:c>
      <x:c r="G322" s="24" t="str">
        <x:v>Shortens/raises uvula; seals nasopharynx</x:v>
      </x:c>
      <x:c r="H322" s="24" t="str">
        <x:v>Posterior nasal spine; palatine aponeurosis</x:v>
      </x:c>
      <x:c r="I322" s="24" t="str">
        <x:v>Mucosa of uvula</x:v>
      </x:c>
      <x:c r="J322" s="24" t="str">
        <x:v>Pharyngeal plexus via vagus nerve</x:v>
      </x:c>
      <x:c r="K322" s="24" t="str">
        <x:v>CN X; no spinal root</x:v>
      </x:c>
      <x:c r="L322" s="24" t="str">
        <x:v>Palatine aponeurotic origin</x:v>
      </x:c>
      <x:c r="M322" s="24" t="str">
        <x:v>Palatine aponeurosis direct origin</x:v>
      </x:c>
      <x:c r="N322" s="24" t="str">
        <x:v>Not established for this specific muscle</x:v>
      </x:c>
      <x:c r="O322" s="24" t="str">
        <x:v>Not established for this specific muscle</x:v>
      </x:c>
      <x:c r="P322" s="24" t="str">
        <x:v>Mixed/specialized; not quantified</x:v>
      </x:c>
      <x:c r="Q322" s="24" t="str">
        <x:v>Laryngeal and swallowing muscles vary in specialized fiber isoforms; no defensible per-muscle percentage provided</x:v>
      </x:c>
      <x:c r="R322" s="24" t="str">
        <x:v>https://www.kenhub.com/en/library/anatomy/muscles-and-walls-of-the-pharynx</x:v>
      </x:c>
      <x:c r="S322" s="24" t="str">
        <x:v>https://pmc.ncbi.nlm.nih.gov/articles/PMC11212792/</x:v>
      </x:c>
    </x:row>
    <x:row r="323" ht="46" customHeight="1">
      <x:c r="A323" s="24" t="str">
        <x:v>Tensor veli palatini</x:v>
      </x:c>
      <x:c r="B323" s="24" t="str">
        <x:v>Soft palate</x:v>
      </x:c>
      <x:c r="C323" s="24" t="str">
        <x:v>Stabilizer</x:v>
      </x:c>
      <x:c r="D323" s="24" t="str">
        <x:v>No</x:v>
      </x:c>
      <x:c r="E323" s="24" t="str">
        <x:v>No</x:v>
      </x:c>
      <x:c r="F323" s="24" t="str">
        <x:v>Yes</x:v>
      </x:c>
      <x:c r="G323" s="24" t="str">
        <x:v>Tenses palate; opens auditory tube</x:v>
      </x:c>
      <x:c r="H323" s="24" t="str">
        <x:v>Scaphoid fossa sphenoid; spine sphenoid; cartilaginous auditory tube</x:v>
      </x:c>
      <x:c r="I323" s="24" t="str">
        <x:v>Palatine aponeurosis after tendon around hamulus</x:v>
      </x:c>
      <x:c r="J323" s="24" t="str">
        <x:v>Nerve to medial pterygoid (V3)</x:v>
      </x:c>
      <x:c r="K323" s="24" t="str">
        <x:v>CN V3; no spinal root</x:v>
      </x:c>
      <x:c r="L323" s="24" t="str">
        <x:v>Tendon loops around pterygoid hamulus</x:v>
      </x:c>
      <x:c r="M323" s="24" t="str">
        <x:v>Palatine aponeurosis insertion</x:v>
      </x:c>
      <x:c r="N323" s="24" t="str">
        <x:v>Not established for this specific muscle</x:v>
      </x:c>
      <x:c r="O323" s="24" t="str">
        <x:v>Not established for this specific muscle</x:v>
      </x:c>
      <x:c r="P323" s="24" t="str">
        <x:v>Mixed/specialized; not quantified</x:v>
      </x:c>
      <x:c r="Q323" s="24" t="str">
        <x:v>Laryngeal and swallowing muscles vary in specialized fiber isoforms; no defensible per-muscle percentage provided</x:v>
      </x:c>
      <x:c r="R323" s="24" t="str">
        <x:v>https://www.kenhub.com/en/library/anatomy/muscles-and-walls-of-the-pharynx</x:v>
      </x:c>
      <x:c r="S323" s="24" t="str">
        <x:v>https://pmc.ncbi.nlm.nih.gov/articles/PMC11212792/</x:v>
      </x:c>
    </x:row>
    <x:row r="324" ht="46" customHeight="1">
      <x:c r="A324" s="24" t="str">
        <x:v>Palatopharyngeus</x:v>
      </x:c>
      <x:c r="B324" s="24" t="str">
        <x:v>Soft palate / pharyngeal longitudinal</x:v>
      </x:c>
      <x:c r="C324" s="24" t="str">
        <x:v>Stabilizer</x:v>
      </x:c>
      <x:c r="D324" s="24" t="str">
        <x:v>No</x:v>
      </x:c>
      <x:c r="E324" s="24" t="str">
        <x:v>No</x:v>
      </x:c>
      <x:c r="F324" s="24" t="str">
        <x:v>Yes</x:v>
      </x:c>
      <x:c r="G324" s="24" t="str">
        <x:v>Elevates pharynx; depresses palate; swallowing</x:v>
      </x:c>
      <x:c r="H324" s="24" t="str">
        <x:v>Hard palate and palatine aponeurosis</x:v>
      </x:c>
      <x:c r="I324" s="24" t="str">
        <x:v>Pharyngeal wall and posterior thyroid cartilage</x:v>
      </x:c>
      <x:c r="J324" s="24" t="str">
        <x:v>Pharyngeal plexus via vagus nerve</x:v>
      </x:c>
      <x:c r="K324" s="24" t="str">
        <x:v>CN X; no spinal root</x:v>
      </x:c>
      <x:c r="L324" s="24" t="str">
        <x:v>Palatine aponeurosis origin</x:v>
      </x:c>
      <x:c r="M324" s="24" t="str">
        <x:v>Palatine aponeurosis direct origin</x:v>
      </x:c>
      <x:c r="N324" s="24" t="str">
        <x:v>Not established for this specific muscle</x:v>
      </x:c>
      <x:c r="O324" s="24" t="str">
        <x:v>Not established for this specific muscle</x:v>
      </x:c>
      <x:c r="P324" s="24" t="str">
        <x:v>Mixed/specialized; not quantified</x:v>
      </x:c>
      <x:c r="Q324" s="24" t="str">
        <x:v>Laryngeal and swallowing muscles vary in specialized fiber isoforms; no defensible per-muscle percentage provided</x:v>
      </x:c>
      <x:c r="R324" s="24" t="str">
        <x:v>https://www.kenhub.com/en/library/anatomy/muscles-and-walls-of-the-pharynx</x:v>
      </x:c>
      <x:c r="S324" s="24" t="str">
        <x:v>https://pmc.ncbi.nlm.nih.gov/articles/PMC11212792/</x:v>
      </x:c>
    </x:row>
    <x:row r="325" ht="46" customHeight="1">
      <x:c r="A325" s="24" t="str">
        <x:v>Inferior pharyngeal constrictor cricopharyngeus</x:v>
      </x:c>
      <x:c r="B325" s="24" t="str">
        <x:v>Upper esophageal sphincter</x:v>
      </x:c>
      <x:c r="C325" s="24" t="str">
        <x:v>Stabilizer</x:v>
      </x:c>
      <x:c r="D325" s="24" t="str">
        <x:v>No</x:v>
      </x:c>
      <x:c r="E325" s="24" t="str">
        <x:v>No</x:v>
      </x:c>
      <x:c r="F325" s="24" t="str">
        <x:v>Yes</x:v>
      </x:c>
      <x:c r="G325" s="24" t="str">
        <x:v>Upper esophageal sphincter closure/relaxation on swallowing</x:v>
      </x:c>
      <x:c r="H325" s="24" t="str">
        <x:v>Lateral cricoid cartilage</x:v>
      </x:c>
      <x:c r="I325" s="24" t="str">
        <x:v>Circumferential sphincter around pharyngoesophageal junction</x:v>
      </x:c>
      <x:c r="J325" s="24" t="str">
        <x:v>Vagus via pharyngeal plexus/recurrent laryngeal contributions</x:v>
      </x:c>
      <x:c r="K325" s="24" t="str">
        <x:v>CN X; no spinal root</x:v>
      </x:c>
      <x:c r="L325" s="24" t="str">
        <x:v>Circular fibromuscular attachment</x:v>
      </x:c>
      <x:c r="M325" s="24" t="str">
        <x:v>Cricopharyngeal region contiguous with pharyngeal fascia</x:v>
      </x:c>
      <x:c r="N325" s="24" t="str">
        <x:v>Not established for this specific muscle</x:v>
      </x:c>
      <x:c r="O325" s="24" t="str">
        <x:v>Not established for this specific muscle</x:v>
      </x:c>
      <x:c r="P325" s="24" t="str">
        <x:v>Mixed/specialized; not quantified</x:v>
      </x:c>
      <x:c r="Q325" s="24" t="str">
        <x:v>Laryngeal and swallowing muscles vary in specialized fiber isoforms; no defensible per-muscle percentage provided</x:v>
      </x:c>
      <x:c r="R325" s="24" t="str">
        <x:v>https://www.kenhub.com/en/library/anatomy/muscles-and-walls-of-the-pharynx</x:v>
      </x:c>
      <x:c r="S325" s="24" t="str">
        <x:v>https://pmc.ncbi.nlm.nih.gov/articles/PMC11212792/</x:v>
      </x:c>
    </x:row>
    <x:row r="326" ht="46" customHeight="1">
      <x:c r="A326" s="24" t="str">
        <x:v>Inferior oblique (eye)</x:v>
      </x:c>
      <x:c r="B326" s="24" t="str">
        <x:v>Extraocular</x:v>
      </x:c>
      <x:c r="C326" s="24" t="str">
        <x:v>Other</x:v>
      </x:c>
      <x:c r="D326" s="24" t="str">
        <x:v>No</x:v>
      </x:c>
      <x:c r="E326" s="24" t="str">
        <x:v>No</x:v>
      </x:c>
      <x:c r="F326" s="24" t="str">
        <x:v>No</x:v>
      </x:c>
      <x:c r="G326" s="24" t="str">
        <x:v>Extorts/elevates adducted eye</x:v>
      </x:c>
      <x:c r="H326" s="24" t="str">
        <x:v>Anteromedial orbital floor maxilla</x:v>
      </x:c>
      <x:c r="I326" s="24" t="str">
        <x:v>Posterolateral inferior sclera</x:v>
      </x:c>
      <x:c r="J326" s="24" t="str">
        <x:v>Oculomotor nerve inferior division</x:v>
      </x:c>
      <x:c r="K326" s="24" t="str">
        <x:v>CN III; no spinal root</x:v>
      </x:c>
      <x:c r="L326" s="24" t="str">
        <x:v>Inferior oblique distal tendon</x:v>
      </x:c>
      <x:c r="M326" s="24" t="str">
        <x:v>Lockwood suspensory fascial complex adjacent</x:v>
      </x:c>
      <x:c r="N326" s="24" t="str">
        <x:v>Specialized eye fibers; % not comparable</x:v>
      </x:c>
      <x:c r="O326" s="24" t="str">
        <x:v>Extraocular-specific myosin isoforms</x:v>
      </x:c>
      <x:c r="P326" s="24" t="str">
        <x:v>Highly specialized fast + tonic fiber populations</x:v>
      </x:c>
      <x:c r="Q326" s="24" t="str">
        <x:v>Conventional two-bin skeletal Type I/II schemes do not capture all extraocular types</x:v>
      </x:c>
      <x:c r="R326" s="24" t="str">
        <x:v>https://www.kenhub.com/en/library/anatomy/extraocular-muscles</x:v>
      </x:c>
      <x:c r="S326" s="24" t="str">
        <x:v>https://pmc.ncbi.nlm.nih.gov/articles/PMC3779741/</x:v>
      </x:c>
    </x:row>
    <x:row r="327" ht="46" customHeight="1">
      <x:c r="A327" s="24" t="str">
        <x:v>Inferior rectus (eye)</x:v>
      </x:c>
      <x:c r="B327" s="24" t="str">
        <x:v>Extraocular</x:v>
      </x:c>
      <x:c r="C327" s="24" t="str">
        <x:v>Other</x:v>
      </x:c>
      <x:c r="D327" s="24" t="str">
        <x:v>No</x:v>
      </x:c>
      <x:c r="E327" s="24" t="str">
        <x:v>No</x:v>
      </x:c>
      <x:c r="F327" s="24" t="str">
        <x:v>No</x:v>
      </x:c>
      <x:c r="G327" s="24" t="str">
        <x:v>Depresses/adducts/extorts globe</x:v>
      </x:c>
      <x:c r="H327" s="24" t="str">
        <x:v>Common tendinous ring at orbital apex</x:v>
      </x:c>
      <x:c r="I327" s="24" t="str">
        <x:v>Inferior anterior sclera</x:v>
      </x:c>
      <x:c r="J327" s="24" t="str">
        <x:v>Oculomotor nerve inferior division</x:v>
      </x:c>
      <x:c r="K327" s="24" t="str">
        <x:v>CN III; no spinal root</x:v>
      </x:c>
      <x:c r="L327" s="24" t="str">
        <x:v>Inferior rectus insertion tendon</x:v>
      </x:c>
      <x:c r="M327" s="24" t="str">
        <x:v>Inferior suspensory ligament of eyeball (Lockwood) fascial relation</x:v>
      </x:c>
      <x:c r="N327" s="24" t="str">
        <x:v>Specialized eye fibers; % not comparable</x:v>
      </x:c>
      <x:c r="O327" s="24" t="str">
        <x:v>Extraocular-specific myosin isoforms</x:v>
      </x:c>
      <x:c r="P327" s="24" t="str">
        <x:v>Highly specialized fast + tonic fiber populations</x:v>
      </x:c>
      <x:c r="Q327" s="24" t="str">
        <x:v>Conventional two-bin skeletal Type I/II schemes do not capture all extraocular types</x:v>
      </x:c>
      <x:c r="R327" s="24" t="str">
        <x:v>https://www.kenhub.com/en/library/anatomy/extraocular-muscles</x:v>
      </x:c>
      <x:c r="S327" s="24" t="str">
        <x:v>https://pmc.ncbi.nlm.nih.gov/articles/PMC3779741/</x:v>
      </x:c>
    </x:row>
    <x:row r="328" ht="46" customHeight="1">
      <x:c r="A328" s="24" t="str">
        <x:v>Lateral rectus (eye)</x:v>
      </x:c>
      <x:c r="B328" s="24" t="str">
        <x:v>Extraocular</x:v>
      </x:c>
      <x:c r="C328" s="24" t="str">
        <x:v>Other</x:v>
      </x:c>
      <x:c r="D328" s="24" t="str">
        <x:v>No</x:v>
      </x:c>
      <x:c r="E328" s="24" t="str">
        <x:v>No</x:v>
      </x:c>
      <x:c r="F328" s="24" t="str">
        <x:v>No</x:v>
      </x:c>
      <x:c r="G328" s="24" t="str">
        <x:v>Abducts globe</x:v>
      </x:c>
      <x:c r="H328" s="24" t="str">
        <x:v>Common tendinous ring at orbital apex</x:v>
      </x:c>
      <x:c r="I328" s="24" t="str">
        <x:v>Lateral anterior sclera</x:v>
      </x:c>
      <x:c r="J328" s="24" t="str">
        <x:v>Abducens nerve</x:v>
      </x:c>
      <x:c r="K328" s="24" t="str">
        <x:v>CN VI; no spinal root</x:v>
      </x:c>
      <x:c r="L328" s="24" t="str">
        <x:v>Lateral rectus insertion tendon</x:v>
      </x:c>
      <x:c r="M328" s="24" t="str">
        <x:v>Lateral check ligament fascial relationship</x:v>
      </x:c>
      <x:c r="N328" s="24" t="str">
        <x:v>Specialized eye fibers; % not comparable</x:v>
      </x:c>
      <x:c r="O328" s="24" t="str">
        <x:v>Extraocular-specific myosin isoforms</x:v>
      </x:c>
      <x:c r="P328" s="24" t="str">
        <x:v>Highly specialized fast + tonic fiber populations</x:v>
      </x:c>
      <x:c r="Q328" s="24" t="str">
        <x:v>Conventional two-bin skeletal Type I/II schemes do not capture all extraocular types</x:v>
      </x:c>
      <x:c r="R328" s="24" t="str">
        <x:v>https://www.kenhub.com/en/library/anatomy/extraocular-muscles</x:v>
      </x:c>
      <x:c r="S328" s="24" t="str">
        <x:v>https://pmc.ncbi.nlm.nih.gov/articles/PMC3779741/</x:v>
      </x:c>
    </x:row>
    <x:row r="329" ht="46" customHeight="1">
      <x:c r="A329" s="24" t="str">
        <x:v>Medial rectus (eye)</x:v>
      </x:c>
      <x:c r="B329" s="24" t="str">
        <x:v>Extraocular</x:v>
      </x:c>
      <x:c r="C329" s="24" t="str">
        <x:v>Other</x:v>
      </x:c>
      <x:c r="D329" s="24" t="str">
        <x:v>No</x:v>
      </x:c>
      <x:c r="E329" s="24" t="str">
        <x:v>No</x:v>
      </x:c>
      <x:c r="F329" s="24" t="str">
        <x:v>No</x:v>
      </x:c>
      <x:c r="G329" s="24" t="str">
        <x:v>Adducts globe</x:v>
      </x:c>
      <x:c r="H329" s="24" t="str">
        <x:v>Common tendinous ring at orbital apex</x:v>
      </x:c>
      <x:c r="I329" s="24" t="str">
        <x:v>Medial anterior sclera</x:v>
      </x:c>
      <x:c r="J329" s="24" t="str">
        <x:v>Oculomotor nerve inferior division</x:v>
      </x:c>
      <x:c r="K329" s="24" t="str">
        <x:v>CN III; no spinal root</x:v>
      </x:c>
      <x:c r="L329" s="24" t="str">
        <x:v>Medial rectus insertion tendon</x:v>
      </x:c>
      <x:c r="M329" s="24" t="str">
        <x:v>Medial check ligament fascial relationship</x:v>
      </x:c>
      <x:c r="N329" s="24" t="str">
        <x:v>Specialized eye fibers; % not comparable</x:v>
      </x:c>
      <x:c r="O329" s="24" t="str">
        <x:v>Extraocular-specific myosin isoforms</x:v>
      </x:c>
      <x:c r="P329" s="24" t="str">
        <x:v>Highly specialized fast + tonic fiber populations</x:v>
      </x:c>
      <x:c r="Q329" s="24" t="str">
        <x:v>Conventional two-bin skeletal Type I/II schemes do not capture all extraocular types</x:v>
      </x:c>
      <x:c r="R329" s="24" t="str">
        <x:v>https://www.kenhub.com/en/library/anatomy/extraocular-muscles</x:v>
      </x:c>
      <x:c r="S329" s="24" t="str">
        <x:v>https://pmc.ncbi.nlm.nih.gov/articles/PMC3779741/</x:v>
      </x:c>
    </x:row>
    <x:row r="330" ht="46" customHeight="1">
      <x:c r="A330" s="24" t="str">
        <x:v>Superior oblique (eye)</x:v>
      </x:c>
      <x:c r="B330" s="24" t="str">
        <x:v>Extraocular</x:v>
      </x:c>
      <x:c r="C330" s="24" t="str">
        <x:v>Other</x:v>
      </x:c>
      <x:c r="D330" s="24" t="str">
        <x:v>No</x:v>
      </x:c>
      <x:c r="E330" s="24" t="str">
        <x:v>No</x:v>
      </x:c>
      <x:c r="F330" s="24" t="str">
        <x:v>No</x:v>
      </x:c>
      <x:c r="G330" s="24" t="str">
        <x:v>Intorts/depresses abducts (depending gaze); depresses adducted eye</x:v>
      </x:c>
      <x:c r="H330" s="24" t="str">
        <x:v>Body sphenoid superomedial to optic canal</x:v>
      </x:c>
      <x:c r="I330" s="24" t="str">
        <x:v>Posterolateral superior sclera after trochlea</x:v>
      </x:c>
      <x:c r="J330" s="24" t="str">
        <x:v>Trochlear nerve</x:v>
      </x:c>
      <x:c r="K330" s="24" t="str">
        <x:v>CN IV; no spinal root</x:v>
      </x:c>
      <x:c r="L330" s="24" t="str">
        <x:v>Superior oblique tendon through trochlea</x:v>
      </x:c>
      <x:c r="M330" s="24" t="str">
        <x:v>Trochlear pulley is fibrocartilaginous ring attached to frontal bone</x:v>
      </x:c>
      <x:c r="N330" s="24" t="str">
        <x:v>Specialized eye fibers; % not comparable</x:v>
      </x:c>
      <x:c r="O330" s="24" t="str">
        <x:v>Extraocular-specific myosin isoforms</x:v>
      </x:c>
      <x:c r="P330" s="24" t="str">
        <x:v>Highly specialized fast + tonic fiber populations</x:v>
      </x:c>
      <x:c r="Q330" s="24" t="str">
        <x:v>Conventional two-bin skeletal Type I/II schemes do not capture all extraocular types</x:v>
      </x:c>
      <x:c r="R330" s="24" t="str">
        <x:v>https://www.kenhub.com/en/library/anatomy/extraocular-muscles</x:v>
      </x:c>
      <x:c r="S330" s="24" t="str">
        <x:v>https://pmc.ncbi.nlm.nih.gov/articles/PMC3779741/</x:v>
      </x:c>
    </x:row>
    <x:row r="331" ht="46" customHeight="1">
      <x:c r="A331" s="24" t="str">
        <x:v>Superior rectus (eye)</x:v>
      </x:c>
      <x:c r="B331" s="24" t="str">
        <x:v>Extraocular</x:v>
      </x:c>
      <x:c r="C331" s="24" t="str">
        <x:v>Other</x:v>
      </x:c>
      <x:c r="D331" s="24" t="str">
        <x:v>No</x:v>
      </x:c>
      <x:c r="E331" s="24" t="str">
        <x:v>No</x:v>
      </x:c>
      <x:c r="F331" s="24" t="str">
        <x:v>No</x:v>
      </x:c>
      <x:c r="G331" s="24" t="str">
        <x:v>Elevates/adducts/intorts globe</x:v>
      </x:c>
      <x:c r="H331" s="24" t="str">
        <x:v>Common tendinous ring at orbital apex</x:v>
      </x:c>
      <x:c r="I331" s="24" t="str">
        <x:v>Superior anterior sclera</x:v>
      </x:c>
      <x:c r="J331" s="24" t="str">
        <x:v>Oculomotor nerve superior division</x:v>
      </x:c>
      <x:c r="K331" s="24" t="str">
        <x:v>CN III; no spinal root</x:v>
      </x:c>
      <x:c r="L331" s="24" t="str">
        <x:v>Superior rectus insertion tendon</x:v>
      </x:c>
      <x:c r="M331" s="24" t="str">
        <x:v>Check ligaments/fascial sheath near globe</x:v>
      </x:c>
      <x:c r="N331" s="24" t="str">
        <x:v>Specialized eye fibers; % not comparable</x:v>
      </x:c>
      <x:c r="O331" s="24" t="str">
        <x:v>Extraocular-specific myosin isoforms</x:v>
      </x:c>
      <x:c r="P331" s="24" t="str">
        <x:v>Highly specialized fast + tonic fiber populations</x:v>
      </x:c>
      <x:c r="Q331" s="24" t="str">
        <x:v>Conventional two-bin skeletal Type I/II schemes do not capture all extraocular types</x:v>
      </x:c>
      <x:c r="R331" s="24" t="str">
        <x:v>https://www.kenhub.com/en/library/anatomy/extraocular-muscles</x:v>
      </x:c>
      <x:c r="S331" s="24" t="str">
        <x:v>https://pmc.ncbi.nlm.nih.gov/articles/PMC3779741/</x:v>
      </x:c>
    </x:row>
    <x:row r="332" ht="46" customHeight="1">
      <x:c r="A332" s="24" t="str">
        <x:v>Levator palpebrae superioris</x:v>
      </x:c>
      <x:c r="B332" s="24" t="str">
        <x:v>Extraocular / upper lid</x:v>
      </x:c>
      <x:c r="C332" s="24" t="str">
        <x:v>Other</x:v>
      </x:c>
      <x:c r="D332" s="24" t="str">
        <x:v>No</x:v>
      </x:c>
      <x:c r="E332" s="24" t="str">
        <x:v>No</x:v>
      </x:c>
      <x:c r="F332" s="24" t="str">
        <x:v>No</x:v>
      </x:c>
      <x:c r="G332" s="24" t="str">
        <x:v>Elevates upper eyelid</x:v>
      </x:c>
      <x:c r="H332" s="24" t="str">
        <x:v>Lesser wing sphenoid above optic canal</x:v>
      </x:c>
      <x:c r="I332" s="24" t="str">
        <x:v>Superior tarsal plate and upper lid skin via aponeurosis</x:v>
      </x:c>
      <x:c r="J332" s="24" t="str">
        <x:v>Oculomotor nerve superior division</x:v>
      </x:c>
      <x:c r="K332" s="24" t="str">
        <x:v>CN III; no spinal root</x:v>
      </x:c>
      <x:c r="L332" s="24" t="str">
        <x:v>Levator palpebrae aponeurosis</x:v>
      </x:c>
      <x:c r="M332" s="24" t="str">
        <x:v>Whitnall superior transverse ligament supports levator tendon</x:v>
      </x:c>
      <x:c r="N332" s="24" t="str">
        <x:v>Specialized eye fibers; % not comparable</x:v>
      </x:c>
      <x:c r="O332" s="24" t="str">
        <x:v>Extraocular-specific myosin isoforms</x:v>
      </x:c>
      <x:c r="P332" s="24" t="str">
        <x:v>Highly specialized fast + tonic fiber populations</x:v>
      </x:c>
      <x:c r="Q332" s="24" t="str">
        <x:v>Conventional two-bin skeletal Type I/II schemes do not capture all extraocular types</x:v>
      </x:c>
      <x:c r="R332" s="24" t="str">
        <x:v>https://www.kenhub.com/en/library/anatomy/extraocular-muscles</x:v>
      </x:c>
      <x:c r="S332" s="24" t="str">
        <x:v>https://pmc.ncbi.nlm.nih.gov/articles/PMC3779741/</x:v>
      </x:c>
    </x:row>
    <x:row r="333" ht="46" customHeight="1">
      <x:c r="A333" s="24" t="str">
        <x:v>Stapedius</x:v>
      </x:c>
      <x:c r="B333" s="24" t="str">
        <x:v>Middle ear</x:v>
      </x:c>
      <x:c r="C333" s="24" t="str">
        <x:v>Stabilizer</x:v>
      </x:c>
      <x:c r="D333" s="24" t="str">
        <x:v>No</x:v>
      </x:c>
      <x:c r="E333" s="24" t="str">
        <x:v>No</x:v>
      </x:c>
      <x:c r="F333" s="24" t="str">
        <x:v>Yes</x:v>
      </x:c>
      <x:c r="G333" s="24" t="str">
        <x:v>Dampens stapes movement/acoustic reflex</x:v>
      </x:c>
      <x:c r="H333" s="24" t="str">
        <x:v>Pyramidal eminence of posterior tympanic cavity</x:v>
      </x:c>
      <x:c r="I333" s="24" t="str">
        <x:v>Neck of stapes</x:v>
      </x:c>
      <x:c r="J333" s="24" t="str">
        <x:v>Nerve to stapedius from facial nerve</x:v>
      </x:c>
      <x:c r="K333" s="24" t="str">
        <x:v>CN VII; no spinal root</x:v>
      </x:c>
      <x:c r="L333" s="24" t="str">
        <x:v>Stapedius tiny tendon</x:v>
      </x:c>
      <x:c r="M333" s="24" t="str">
        <x:v>Annular ligament of stapes adjacent but not attachment</x:v>
      </x:c>
      <x:c r="N333" s="24" t="str">
        <x:v>Not established</x:v>
      </x:c>
      <x:c r="O333" s="24" t="str">
        <x:v>Not established</x:v>
      </x:c>
      <x:c r="P333" s="24" t="str">
        <x:v>Mixed Type I and Type II; ratio unverified</x:v>
      </x:c>
      <x:c r="Q333" s="24" t="str">
        <x:v>Published biopsies insufficient to state a reliable per-muscle percentage; no inference from function</x:v>
      </x:c>
      <x:c r="R333" s="24" t="str">
        <x:v>https://www.kenhub.com/en/library/anatomy/extraocular-muscles</x:v>
      </x:c>
      <x:c r="S333" s="24" t="str">
        <x:v>https://pubmed.ncbi.nlm.nih.gov/39359186/</x:v>
      </x:c>
    </x:row>
    <x:row r="334" ht="46" customHeight="1">
      <x:c r="A334" s="24" t="str">
        <x:v>Tensor tympani</x:v>
      </x:c>
      <x:c r="B334" s="24" t="str">
        <x:v>Middle ear</x:v>
      </x:c>
      <x:c r="C334" s="24" t="str">
        <x:v>Stabilizer</x:v>
      </x:c>
      <x:c r="D334" s="24" t="str">
        <x:v>No</x:v>
      </x:c>
      <x:c r="E334" s="24" t="str">
        <x:v>No</x:v>
      </x:c>
      <x:c r="F334" s="24" t="str">
        <x:v>Yes</x:v>
      </x:c>
      <x:c r="G334" s="24" t="str">
        <x:v>Dampens tympanic membrane vibrations</x:v>
      </x:c>
      <x:c r="H334" s="24" t="str">
        <x:v>Cartilaginous auditory tube and adjacent sphenoid canal</x:v>
      </x:c>
      <x:c r="I334" s="24" t="str">
        <x:v>Manubrium of malleus</x:v>
      </x:c>
      <x:c r="J334" s="24" t="str">
        <x:v>Mandibular division trigeminal nerve (nerve to medial pterygoid)</x:v>
      </x:c>
      <x:c r="K334" s="24" t="str">
        <x:v>CN V3; no spinal root</x:v>
      </x:c>
      <x:c r="L334" s="24" t="str">
        <x:v>Tensor tympani tendon bends around processus cochleariformis</x:v>
      </x:c>
      <x:c r="M334" s="24" t="str">
        <x:v>Ossicular suspensory ligaments nearby, not direct tendon attachment</x:v>
      </x:c>
      <x:c r="N334" s="24" t="str">
        <x:v>Not established</x:v>
      </x:c>
      <x:c r="O334" s="24" t="str">
        <x:v>Not established</x:v>
      </x:c>
      <x:c r="P334" s="24" t="str">
        <x:v>Mixed Type I and Type II; ratio unverified</x:v>
      </x:c>
      <x:c r="Q334" s="24" t="str">
        <x:v>Published biopsies insufficient to state a reliable per-muscle percentage; no inference from function</x:v>
      </x:c>
      <x:c r="R334" s="24" t="str">
        <x:v>https://www.kenhub.com/en/library/anatomy/extraocular-muscles</x:v>
      </x:c>
      <x:c r="S334" s="24" t="str">
        <x:v>https://pubmed.ncbi.nlm.nih.gov/39359186/</x:v>
      </x:c>
    </x:row>
    <x:row r="335" ht="46" customHeight="1">
      <x:c r="A335" s="24" t="str">
        <x:v>Compressor urethrae (female)</x:v>
      </x:c>
      <x:c r="B335" s="24" t="str">
        <x:v>Deep perineal pouch female</x:v>
      </x:c>
      <x:c r="C335" s="24" t="str">
        <x:v>Stabilizer</x:v>
      </x:c>
      <x:c r="D335" s="24" t="str">
        <x:v>No</x:v>
      </x:c>
      <x:c r="E335" s="24" t="str">
        <x:v>No</x:v>
      </x:c>
      <x:c r="F335" s="24" t="str">
        <x:v>Yes</x:v>
      </x:c>
      <x:c r="G335" s="24" t="str">
        <x:v>Compresses urethra</x:v>
      </x:c>
      <x:c r="H335" s="24" t="str">
        <x:v>Ischiopubic rami</x:v>
      </x:c>
      <x:c r="I335" s="24" t="str">
        <x:v>Crosses anterior urethra to opposite side</x:v>
      </x:c>
      <x:c r="J335" s="24" t="str">
        <x:v>Deep perineal branch pudendal nerve</x:v>
      </x:c>
      <x:c r="K335" s="24" t="str">
        <x:v>S2-S4</x:v>
      </x:c>
      <x:c r="L335" s="24" t="str">
        <x:v>Transverse muscular/fascial attachment</x:v>
      </x:c>
      <x:c r="M335" s="24" t="str">
        <x:v>Perineal membrane adjacent</x:v>
      </x:c>
      <x:c r="N335" s="24" t="str">
        <x:v>Not established</x:v>
      </x:c>
      <x:c r="O335" s="24" t="str">
        <x:v>Not established</x:v>
      </x:c>
      <x:c r="P335" s="24" t="str">
        <x:v>Mixed Type I and Type II; ratio unverified</x:v>
      </x:c>
      <x:c r="Q335" s="24" t="str">
        <x:v>Published biopsies insufficient to state a reliable per-muscle percentage; no inference from function</x:v>
      </x:c>
      <x:c r="R335" s="24" t="str">
        <x:v>https://www.kenhub.com/en/library/anatomy/muscles-of-the-pelvic-floor</x:v>
      </x:c>
      <x:c r="S335" s="24" t="str">
        <x:v>https://pubmed.ncbi.nlm.nih.gov/39359186/</x:v>
      </x:c>
    </x:row>
    <x:row r="336" ht="46" customHeight="1">
      <x:c r="A336" s="24" t="str">
        <x:v>Urethrovaginal sphincter (female)</x:v>
      </x:c>
      <x:c r="B336" s="24" t="str">
        <x:v>Deep perineal pouch female</x:v>
      </x:c>
      <x:c r="C336" s="24" t="str">
        <x:v>Stabilizer</x:v>
      </x:c>
      <x:c r="D336" s="24" t="str">
        <x:v>No</x:v>
      </x:c>
      <x:c r="E336" s="24" t="str">
        <x:v>No</x:v>
      </x:c>
      <x:c r="F336" s="24" t="str">
        <x:v>Yes</x:v>
      </x:c>
      <x:c r="G336" s="24" t="str">
        <x:v>Compresses urethra/vagina</x:v>
      </x:c>
      <x:c r="H336" s="24" t="str">
        <x:v>Fibers around urethra/vaginal wall</x:v>
      </x:c>
      <x:c r="I336" s="24" t="str">
        <x:v>Loop encircling urethra/vagina</x:v>
      </x:c>
      <x:c r="J336" s="24" t="str">
        <x:v>Deep perineal branch pudendal nerve</x:v>
      </x:c>
      <x:c r="K336" s="24" t="str">
        <x:v>S2-S4</x:v>
      </x:c>
      <x:c r="L336" s="24" t="str">
        <x:v>Fibromuscular vaginal insertions</x:v>
      </x:c>
      <x:c r="M336" s="24" t="str">
        <x:v>Perineal membrane nearby</x:v>
      </x:c>
      <x:c r="N336" s="24" t="str">
        <x:v>Not established</x:v>
      </x:c>
      <x:c r="O336" s="24" t="str">
        <x:v>Not established</x:v>
      </x:c>
      <x:c r="P336" s="24" t="str">
        <x:v>Mixed Type I and Type II; ratio unverified</x:v>
      </x:c>
      <x:c r="Q336" s="24" t="str">
        <x:v>Published biopsies insufficient to state a reliable per-muscle percentage; no inference from function</x:v>
      </x:c>
      <x:c r="R336" s="24" t="str">
        <x:v>https://www.kenhub.com/en/library/anatomy/muscles-of-the-pelvic-floor</x:v>
      </x:c>
      <x:c r="S336" s="24" t="str">
        <x:v>https://pubmed.ncbi.nlm.nih.gov/39359186/</x:v>
      </x:c>
    </x:row>
    <x:row r="337" ht="46" customHeight="1">
      <x:c r="A337" s="24" t="str">
        <x:v>Deep transverse perineal muscle</x:v>
      </x:c>
      <x:c r="B337" s="24" t="str">
        <x:v>Deep perineal pouch variable</x:v>
      </x:c>
      <x:c r="C337" s="24" t="str">
        <x:v>Stabilizer</x:v>
      </x:c>
      <x:c r="D337" s="24" t="str">
        <x:v>No</x:v>
      </x:c>
      <x:c r="E337" s="24" t="str">
        <x:v>No</x:v>
      </x:c>
      <x:c r="F337" s="24" t="str">
        <x:v>Yes</x:v>
      </x:c>
      <x:c r="G337" s="24" t="str">
        <x:v>Supports perineal body and urogenital floor</x:v>
      </x:c>
      <x:c r="H337" s="24" t="str">
        <x:v>Ischiopubic ramus and perineal membrane</x:v>
      </x:c>
      <x:c r="I337" s="24" t="str">
        <x:v>Perineal body / midline</x:v>
      </x:c>
      <x:c r="J337" s="24" t="str">
        <x:v>Deep perineal branch pudendal nerve</x:v>
      </x:c>
      <x:c r="K337" s="24" t="str">
        <x:v>S2-S4</x:v>
      </x:c>
      <x:c r="L337" s="24" t="str">
        <x:v>Perineal body fibrous insertion</x:v>
      </x:c>
      <x:c r="M337" s="24" t="str">
        <x:v>Perineal membrane and transverse perineal ligament complex nearby</x:v>
      </x:c>
      <x:c r="N337" s="24" t="str">
        <x:v>Not established</x:v>
      </x:c>
      <x:c r="O337" s="24" t="str">
        <x:v>Not established</x:v>
      </x:c>
      <x:c r="P337" s="24" t="str">
        <x:v>Mixed Type I and Type II; ratio unverified</x:v>
      </x:c>
      <x:c r="Q337" s="24" t="str">
        <x:v>Published biopsies insufficient to state a reliable per-muscle percentage; no inference from function</x:v>
      </x:c>
      <x:c r="R337" s="24" t="str">
        <x:v>https://www.kenhub.com/en/library/anatomy/muscles-of-the-pelvic-floor</x:v>
      </x:c>
      <x:c r="S337" s="24" t="str">
        <x:v>https://pubmed.ncbi.nlm.nih.gov/39359186/</x:v>
      </x:c>
    </x:row>
    <x:row r="338" ht="46" customHeight="1">
      <x:c r="A338" s="24" t="str">
        <x:v>Puboprostaticus (male-specific subdivision)</x:v>
      </x:c>
      <x:c r="B338" s="24" t="str">
        <x:v>Levator ani sex-specific</x:v>
      </x:c>
      <x:c r="C338" s="24" t="str">
        <x:v>Stabilizer</x:v>
      </x:c>
      <x:c r="D338" s="24" t="str">
        <x:v>No</x:v>
      </x:c>
      <x:c r="E338" s="24" t="str">
        <x:v>No</x:v>
      </x:c>
      <x:c r="F338" s="24" t="str">
        <x:v>Yes</x:v>
      </x:c>
      <x:c r="G338" s="24" t="str">
        <x:v>Supports prostate and pelvic floor</x:v>
      </x:c>
      <x:c r="H338" s="24" t="str">
        <x:v>Posterior pubic body</x:v>
      </x:c>
      <x:c r="I338" s="24" t="str">
        <x:v>Prostatic capsule and perineal body</x:v>
      </x:c>
      <x:c r="J338" s="24" t="str">
        <x:v>Nerve to levator ani; pudendal variable</x:v>
      </x:c>
      <x:c r="K338" s="24" t="str">
        <x:v>S3-S4</x:v>
      </x:c>
      <x:c r="L338" s="24" t="str">
        <x:v>Prostatic fascial attachments</x:v>
      </x:c>
      <x:c r="M338" s="24" t="str">
        <x:v>Puboprostatic fascial complex (not a single tendon)</x:v>
      </x:c>
      <x:c r="N338" s="24" t="str">
        <x:v>Majority Type I (qualitative)</x:v>
      </x:c>
      <x:c r="O338" s="24" t="str">
        <x:v>Also contains Type II; % unestablished</x:v>
      </x:c>
      <x:c r="P338" s="24" t="str">
        <x:v>Type I-rich / tonic pelvic support</x:v>
      </x:c>
      <x:c r="Q338" s="24" t="str">
        <x:v>Pelvic floor overview reports type I predominance; does not validate a per-muscle percentage</x:v>
      </x:c>
      <x:c r="R338" s="24" t="str">
        <x:v>https://www.kenhub.com/en/library/anatomy/muscles-of-the-pelvic-floor</x:v>
      </x:c>
      <x:c r="S338" s="24" t="str">
        <x:v>https://www.kenhub.com/en/library/anatomy/muscles-of-the-pelvic-floor</x:v>
      </x:c>
    </x:row>
    <x:row r="339" ht="46" customHeight="1">
      <x:c r="A339" s="24" t="str">
        <x:v>Pubovaginalis (female-specific subdivision)</x:v>
      </x:c>
      <x:c r="B339" s="24" t="str">
        <x:v>Levator ani sex-specific</x:v>
      </x:c>
      <x:c r="C339" s="24" t="str">
        <x:v>Stabilizer</x:v>
      </x:c>
      <x:c r="D339" s="24" t="str">
        <x:v>No</x:v>
      </x:c>
      <x:c r="E339" s="24" t="str">
        <x:v>No</x:v>
      </x:c>
      <x:c r="F339" s="24" t="str">
        <x:v>Yes</x:v>
      </x:c>
      <x:c r="G339" s="24" t="str">
        <x:v>Supports vagina and pelvic floor</x:v>
      </x:c>
      <x:c r="H339" s="24" t="str">
        <x:v>Posterior pubic body</x:v>
      </x:c>
      <x:c r="I339" s="24" t="str">
        <x:v>Vaginal wall and perineal body</x:v>
      </x:c>
      <x:c r="J339" s="24" t="str">
        <x:v>Nerve to levator ani; pudendal variable</x:v>
      </x:c>
      <x:c r="K339" s="24" t="str">
        <x:v>S3-S4</x:v>
      </x:c>
      <x:c r="L339" s="24" t="str">
        <x:v>Pelvic fascial slips</x:v>
      </x:c>
      <x:c r="M339" s="24" t="str">
        <x:v>Perineal body connective complex</x:v>
      </x:c>
      <x:c r="N339" s="24" t="str">
        <x:v>Majority Type I (qualitative)</x:v>
      </x:c>
      <x:c r="O339" s="24" t="str">
        <x:v>Also contains Type II; % unestablished</x:v>
      </x:c>
      <x:c r="P339" s="24" t="str">
        <x:v>Type I-rich / tonic pelvic support</x:v>
      </x:c>
      <x:c r="Q339" s="24" t="str">
        <x:v>Pelvic floor overview reports type I predominance; does not validate a per-muscle percentage</x:v>
      </x:c>
      <x:c r="R339" s="24" t="str">
        <x:v>https://www.kenhub.com/en/library/anatomy/muscles-of-the-pelvic-floor</x:v>
      </x:c>
      <x:c r="S339" s="24" t="str">
        <x:v>https://www.kenhub.com/en/library/anatomy/muscles-of-the-pelvic-floor</x:v>
      </x:c>
    </x:row>
    <x:row r="340" ht="46" customHeight="1">
      <x:c r="A340" s="24" t="str">
        <x:v>Iliococcygeus</x:v>
      </x:c>
      <x:c r="B340" s="24" t="str">
        <x:v>Pelvic diaphragm levator ani</x:v>
      </x:c>
      <x:c r="C340" s="24" t="str">
        <x:v>Stabilizer</x:v>
      </x:c>
      <x:c r="D340" s="24" t="str">
        <x:v>No</x:v>
      </x:c>
      <x:c r="E340" s="24" t="str">
        <x:v>No</x:v>
      </x:c>
      <x:c r="F340" s="24" t="str">
        <x:v>Yes</x:v>
      </x:c>
      <x:c r="G340" s="24" t="str">
        <x:v>Supports pelvic organs; elevates pelvic floor</x:v>
      </x:c>
      <x:c r="H340" s="24" t="str">
        <x:v>Ischial spine and tendinous arch of levator ani</x:v>
      </x:c>
      <x:c r="I340" s="24" t="str">
        <x:v>Anococcygeal body and coccyx</x:v>
      </x:c>
      <x:c r="J340" s="24" t="str">
        <x:v>Nerve to levator ani</x:v>
      </x:c>
      <x:c r="K340" s="24" t="str">
        <x:v>S3-S4</x:v>
      </x:c>
      <x:c r="L340" s="24" t="str">
        <x:v>Fibrous sheet into anococcygeal raphe</x:v>
      </x:c>
      <x:c r="M340" s="24" t="str">
        <x:v>Tendinous arch levator ani direct origin</x:v>
      </x:c>
      <x:c r="N340" s="24" t="str">
        <x:v>Majority Type I (qualitative)</x:v>
      </x:c>
      <x:c r="O340" s="24" t="str">
        <x:v>Also contains Type II; % unestablished</x:v>
      </x:c>
      <x:c r="P340" s="24" t="str">
        <x:v>Type I-rich / tonic pelvic support</x:v>
      </x:c>
      <x:c r="Q340" s="24" t="str">
        <x:v>Pelvic floor overview reports type I predominance; does not validate a per-muscle percentage</x:v>
      </x:c>
      <x:c r="R340" s="24" t="str">
        <x:v>https://www.kenhub.com/en/library/anatomy/muscles-of-the-pelvic-floor</x:v>
      </x:c>
      <x:c r="S340" s="24" t="str">
        <x:v>https://www.kenhub.com/en/library/anatomy/muscles-of-the-pelvic-floor</x:v>
      </x:c>
    </x:row>
    <x:row r="341" ht="46" customHeight="1">
      <x:c r="A341" s="24" t="str">
        <x:v>Pubococcygeus</x:v>
      </x:c>
      <x:c r="B341" s="24" t="str">
        <x:v>Pelvic diaphragm levator ani</x:v>
      </x:c>
      <x:c r="C341" s="24" t="str">
        <x:v>Stabilizer</x:v>
      </x:c>
      <x:c r="D341" s="24" t="str">
        <x:v>No</x:v>
      </x:c>
      <x:c r="E341" s="24" t="str">
        <x:v>No</x:v>
      </x:c>
      <x:c r="F341" s="24" t="str">
        <x:v>Yes</x:v>
      </x:c>
      <x:c r="G341" s="24" t="str">
        <x:v>Supports pelvic viscera; maintains continence</x:v>
      </x:c>
      <x:c r="H341" s="24" t="str">
        <x:v>Posterior pubis and tendinous arch levator ani</x:v>
      </x:c>
      <x:c r="I341" s="24" t="str">
        <x:v>Anococcygeal body; coccyx; perineal body</x:v>
      </x:c>
      <x:c r="J341" s="24" t="str">
        <x:v>Nerve to levator ani; pudendal variable</x:v>
      </x:c>
      <x:c r="K341" s="24" t="str">
        <x:v>S3-S4 (sometimes S2)</x:v>
      </x:c>
      <x:c r="L341" s="24" t="str">
        <x:v>Fibrous insertions to anococcygeal body</x:v>
      </x:c>
      <x:c r="M341" s="24" t="str">
        <x:v>Tendinous arch of levator ani direct origin (fascial condensation)</x:v>
      </x:c>
      <x:c r="N341" s="24" t="str">
        <x:v>Majority Type I (qualitative)</x:v>
      </x:c>
      <x:c r="O341" s="24" t="str">
        <x:v>Also contains Type II; % unestablished</x:v>
      </x:c>
      <x:c r="P341" s="24" t="str">
        <x:v>Type I-rich / tonic pelvic support</x:v>
      </x:c>
      <x:c r="Q341" s="24" t="str">
        <x:v>Pelvic floor overview reports type I predominance; does not validate a per-muscle percentage</x:v>
      </x:c>
      <x:c r="R341" s="24" t="str">
        <x:v>https://www.kenhub.com/en/library/anatomy/muscles-of-the-pelvic-floor</x:v>
      </x:c>
      <x:c r="S341" s="24" t="str">
        <x:v>https://www.kenhub.com/en/library/anatomy/muscles-of-the-pelvic-floor</x:v>
      </x:c>
    </x:row>
    <x:row r="342" ht="46" customHeight="1">
      <x:c r="A342" s="24" t="str">
        <x:v>Puborectalis</x:v>
      </x:c>
      <x:c r="B342" s="24" t="str">
        <x:v>Pelvic diaphragm levator ani</x:v>
      </x:c>
      <x:c r="C342" s="24" t="str">
        <x:v>Stabilizer</x:v>
      </x:c>
      <x:c r="D342" s="24" t="str">
        <x:v>No</x:v>
      </x:c>
      <x:c r="E342" s="24" t="str">
        <x:v>No</x:v>
      </x:c>
      <x:c r="F342" s="24" t="str">
        <x:v>Yes</x:v>
      </x:c>
      <x:c r="G342" s="24" t="str">
        <x:v>Maintains anorectal angle; fecal continence</x:v>
      </x:c>
      <x:c r="H342" s="24" t="str">
        <x:v>Posterior body pubis bilaterally</x:v>
      </x:c>
      <x:c r="I342" s="24" t="str">
        <x:v>Muscle sling around anorectal junction</x:v>
      </x:c>
      <x:c r="J342" s="24" t="str">
        <x:v>Nerve to levator ani; pudendal contributions variable</x:v>
      </x:c>
      <x:c r="K342" s="24" t="str">
        <x:v>S3-S4 (often S2-S4)</x:v>
      </x:c>
      <x:c r="L342" s="24" t="str">
        <x:v>Muscular sling no separate tendon</x:v>
      </x:c>
      <x:c r="M342" s="24" t="str">
        <x:v>Perineal body/fascial support near pubic region</x:v>
      </x:c>
      <x:c r="N342" s="24" t="str">
        <x:v>Majority Type I (qualitative)</x:v>
      </x:c>
      <x:c r="O342" s="24" t="str">
        <x:v>Also contains Type II; % unestablished</x:v>
      </x:c>
      <x:c r="P342" s="24" t="str">
        <x:v>Type I-rich / tonic pelvic support</x:v>
      </x:c>
      <x:c r="Q342" s="24" t="str">
        <x:v>Pelvic floor overview reports type I predominance; does not validate a per-muscle percentage</x:v>
      </x:c>
      <x:c r="R342" s="24" t="str">
        <x:v>https://www.kenhub.com/en/library/anatomy/muscles-of-the-pelvic-floor</x:v>
      </x:c>
      <x:c r="S342" s="24" t="str">
        <x:v>https://www.kenhub.com/en/library/anatomy/muscles-of-the-pelvic-floor</x:v>
      </x:c>
    </x:row>
    <x:row r="343" ht="46" customHeight="1">
      <x:c r="A343" s="24" t="str">
        <x:v>Coccygeus (ischiococcygeus)</x:v>
      </x:c>
      <x:c r="B343" s="24" t="str">
        <x:v>Pelvic diaphragm posterior</x:v>
      </x:c>
      <x:c r="C343" s="24" t="str">
        <x:v>Stabilizer</x:v>
      </x:c>
      <x:c r="D343" s="24" t="str">
        <x:v>No</x:v>
      </x:c>
      <x:c r="E343" s="24" t="str">
        <x:v>No</x:v>
      </x:c>
      <x:c r="F343" s="24" t="str">
        <x:v>Yes</x:v>
      </x:c>
      <x:c r="G343" s="24" t="str">
        <x:v>Supports pelvic floor; flexes coccyx</x:v>
      </x:c>
      <x:c r="H343" s="24" t="str">
        <x:v>Ischial spine</x:v>
      </x:c>
      <x:c r="I343" s="24" t="str">
        <x:v>Lateral lower sacrum and coccyx</x:v>
      </x:c>
      <x:c r="J343" s="24" t="str">
        <x:v>Anterior rami sacral nerves</x:v>
      </x:c>
      <x:c r="K343" s="24" t="str">
        <x:v>S4-S5</x:v>
      </x:c>
      <x:c r="L343" s="24" t="str">
        <x:v>Broad sacrococcygeal fibrous attachment</x:v>
      </x:c>
      <x:c r="M343" s="24" t="str">
        <x:v>Sacrospinous ligament directly blends with muscle</x:v>
      </x:c>
      <x:c r="N343" s="24" t="str">
        <x:v>Majority Type I (qualitative)</x:v>
      </x:c>
      <x:c r="O343" s="24" t="str">
        <x:v>Also contains Type II; % unestablished</x:v>
      </x:c>
      <x:c r="P343" s="24" t="str">
        <x:v>Type I-rich / tonic pelvic support</x:v>
      </x:c>
      <x:c r="Q343" s="24" t="str">
        <x:v>Pelvic floor overview reports type I predominance; does not validate a per-muscle percentage</x:v>
      </x:c>
      <x:c r="R343" s="24" t="str">
        <x:v>https://www.kenhub.com/en/library/anatomy/muscles-of-the-pelvic-floor</x:v>
      </x:c>
      <x:c r="S343" s="24" t="str">
        <x:v>https://www.kenhub.com/en/library/anatomy/muscles-of-the-pelvic-floor</x:v>
      </x:c>
    </x:row>
    <x:row r="344" ht="46" customHeight="1">
      <x:c r="A344" s="24" t="str">
        <x:v>External anal sphincter deep part</x:v>
      </x:c>
      <x:c r="B344" s="24" t="str">
        <x:v>Perineum anal triangle</x:v>
      </x:c>
      <x:c r="C344" s="24" t="str">
        <x:v>Stabilizer</x:v>
      </x:c>
      <x:c r="D344" s="24" t="str">
        <x:v>No</x:v>
      </x:c>
      <x:c r="E344" s="24" t="str">
        <x:v>No</x:v>
      </x:c>
      <x:c r="F344" s="24" t="str">
        <x:v>Yes</x:v>
      </x:c>
      <x:c r="G344" s="24" t="str">
        <x:v>Voluntary fecal continence</x:v>
      </x:c>
      <x:c r="H344" s="24" t="str">
        <x:v>Circumferential fibers integrated with puborectalis</x:v>
      </x:c>
      <x:c r="I344" s="24" t="str">
        <x:v>Ring around superior anal canal</x:v>
      </x:c>
      <x:c r="J344" s="24" t="str">
        <x:v>Inferior rectal nerves (pudendal); S4 contributions</x:v>
      </x:c>
      <x:c r="K344" s="24" t="str">
        <x:v>S2-S4</x:v>
      </x:c>
      <x:c r="L344" s="24" t="str">
        <x:v>Circular fibers without long tendons</x:v>
      </x:c>
      <x:c r="M344" s="24" t="str">
        <x:v>Adjacent puborectalis sling, not ligament</x:v>
      </x:c>
      <x:c r="N344" s="24" t="str">
        <x:v>Not established</x:v>
      </x:c>
      <x:c r="O344" s="24" t="str">
        <x:v>Not established</x:v>
      </x:c>
      <x:c r="P344" s="24" t="str">
        <x:v>Mixed Type I and Type II; ratio unverified</x:v>
      </x:c>
      <x:c r="Q344" s="24" t="str">
        <x:v>Published biopsies insufficient to state a reliable per-muscle percentage; no inference from function</x:v>
      </x:c>
      <x:c r="R344" s="24" t="str">
        <x:v>https://www.kenhub.com/en/library/anatomy/muscles-of-the-pelvic-floor</x:v>
      </x:c>
      <x:c r="S344" s="24" t="str">
        <x:v>https://pubmed.ncbi.nlm.nih.gov/39359186/</x:v>
      </x:c>
    </x:row>
    <x:row r="345" ht="46" customHeight="1">
      <x:c r="A345" s="24" t="str">
        <x:v>External anal sphincter subcutaneous part</x:v>
      </x:c>
      <x:c r="B345" s="24" t="str">
        <x:v>Perineum anal triangle</x:v>
      </x:c>
      <x:c r="C345" s="24" t="str">
        <x:v>Stabilizer</x:v>
      </x:c>
      <x:c r="D345" s="24" t="str">
        <x:v>No</x:v>
      </x:c>
      <x:c r="E345" s="24" t="str">
        <x:v>No</x:v>
      </x:c>
      <x:c r="F345" s="24" t="str">
        <x:v>Yes</x:v>
      </x:c>
      <x:c r="G345" s="24" t="str">
        <x:v>Voluntary anal closure</x:v>
      </x:c>
      <x:c r="H345" s="24" t="str">
        <x:v>Ring of tissue around anal canal</x:v>
      </x:c>
      <x:c r="I345" s="24" t="str">
        <x:v>Circular fibers around anal canal</x:v>
      </x:c>
      <x:c r="J345" s="24" t="str">
        <x:v>Inferior rectal nerves (pudendal)</x:v>
      </x:c>
      <x:c r="K345" s="24" t="str">
        <x:v>S2-S4</x:v>
      </x:c>
      <x:c r="L345" s="24" t="str">
        <x:v>Fibrous subcutaneous ring</x:v>
      </x:c>
      <x:c r="M345" s="24" t="str">
        <x:v>Perineal body nearby</x:v>
      </x:c>
      <x:c r="N345" s="24" t="str">
        <x:v>Not established</x:v>
      </x:c>
      <x:c r="O345" s="24" t="str">
        <x:v>Not established</x:v>
      </x:c>
      <x:c r="P345" s="24" t="str">
        <x:v>Mixed Type I and Type II; ratio unverified</x:v>
      </x:c>
      <x:c r="Q345" s="24" t="str">
        <x:v>Published biopsies insufficient to state a reliable per-muscle percentage; no inference from function</x:v>
      </x:c>
      <x:c r="R345" s="24" t="str">
        <x:v>https://www.kenhub.com/en/library/anatomy/muscles-of-the-pelvic-floor</x:v>
      </x:c>
      <x:c r="S345" s="24" t="str">
        <x:v>https://pubmed.ncbi.nlm.nih.gov/39359186/</x:v>
      </x:c>
    </x:row>
    <x:row r="346" ht="46" customHeight="1">
      <x:c r="A346" s="24" t="str">
        <x:v>External anal sphincter superficial part</x:v>
      </x:c>
      <x:c r="B346" s="24" t="str">
        <x:v>Perineum anal triangle</x:v>
      </x:c>
      <x:c r="C346" s="24" t="str">
        <x:v>Stabilizer</x:v>
      </x:c>
      <x:c r="D346" s="24" t="str">
        <x:v>No</x:v>
      </x:c>
      <x:c r="E346" s="24" t="str">
        <x:v>No</x:v>
      </x:c>
      <x:c r="F346" s="24" t="str">
        <x:v>Yes</x:v>
      </x:c>
      <x:c r="G346" s="24" t="str">
        <x:v>Closes anus; continence</x:v>
      </x:c>
      <x:c r="H346" s="24" t="str">
        <x:v>Perineal body</x:v>
      </x:c>
      <x:c r="I346" s="24" t="str">
        <x:v>Anococcygeal ligament/body posteriorly</x:v>
      </x:c>
      <x:c r="J346" s="24" t="str">
        <x:v>Inferior rectal nerves (pudendal)</x:v>
      </x:c>
      <x:c r="K346" s="24" t="str">
        <x:v>S2-S4</x:v>
      </x:c>
      <x:c r="L346" s="24" t="str">
        <x:v>Anterior/posterior fibrous attachments</x:v>
      </x:c>
      <x:c r="M346" s="24" t="str">
        <x:v>Anococcygeal ligament direct posterior attachment</x:v>
      </x:c>
      <x:c r="N346" s="24" t="str">
        <x:v>Not established</x:v>
      </x:c>
      <x:c r="O346" s="24" t="str">
        <x:v>Not established</x:v>
      </x:c>
      <x:c r="P346" s="24" t="str">
        <x:v>Mixed Type I and Type II; ratio unverified</x:v>
      </x:c>
      <x:c r="Q346" s="24" t="str">
        <x:v>Published biopsies insufficient to state a reliable per-muscle percentage; no inference from function</x:v>
      </x:c>
      <x:c r="R346" s="24" t="str">
        <x:v>https://www.kenhub.com/en/library/anatomy/muscles-of-the-pelvic-floor</x:v>
      </x:c>
      <x:c r="S346" s="24" t="str">
        <x:v>https://pubmed.ncbi.nlm.nih.gov/39359186/</x:v>
      </x:c>
    </x:row>
    <x:row r="347" ht="46" customHeight="1">
      <x:c r="A347" s="24" t="str">
        <x:v>External urethral sphincter (rhabdosphincter)</x:v>
      </x:c>
      <x:c r="B347" s="24" t="str">
        <x:v>Perineum urogenital triangle</x:v>
      </x:c>
      <x:c r="C347" s="24" t="str">
        <x:v>Stabilizer</x:v>
      </x:c>
      <x:c r="D347" s="24" t="str">
        <x:v>No</x:v>
      </x:c>
      <x:c r="E347" s="24" t="str">
        <x:v>No</x:v>
      </x:c>
      <x:c r="F347" s="24" t="str">
        <x:v>Yes</x:v>
      </x:c>
      <x:c r="G347" s="24" t="str">
        <x:v>Voluntary urethral closure</x:v>
      </x:c>
      <x:c r="H347" s="24" t="str">
        <x:v>Perineal membrane / surrounding pubic attachments</x:v>
      </x:c>
      <x:c r="I347" s="24" t="str">
        <x:v>Encircles membranous urethra</x:v>
      </x:c>
      <x:c r="J347" s="24" t="str">
        <x:v>Deep perineal branch pudendal nerve</x:v>
      </x:c>
      <x:c r="K347" s="24" t="str">
        <x:v>S2-S4</x:v>
      </x:c>
      <x:c r="L347" s="24" t="str">
        <x:v>Circumferential fibers</x:v>
      </x:c>
      <x:c r="M347" s="24" t="str">
        <x:v>Perineal membrane associated</x:v>
      </x:c>
      <x:c r="N347" s="24" t="str">
        <x:v>Not established</x:v>
      </x:c>
      <x:c r="O347" s="24" t="str">
        <x:v>Not established</x:v>
      </x:c>
      <x:c r="P347" s="24" t="str">
        <x:v>Mixed Type I and Type II; ratio unverified</x:v>
      </x:c>
      <x:c r="Q347" s="24" t="str">
        <x:v>Published biopsies insufficient to state a reliable per-muscle percentage; no inference from function</x:v>
      </x:c>
      <x:c r="R347" s="24" t="str">
        <x:v>https://www.kenhub.com/en/library/anatomy/muscles-of-the-pelvic-floor</x:v>
      </x:c>
      <x:c r="S347" s="24" t="str">
        <x:v>https://pubmed.ncbi.nlm.nih.gov/39359186/</x:v>
      </x:c>
    </x:row>
    <x:row r="348" ht="46" customHeight="1">
      <x:c r="A348" s="24" t="str">
        <x:v>Superficial transverse perineal muscle</x:v>
      </x:c>
      <x:c r="B348" s="24" t="str">
        <x:v>Superficial perineal pouch</x:v>
      </x:c>
      <x:c r="C348" s="24" t="str">
        <x:v>Stabilizer</x:v>
      </x:c>
      <x:c r="D348" s="24" t="str">
        <x:v>No</x:v>
      </x:c>
      <x:c r="E348" s="24" t="str">
        <x:v>No</x:v>
      </x:c>
      <x:c r="F348" s="24" t="str">
        <x:v>Yes</x:v>
      </x:c>
      <x:c r="G348" s="24" t="str">
        <x:v>Fixes perineal body; supports pelvic floor</x:v>
      </x:c>
      <x:c r="H348" s="24" t="str">
        <x:v>Ischial tuberosity/ramus</x:v>
      </x:c>
      <x:c r="I348" s="24" t="str">
        <x:v>Perineal body</x:v>
      </x:c>
      <x:c r="J348" s="24" t="str">
        <x:v>Perineal branch pudendal nerve</x:v>
      </x:c>
      <x:c r="K348" s="24" t="str">
        <x:v>S2-S4</x:v>
      </x:c>
      <x:c r="L348" s="24" t="str">
        <x:v>Short perineal body insertion tendon</x:v>
      </x:c>
      <x:c r="M348" s="24" t="str">
        <x:v>Perineal membrane nearby</x:v>
      </x:c>
      <x:c r="N348" s="24" t="str">
        <x:v>Not established</x:v>
      </x:c>
      <x:c r="O348" s="24" t="str">
        <x:v>Not established</x:v>
      </x:c>
      <x:c r="P348" s="24" t="str">
        <x:v>Mixed Type I and Type II; ratio unverified</x:v>
      </x:c>
      <x:c r="Q348" s="24" t="str">
        <x:v>Published biopsies insufficient to state a reliable per-muscle percentage; no inference from function</x:v>
      </x:c>
      <x:c r="R348" s="24" t="str">
        <x:v>https://www.kenhub.com/en/library/anatomy/muscles-of-the-pelvic-floor</x:v>
      </x:c>
      <x:c r="S348" s="24" t="str">
        <x:v>https://pubmed.ncbi.nlm.nih.gov/39359186/</x:v>
      </x:c>
    </x:row>
    <x:row r="349" ht="46" customHeight="1">
      <x:c r="A349" s="24" t="str">
        <x:v>Bulbospongiosus (female)</x:v>
      </x:c>
      <x:c r="B349" s="24" t="str">
        <x:v>Superficial perineal pouch female</x:v>
      </x:c>
      <x:c r="C349" s="24" t="str">
        <x:v>Stabilizer</x:v>
      </x:c>
      <x:c r="D349" s="24" t="str">
        <x:v>No</x:v>
      </x:c>
      <x:c r="E349" s="24" t="str">
        <x:v>No</x:v>
      </x:c>
      <x:c r="F349" s="24" t="str">
        <x:v>Yes</x:v>
      </x:c>
      <x:c r="G349" s="24" t="str">
        <x:v>Constricts vaginal orifice; assists clitoral erection</x:v>
      </x:c>
      <x:c r="H349" s="24" t="str">
        <x:v>Perineal body</x:v>
      </x:c>
      <x:c r="I349" s="24" t="str">
        <x:v>Bulb of vestibule; clitoral fascia</x:v>
      </x:c>
      <x:c r="J349" s="24" t="str">
        <x:v>Perineal branch pudendal nerve</x:v>
      </x:c>
      <x:c r="K349" s="24" t="str">
        <x:v>S2-S4</x:v>
      </x:c>
      <x:c r="L349" s="24" t="str">
        <x:v>Clitoral fascial fibers</x:v>
      </x:c>
      <x:c r="M349" s="24" t="str">
        <x:v>Perineal membrane adjacent</x:v>
      </x:c>
      <x:c r="N349" s="24" t="str">
        <x:v>Not established</x:v>
      </x:c>
      <x:c r="O349" s="24" t="str">
        <x:v>Not established</x:v>
      </x:c>
      <x:c r="P349" s="24" t="str">
        <x:v>Mixed Type I and Type II; ratio unverified</x:v>
      </x:c>
      <x:c r="Q349" s="24" t="str">
        <x:v>Published biopsies insufficient to state a reliable per-muscle percentage; no inference from function</x:v>
      </x:c>
      <x:c r="R349" s="24" t="str">
        <x:v>https://www.kenhub.com/en/library/anatomy/muscles-of-the-pelvic-floor</x:v>
      </x:c>
      <x:c r="S349" s="24" t="str">
        <x:v>https://pubmed.ncbi.nlm.nih.gov/39359186/</x:v>
      </x:c>
    </x:row>
    <x:row r="350" ht="46" customHeight="1">
      <x:c r="A350" s="24" t="str">
        <x:v>Ischiocavernosus (female)</x:v>
      </x:c>
      <x:c r="B350" s="24" t="str">
        <x:v>Superficial perineal pouch female</x:v>
      </x:c>
      <x:c r="C350" s="24" t="str">
        <x:v>Stabilizer</x:v>
      </x:c>
      <x:c r="D350" s="24" t="str">
        <x:v>No</x:v>
      </x:c>
      <x:c r="E350" s="24" t="str">
        <x:v>No</x:v>
      </x:c>
      <x:c r="F350" s="24" t="str">
        <x:v>Yes</x:v>
      </x:c>
      <x:c r="G350" s="24" t="str">
        <x:v>Compresses crus clitoris; assists erection</x:v>
      </x:c>
      <x:c r="H350" s="24" t="str">
        <x:v>Ischial tuberosity and ischiopubic ramus</x:v>
      </x:c>
      <x:c r="I350" s="24" t="str">
        <x:v>Crus clitoris and tunica albuginea</x:v>
      </x:c>
      <x:c r="J350" s="24" t="str">
        <x:v>Perineal branch pudendal nerve</x:v>
      </x:c>
      <x:c r="K350" s="24" t="str">
        <x:v>S2-S4</x:v>
      </x:c>
      <x:c r="L350" s="24" t="str">
        <x:v>Crural insertion</x:v>
      </x:c>
      <x:c r="M350" s="24" t="str">
        <x:v>Suspensory ligament of clitoris nearby</x:v>
      </x:c>
      <x:c r="N350" s="24" t="str">
        <x:v>Not established</x:v>
      </x:c>
      <x:c r="O350" s="24" t="str">
        <x:v>Not established</x:v>
      </x:c>
      <x:c r="P350" s="24" t="str">
        <x:v>Mixed Type I and Type II; ratio unverified</x:v>
      </x:c>
      <x:c r="Q350" s="24" t="str">
        <x:v>Published biopsies insufficient to state a reliable per-muscle percentage; no inference from function</x:v>
      </x:c>
      <x:c r="R350" s="24" t="str">
        <x:v>https://www.kenhub.com/en/library/anatomy/muscles-of-the-pelvic-floor</x:v>
      </x:c>
      <x:c r="S350" s="24" t="str">
        <x:v>https://pubmed.ncbi.nlm.nih.gov/39359186/</x:v>
      </x:c>
    </x:row>
    <x:row r="351" ht="46" customHeight="1">
      <x:c r="A351" s="24" t="str">
        <x:v>Bulbospongiosus (male)</x:v>
      </x:c>
      <x:c r="B351" s="24" t="str">
        <x:v>Superficial perineal pouch male</x:v>
      </x:c>
      <x:c r="C351" s="24" t="str">
        <x:v>Stabilizer</x:v>
      </x:c>
      <x:c r="D351" s="24" t="str">
        <x:v>No</x:v>
      </x:c>
      <x:c r="E351" s="24" t="str">
        <x:v>No</x:v>
      </x:c>
      <x:c r="F351" s="24" t="str">
        <x:v>Yes</x:v>
      </x:c>
      <x:c r="G351" s="24" t="str">
        <x:v>Expels last urine/semen; assists erection</x:v>
      </x:c>
      <x:c r="H351" s="24" t="str">
        <x:v>Perineal body and midline penile raphe</x:v>
      </x:c>
      <x:c r="I351" s="24" t="str">
        <x:v>Perineal membrane; bulb of penis; dorsal penile fascia</x:v>
      </x:c>
      <x:c r="J351" s="24" t="str">
        <x:v>Perineal branch pudendal nerve</x:v>
      </x:c>
      <x:c r="K351" s="24" t="str">
        <x:v>S2-S4</x:v>
      </x:c>
      <x:c r="L351" s="24" t="str">
        <x:v>Fibrous penile/perineal fascial insertion</x:v>
      </x:c>
      <x:c r="M351" s="24" t="str">
        <x:v>Perineal membrane attachment</x:v>
      </x:c>
      <x:c r="N351" s="24" t="str">
        <x:v>Not established</x:v>
      </x:c>
      <x:c r="O351" s="24" t="str">
        <x:v>Not established</x:v>
      </x:c>
      <x:c r="P351" s="24" t="str">
        <x:v>Mixed Type I and Type II; ratio unverified</x:v>
      </x:c>
      <x:c r="Q351" s="24" t="str">
        <x:v>Published biopsies insufficient to state a reliable per-muscle percentage; no inference from function</x:v>
      </x:c>
      <x:c r="R351" s="24" t="str">
        <x:v>https://www.kenhub.com/en/library/anatomy/muscles-of-the-pelvic-floor</x:v>
      </x:c>
      <x:c r="S351" s="24" t="str">
        <x:v>https://pubmed.ncbi.nlm.nih.gov/39359186/</x:v>
      </x:c>
    </x:row>
    <x:row r="352" ht="46" customHeight="1">
      <x:c r="A352" s="24" t="str">
        <x:v>Ischiocavernosus (male)</x:v>
      </x:c>
      <x:c r="B352" s="24" t="str">
        <x:v>Superficial perineal pouch male</x:v>
      </x:c>
      <x:c r="C352" s="24" t="str">
        <x:v>Stabilizer</x:v>
      </x:c>
      <x:c r="D352" s="24" t="str">
        <x:v>No</x:v>
      </x:c>
      <x:c r="E352" s="24" t="str">
        <x:v>No</x:v>
      </x:c>
      <x:c r="F352" s="24" t="str">
        <x:v>Yes</x:v>
      </x:c>
      <x:c r="G352" s="24" t="str">
        <x:v>Compresses crus; maintains erection</x:v>
      </x:c>
      <x:c r="H352" s="24" t="str">
        <x:v>Ischial tuberosity and ischiopubic ramus</x:v>
      </x:c>
      <x:c r="I352" s="24" t="str">
        <x:v>Crus penis and tunica albuginea</x:v>
      </x:c>
      <x:c r="J352" s="24" t="str">
        <x:v>Perineal branch pudendal nerve</x:v>
      </x:c>
      <x:c r="K352" s="24" t="str">
        <x:v>S2-S4</x:v>
      </x:c>
      <x:c r="L352" s="24" t="str">
        <x:v>Crural fibrous insertion</x:v>
      </x:c>
      <x:c r="M352" s="24" t="str">
        <x:v>Suspensory ligament of penis nearby, not direct insertion</x:v>
      </x:c>
      <x:c r="N352" s="24" t="str">
        <x:v>Not established</x:v>
      </x:c>
      <x:c r="O352" s="24" t="str">
        <x:v>Not established</x:v>
      </x:c>
      <x:c r="P352" s="24" t="str">
        <x:v>Mixed Type I and Type II; ratio unverified</x:v>
      </x:c>
      <x:c r="Q352" s="24" t="str">
        <x:v>Published biopsies insufficient to state a reliable per-muscle percentage; no inference from function</x:v>
      </x:c>
      <x:c r="R352" s="24" t="str">
        <x:v>https://www.kenhub.com/en/library/anatomy/muscles-of-the-pelvic-floor</x:v>
      </x:c>
      <x:c r="S352" s="24" t="str">
        <x:v>https://pubmed.ncbi.nlm.nih.gov/39359186/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755fd8ee6d1d4a8a"/>
  </x:tableParts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31" hidden="0" customWidth="1"/>
    <x:col min="3" max="3" width="73" hidden="0" customWidth="1"/>
    <x:col min="4" max="4" width="85" hidden="0" customWidth="1"/>
    <x:col min="5" max="5" width="33" hidden="0" customWidth="1"/>
  </x:cols>
  <x:sheetData>
    <x:row r="1" ht="37" customHeight="1">
      <x:c r="A1" s="3" t="str">
        <x:v>RESEARCH LINKS, EVIDENCE AND SCOPE NOTES</x:v>
      </x:c>
      <x:c r="B1" s="3"/>
      <x:c r="C1" s="3"/>
      <x:c r="D1" s="3"/>
      <x:c r="E1" s="3"/>
    </x:row>
    <x:row r="2" ht="28" customHeight="1">
      <x:c r="A2" s="26" t="str">
        <x:v>Source links are background support; individual muscle recruitment is based on the anatomy atlas and movement mechanics.</x:v>
      </x:c>
      <x:c r="B2" s="26"/>
      <x:c r="C2" s="26"/>
      <x:c r="D2" s="26"/>
      <x:c r="E2" s="26"/>
    </x:row>
    <x:row r="3" ht="33" customHeight="1">
      <x:c r="A3" s="29" t="str">
        <x:v>Source / context</x:v>
      </x:c>
      <x:c r="B3" s="29" t="str">
        <x:v>Source type</x:v>
      </x:c>
      <x:c r="C3" s="29" t="str">
        <x:v>Plain-text URL</x:v>
      </x:c>
      <x:c r="D3" s="29" t="str">
        <x:v>What it supports / cannot support</x:v>
      </x:c>
      <x:c r="E3" s="29" t="str">
        <x:v>Evidence class</x:v>
      </x:c>
    </x:row>
    <x:row r="4" ht="75" customHeight="1">
      <x:c r="A4" s="22" t="str">
        <x:v>Uploaded anatomy atlas</x:v>
      </x:c>
      <x:c r="B4" s="22" t="str">
        <x:v>Human_Muscle_Anatomy_Atlas(1).xlsx</x:v>
      </x:c>
      <x:c r="C4" s="22" t="str">
        <x:v>Local user-supplied reference</x:v>
      </x:c>
      <x:c r="D4" s="22" t="str">
        <x:v>Exact name, compartment, origin, insertion, motor nerve, roots, tendon and fiber fields copied from uploaded file; source is not independently fact-checked.</x:v>
      </x:c>
      <x:c r="E4" s="22" t="str">
        <x:v>User-provided file</x:v>
      </x:c>
    </x:row>
    <x:row r="5" ht="75" customHeight="1">
      <x:c r="A5" s="22" t="str">
        <x:v>AAOS rotator cuff / shoulder</x:v>
      </x:c>
      <x:c r="B5" s="22" t="str">
        <x:v>Exercise program</x:v>
      </x:c>
      <x:c r="C5" s="22" t="str">
        <x:v>https://orthoinfo.aaos.org/globalassets/pdfs/2024-rotator-cuff-and-shoulder-conditioning-program.pdf</x:v>
      </x:c>
      <x:c r="D5" s="22" t="str">
        <x:v>Shoulder exercises and basic loading/stretch technique; not proof of every muscle listed for a variant.</x:v>
      </x:c>
      <x:c r="E5" s="22" t="str">
        <x:v>Clinical educational guide</x:v>
      </x:c>
    </x:row>
    <x:row r="6" ht="75" customHeight="1">
      <x:c r="A6" s="22" t="str">
        <x:v>AAOS hip conditioning</x:v>
      </x:c>
      <x:c r="B6" s="22" t="str">
        <x:v>Exercise program</x:v>
      </x:c>
      <x:c r="C6" s="22" t="str">
        <x:v>https://orthoinfo.aaos.org/globalassets/pdfs/hip-conditioning-rehab-program-2025.pdf</x:v>
      </x:c>
      <x:c r="D6" s="22" t="str">
        <x:v>Hip abductor/adductor mobility and functional exercise examples.</x:v>
      </x:c>
      <x:c r="E6" s="22" t="str">
        <x:v>Clinical educational guide</x:v>
      </x:c>
    </x:row>
    <x:row r="7" ht="75" customHeight="1">
      <x:c r="A7" s="22" t="str">
        <x:v>AAOS knee conditioning</x:v>
      </x:c>
      <x:c r="B7" s="22" t="str">
        <x:v>Exercise program</x:v>
      </x:c>
      <x:c r="C7" s="22" t="str">
        <x:v>https://www.orthoinfo.org/recovery/knee-conditioning-program</x:v>
      </x:c>
      <x:c r="D7" s="22" t="str">
        <x:v>Knee quadriceps, hamstring and hip training examples.</x:v>
      </x:c>
      <x:c r="E7" s="22" t="str">
        <x:v>Clinical educational guide</x:v>
      </x:c>
    </x:row>
    <x:row r="8" ht="75" customHeight="1">
      <x:c r="A8" s="22" t="str">
        <x:v>AAOS foot &amp; ankle conditioning</x:v>
      </x:c>
      <x:c r="B8" s="22" t="str">
        <x:v>Exercise program</x:v>
      </x:c>
      <x:c r="C8" s="22" t="str">
        <x:v>https://www.orthoinfo.org/recovery/foot-and-ankle-conditioning-program</x:v>
      </x:c>
      <x:c r="D8" s="22" t="str">
        <x:v>Calf, ankle inversion/eversion, foot strength and flexibility examples.</x:v>
      </x:c>
      <x:c r="E8" s="22" t="str">
        <x:v>Clinical educational guide</x:v>
      </x:c>
    </x:row>
    <x:row r="9" ht="75" customHeight="1">
      <x:c r="A9" s="22" t="str">
        <x:v>AAOS spine conditioning</x:v>
      </x:c>
      <x:c r="B9" s="22" t="str">
        <x:v>Exercise program</x:v>
      </x:c>
      <x:c r="C9" s="22" t="str">
        <x:v>https://orthoinfo.aaos.org/globalassets/pdfs/spine-conditioning-program.pdf</x:v>
      </x:c>
      <x:c r="D9" s="22" t="str">
        <x:v>Bird dog, plank, spinal stabilization and flexibility examples.</x:v>
      </x:c>
      <x:c r="E9" s="22" t="str">
        <x:v>Clinical educational guide</x:v>
      </x:c>
    </x:row>
    <x:row r="10" ht="75" customHeight="1">
      <x:c r="A10" s="22" t="str">
        <x:v>NHS pelvic floor</x:v>
      </x:c>
      <x:c r="B10" s="22" t="str">
        <x:v>Health service instructions</x:v>
      </x:c>
      <x:c r="C10" s="22" t="str">
        <x:v>https://myjointhealthhub.bnssg.nhs.uk/how-to-do-pelvic-floor-exercises/</x:v>
      </x:c>
      <x:c r="D10" s="22" t="str">
        <x:v>Pelvic floor slow/quick contractions, gentle full relaxation and functional coordination.</x:v>
      </x:c>
      <x:c r="E10" s="22" t="str">
        <x:v>Health-service guidance</x:v>
      </x:c>
    </x:row>
    <x:row r="11" ht="75" customHeight="1">
      <x:c r="A11" s="22" t="str">
        <x:v>ASHA dysphagia / swallowing</x:v>
      </x:c>
      <x:c r="B11" s="22" t="str">
        <x:v>Clinical practice portal</x:v>
      </x:c>
      <x:c r="C11" s="22" t="str">
        <x:v>https://www.asha.org/practice-portal/clinical-topics/adult-dysphagia/</x:v>
      </x:c>
      <x:c r="D11" s="22" t="str">
        <x:v>Swallowing drills may require licensed SLP assessment and should not be self-prescribed.</x:v>
      </x:c>
      <x:c r="E11" s="22" t="str">
        <x:v>Clinical practice guidance</x:v>
      </x:c>
    </x:row>
    <x:row r="12" ht="75" customHeight="1">
      <x:c r="A12" s="22" t="str">
        <x:v>NEI eye health</x:v>
      </x:c>
      <x:c r="B12" s="22" t="str">
        <x:v>Health education</x:v>
      </x:c>
      <x:c r="C12" s="22" t="str">
        <x:v>https://www.nei.nih.gov/learn-about-eye-health/healthy-vision/keep-your-eyes-healthy</x:v>
      </x:c>
      <x:c r="D12" s="22" t="str">
        <x:v>Ocular coordination is not proof of improved refraction or treatment of eye disease.</x:v>
      </x:c>
      <x:c r="E12" s="22" t="str">
        <x:v>Health information / context</x:v>
      </x:c>
    </x:row>
    <x:row r="13" ht="75" customHeight="1">
      <x:c r="A13" s="22" t="str">
        <x:v>ACSM / US activity context</x:v>
      </x:c>
      <x:c r="B13" s="22" t="str">
        <x:v>General activity guidance</x:v>
      </x:c>
      <x:c r="C13" s="22" t="str">
        <x:v>https://www.acsm.org/education-resources/trending-topics-resources/physical-activity-guidelines</x:v>
      </x:c>
      <x:c r="D13" s="22" t="str">
        <x:v>General conditioning principles; doses here are example ranges, not individual rehab plans.</x:v>
      </x:c>
      <x:c r="E13" s="22" t="str">
        <x:v>General training guidance</x:v>
      </x:c>
    </x:row>
    <x:row r="14" ht="75" customHeight="1">
      <x:c r="A14" s="22" t="str">
        <x:v>Mapping methodology</x:v>
      </x:c>
      <x:c r="B14" s="22" t="str">
        <x:v>Atlas-based anatomy mapping</x:v>
      </x:c>
      <x:c r="C14" s="22" t="str">
        <x:v>—</x:v>
      </x:c>
      <x:c r="D14" s="22" t="str">
        <x:v>Prime/assist/stabilizer roles are inference from muscle actions, not exercise-specific EMG measurements. Deep slips may be coactive but not selectively trained.</x:v>
      </x:c>
      <x:c r="E14" s="22" t="str">
        <x:v>Author synthesis; not direct trial evidence</x:v>
      </x:c>
    </x:row>
    <x:row r="15" ht="75" customHeight="1">
      <x:c r="A15" s="22" t="str">
        <x:v>Tendon vs ligament safety</x:v>
      </x:c>
      <x:c r="B15" s="22" t="str">
        <x:v>Anatomical / medical interpretation</x:v>
      </x:c>
      <x:c r="C15" s="22" t="str">
        <x:v>—</x:v>
      </x:c>
      <x:c r="D15" s="22" t="str">
        <x:v>Tendons transmit muscle force and can be progressively loaded. Ligaments are passive restraints; dangerous to intentionally overstretch them.</x:v>
      </x:c>
      <x:c r="E15" s="22" t="str">
        <x:v>Safety note</x:v>
      </x:c>
    </x:row>
    <x:row r="16" ht="75" customHeight="1">
      <x:c r="A16" s="22" t="str">
        <x:v>Sex-specific / variable muscles</x:v>
      </x:c>
      <x:c r="B16" s="22" t="str">
        <x:v>Original reference caveat</x:v>
      </x:c>
      <x:c r="C16" s="22" t="str">
        <x:v>—</x:v>
      </x:c>
      <x:c r="D16" s="22" t="str">
        <x:v>Sex-specific structures are listed for coverage, not all present in every person. Psoas minor and scalenus minimus are frequently absent.</x:v>
      </x:c>
      <x:c r="E16" s="22" t="str">
        <x:v>Atlas anatomy caveat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001f9338d3c4532"/>
  </x:tableParts>
</x:worksheet>
</file>