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5c430265e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2b221fb42ae4eb8"/>
    <x:sheet xmlns:r="http://schemas.openxmlformats.org/officeDocument/2006/relationships" name="ALL MUSCLES" sheetId="2" r:id="R67286df2218841a2"/>
    <x:sheet xmlns:r="http://schemas.openxmlformats.org/officeDocument/2006/relationships" name="Shoulder &amp; Scapula" sheetId="3" r:id="R42174aebefcf4c96"/>
    <x:sheet xmlns:r="http://schemas.openxmlformats.org/officeDocument/2006/relationships" name="Arm" sheetId="4" r:id="R8ea8662804024d99"/>
    <x:sheet xmlns:r="http://schemas.openxmlformats.org/officeDocument/2006/relationships" name="Forearm" sheetId="5" r:id="R43ada0ad875e4c15"/>
    <x:sheet xmlns:r="http://schemas.openxmlformats.org/officeDocument/2006/relationships" name="Hand" sheetId="6" r:id="R9e1f244a8fe84741"/>
    <x:sheet xmlns:r="http://schemas.openxmlformats.org/officeDocument/2006/relationships" name="Hip &amp; Gluteal" sheetId="7" r:id="R201e3e08786d408e"/>
    <x:sheet xmlns:r="http://schemas.openxmlformats.org/officeDocument/2006/relationships" name="Thigh" sheetId="8" r:id="R4cc94a79e2ed48d9"/>
    <x:sheet xmlns:r="http://schemas.openxmlformats.org/officeDocument/2006/relationships" name="Leg" sheetId="9" r:id="R86fb8b9d174c4e8a"/>
    <x:sheet xmlns:r="http://schemas.openxmlformats.org/officeDocument/2006/relationships" name="Foot" sheetId="10" r:id="Rb2e1b71c84af42e0"/>
    <x:sheet xmlns:r="http://schemas.openxmlformats.org/officeDocument/2006/relationships" name="Abdomen" sheetId="11" r:id="Ra4551a6b53304463"/>
    <x:sheet xmlns:r="http://schemas.openxmlformats.org/officeDocument/2006/relationships" name="Back &amp; Neck" sheetId="12" r:id="Rf0c7e0a4854d4c45"/>
    <x:sheet xmlns:r="http://schemas.openxmlformats.org/officeDocument/2006/relationships" name="Thorax &amp; Breathing" sheetId="13" r:id="R9423144f02994dcd"/>
    <x:sheet xmlns:r="http://schemas.openxmlformats.org/officeDocument/2006/relationships" name="Head &amp; Face" sheetId="14" r:id="R4fba8b20477e4963"/>
    <x:sheet xmlns:r="http://schemas.openxmlformats.org/officeDocument/2006/relationships" name="Pharynx &amp; Larynx" sheetId="15" r:id="Rfbc2ad9e7bbe403e"/>
    <x:sheet xmlns:r="http://schemas.openxmlformats.org/officeDocument/2006/relationships" name="Eye &amp; Ear" sheetId="16" r:id="R195c1da622164706"/>
    <x:sheet xmlns:r="http://schemas.openxmlformats.org/officeDocument/2006/relationships" name="Pelvis &amp; Perineum" sheetId="17" r:id="R7e97c4bf2d51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Aptos Display"/>
    </x:font>
    <x:font>
      <x:sz val="10"/>
      <x:color rgb="FF183447"/>
      <x:name val="Aptos"/>
    </x:font>
    <x:font>
      <x:b/>
      <x:sz val="10"/>
      <x:color rgb="FFFFFFFF"/>
      <x:name val="Aptos"/>
    </x:font>
    <x:font>
      <x:sz val="11"/>
      <x:color rgb="FF256587"/>
      <x:name val="Carlito"/>
    </x:font>
    <x:font>
      <x:b/>
      <x:sz val="22"/>
      <x:color rgb="FFFFFFFF"/>
      <x:name val="Aptos Display"/>
    </x:font>
    <x:font>
      <x:b/>
      <x:sz val="11"/>
      <x:color rgb="FF1E617D"/>
      <x:name val="Carlito"/>
    </x:font>
    <x:font>
      <x:b/>
      <x:sz val="11"/>
      <x:color rgb="FF183447"/>
      <x:name val="Carlito"/>
    </x:font>
    <x:font>
      <x:b/>
      <x:sz val="11"/>
      <x:color rgb="FFFFFFFF"/>
      <x:name val="Carlito"/>
    </x:font>
    <x:font>
      <x:sz val="11"/>
      <x:color rgb="FF266A9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9F4F6"/>
      </x:patternFill>
    </x:fill>
    <x:fill>
      <x:patternFill patternType="solid">
        <x:fgColor rgb="FF087E8B"/>
      </x:patternFill>
    </x:fill>
    <x:fill>
      <x:patternFill patternType="solid">
        <x:fgColor rgb="FFF2F7F9"/>
      </x:patternFill>
    </x:fill>
    <x:fill>
      <x:patternFill patternType="solid">
        <x:fgColor rgb="FFE8F2F6"/>
      </x:patternFill>
    </x:fill>
    <x:fill>
      <x:patternFill patternType="solid">
        <x:fgColor rgb="FFF1F7F9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7295c582a44ad" /><Relationship Type="http://schemas.openxmlformats.org/officeDocument/2006/relationships/theme" Target="/xl/theme/theme1.xml" Id="R449b334fbe124007" /><Relationship Type="http://schemas.openxmlformats.org/officeDocument/2006/relationships/sharedStrings" Target="/xl/sharedStrings.xml" Id="R7a5ef6591e574165" /><Relationship Type="http://schemas.openxmlformats.org/officeDocument/2006/relationships/worksheet" Target="/xl/worksheets/sheet1.xml" Id="R92b221fb42ae4eb8" /><Relationship Type="http://schemas.openxmlformats.org/officeDocument/2006/relationships/worksheet" Target="/xl/worksheets/sheet2.xml" Id="R67286df2218841a2" /><Relationship Type="http://schemas.openxmlformats.org/officeDocument/2006/relationships/worksheet" Target="/xl/worksheets/sheet3.xml" Id="R42174aebefcf4c96" /><Relationship Type="http://schemas.openxmlformats.org/officeDocument/2006/relationships/worksheet" Target="/xl/worksheets/sheet4.xml" Id="R8ea8662804024d99" /><Relationship Type="http://schemas.openxmlformats.org/officeDocument/2006/relationships/worksheet" Target="/xl/worksheets/sheet5.xml" Id="R43ada0ad875e4c15" /><Relationship Type="http://schemas.openxmlformats.org/officeDocument/2006/relationships/worksheet" Target="/xl/worksheets/sheet6.xml" Id="R9e1f244a8fe84741" /><Relationship Type="http://schemas.openxmlformats.org/officeDocument/2006/relationships/worksheet" Target="/xl/worksheets/sheet7.xml" Id="R201e3e08786d408e" /><Relationship Type="http://schemas.openxmlformats.org/officeDocument/2006/relationships/worksheet" Target="/xl/worksheets/sheet8.xml" Id="R4cc94a79e2ed48d9" /><Relationship Type="http://schemas.openxmlformats.org/officeDocument/2006/relationships/worksheet" Target="/xl/worksheets/sheet9.xml" Id="R86fb8b9d174c4e8a" /><Relationship Type="http://schemas.openxmlformats.org/officeDocument/2006/relationships/worksheet" Target="/xl/worksheets/sheet10.xml" Id="Rb2e1b71c84af42e0" /><Relationship Type="http://schemas.openxmlformats.org/officeDocument/2006/relationships/worksheet" Target="/xl/worksheets/sheet11.xml" Id="Ra4551a6b53304463" /><Relationship Type="http://schemas.openxmlformats.org/officeDocument/2006/relationships/worksheet" Target="/xl/worksheets/sheet12.xml" Id="Rf0c7e0a4854d4c45" /><Relationship Type="http://schemas.openxmlformats.org/officeDocument/2006/relationships/worksheet" Target="/xl/worksheets/sheet13.xml" Id="R9423144f02994dcd" /><Relationship Type="http://schemas.openxmlformats.org/officeDocument/2006/relationships/worksheet" Target="/xl/worksheets/sheet14.xml" Id="R4fba8b20477e4963" /><Relationship Type="http://schemas.openxmlformats.org/officeDocument/2006/relationships/worksheet" Target="/xl/worksheets/sheet15.xml" Id="Rfbc2ad9e7bbe403e" /><Relationship Type="http://schemas.openxmlformats.org/officeDocument/2006/relationships/worksheet" Target="/xl/worksheets/sheet16.xml" Id="R195c1da622164706" /><Relationship Type="http://schemas.openxmlformats.org/officeDocument/2006/relationships/worksheet" Target="/xl/worksheets/sheet17.xml" Id="R7e97c4bf2d514552" /></Relationships>
</file>

<file path=xl/tables/table1.xml><?xml version="1.0" encoding="utf-8"?>
<x:table xmlns:x="http://schemas.openxmlformats.org/spreadsheetml/2006/main" id="1" name="AllMuscleData" displayName="AllMuscleData" ref="A3:S352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onMuscles1" displayName="RegionMuscles1" ref="A3:S18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onMuscles2" displayName="RegionMuscles2" ref="A3:S12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onMuscles3" displayName="RegionMuscles3" ref="A3:S27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ionMuscles4" displayName="RegionMuscles4" ref="A3:S24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gionMuscles5" displayName="RegionMuscles5" ref="A3:S16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gionMuscles6" displayName="RegionMuscles6" ref="A3:S21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gionMuscles7" displayName="RegionMuscles7" ref="A3:S17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gionMuscles8" displayName="RegionMuscles8" ref="A3:S27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gionMuscles9" displayName="RegionMuscles9" ref="A3:S13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gionMuscles10" displayName="RegionMuscles10" ref="A3:S72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gionMuscles11" displayName="RegionMuscles11" ref="A3:S40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gionMuscles12" displayName="RegionMuscles12" ref="A3:S51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egionMuscles13" displayName="RegionMuscles13" ref="A3:S23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gionMuscles14" displayName="RegionMuscles14" ref="A3:S12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gionMuscles15" displayName="RegionMuscles15" ref="A3:S21" headerRowCount="1" totalsRowCount="0" totalsRowShown="0">
  <x:tableColumns count="19">
    <x:tableColumn id="1" name="Muscle / distinct part"/>
    <x:tableColumn id="2" name="Anatomical compartment"/>
    <x:tableColumn id="3" name="Functional roles"/>
    <x:tableColumn id="4" name="Flexor?"/>
    <x:tableColumn id="5" name="Extensor?"/>
    <x:tableColumn id="6" name="Stabilizer?"/>
    <x:tableColumn id="7" name="Actions (including others)"/>
    <x:tableColumn id="8" name="Origin (proximal attachment)"/>
    <x:tableColumn id="9" name="Insertion (distal attachment)"/>
    <x:tableColumn id="10" name="Motor nerve / branch"/>
    <x:tableColumn id="11" name="Spinal roots or cranial nerve"/>
    <x:tableColumn id="12" name="Tendon / aponeurosis connection"/>
    <x:tableColumn id="13" name="Ligament / retinaculum relationship"/>
    <x:tableColumn id="14" name="Type I (slow) composition"/>
    <x:tableColumn id="15" name="Type II (fast) composition"/>
    <x:tableColumn id="16" name="Fiber profile"/>
    <x:tableColumn id="17" name="Fiber data caveat"/>
    <x:tableColumn id="18" name="Regional anatomy source URL"/>
    <x:tableColumn id="19" name="Fiber-type 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a20772267c43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68437ba52640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cb8288986e4b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a06425654c41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10f87832ce44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1c2410c90b41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74dbbecfbc4d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c3ab5a0495418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31ee3a7b6ea4a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d1ec11a2332402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70a0df9be374a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0d70cce3df94b5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0f3a9fafaae486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55df4bda73664b2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e226259dcc3443f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3f788e99bca408b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5" hidden="0" customWidth="1"/>
    <x:col min="3" max="3" width="17" hidden="0" customWidth="1"/>
    <x:col min="4" max="4" width="19" hidden="0" customWidth="1"/>
    <x:col min="5" max="5" width="20" hidden="0" customWidth="1"/>
    <x:col min="6" max="6" width="69" hidden="0" customWidth="1"/>
    <x:col min="7" max="7" width="43" hidden="0" customWidth="1"/>
  </x:cols>
  <x:sheetData>
    <x:row r="1" ht="28" customHeight="1">
      <x:c r="A1" s="35" t="str">
        <x:v>HUMAN SKELETAL MUSCLE ATLAS</x:v>
      </x:c>
      <x:c r="B1" s="35"/>
      <x:c r="C1" s="35"/>
      <x:c r="D1" s="35"/>
      <x:c r="E1" s="35"/>
      <x:c r="F1" s="35"/>
      <x:c r="G1" s="35"/>
    </x:row>
    <x:row r="2" ht="28" customHeight="1">
      <x:c r="A2" s="35"/>
      <x:c r="B2" s="35"/>
      <x:c r="C2" s="35"/>
      <x:c r="D2" s="35"/>
      <x:c r="E2" s="35"/>
      <x:c r="F2" s="35"/>
      <x:c r="G2" s="35"/>
    </x:row>
    <x:row r="4" ht="29" customHeight="1">
      <x:c r="A4" s="38" t="str">
        <x:v>Anatomy • actions • origins and insertions • nerves and roots • tendons and ligament relationships • fiber-type evidence</x:v>
      </x:c>
      <x:c r="B4" s="38"/>
      <x:c r="C4" s="38"/>
      <x:c r="D4" s="38"/>
      <x:c r="E4" s="38"/>
      <x:c r="F4" s="38"/>
      <x:c r="G4" s="38"/>
    </x:row>
    <x:row r="6">
      <x:c r="A6" s="41" t="str">
        <x:v>Total named entries</x:v>
      </x:c>
      <x:c r="B6" s="38" t="n">
        <x:f>COUNTA('ALL MUSCLES'!A4:A352)</x:f>
        <x:v>349</x:v>
      </x:c>
    </x:row>
    <x:row r="7">
      <x:c r="A7" s="41" t="str">
        <x:v>Regional worksheets</x:v>
      </x:c>
      <x:c r="B7" s="38" t="n">
        <x:f>COUNTA(A23:A37)</x:f>
        <x:v>15</x:v>
      </x:c>
    </x:row>
    <x:row r="8">
      <x:c r="A8" s="41" t="str">
        <x:v>Updated</x:v>
      </x:c>
      <x:c r="B8" s="38" t="str">
        <x:v>October 2026</x:v>
      </x:c>
    </x:row>
    <x:row r="10" ht="27" customHeight="1">
      <x:c r="A10" s="44" t="str">
        <x:v>HOW TO USE</x:v>
      </x:c>
      <x:c r="B10" s="44"/>
      <x:c r="C10" s="44"/>
      <x:c r="D10" s="44"/>
      <x:c r="E10" s="44"/>
      <x:c r="F10" s="44"/>
      <x:c r="G10" s="44"/>
    </x:row>
    <x:row r="11" ht="32" customHeight="1">
      <x:c r="A11" s="46" t="str">
        <x:v>1. Open ALL MUSCLES to filter by Muscle, Compartment, Flexor?, Extensor?, Stabilizer?, nerve, root or attachment.</x:v>
      </x:c>
      <x:c r="B11" s="46"/>
      <x:c r="C11" s="46"/>
      <x:c r="D11" s="46"/>
      <x:c r="E11" s="46"/>
      <x:c r="F11" s="46"/>
      <x:c r="G11" s="46"/>
    </x:row>
    <x:row r="12" ht="32" customHeight="1">
      <x:c r="A12" s="46" t="str">
        <x:v>2. Dedicated region tabs: Shoulder, Arm, Forearm, Hand, Hip, Thigh, Leg, Foot, Abdomen, Back/Neck, Thorax, Head, Throat, Eye/Ear, Pelvis.</x:v>
      </x:c>
      <x:c r="B12" s="46"/>
      <x:c r="C12" s="46"/>
      <x:c r="D12" s="46"/>
      <x:c r="E12" s="46"/>
      <x:c r="F12" s="46"/>
      <x:c r="G12" s="46"/>
    </x:row>
    <x:row r="13" ht="32" customHeight="1">
      <x:c r="A13" s="46" t="str">
        <x:v>3. Functional roles are NOT exclusive: e.g., a lumbrical flexes MCP but extends IP joints; stabilizers may also move joints.</x:v>
      </x:c>
      <x:c r="B13" s="46"/>
      <x:c r="C13" s="46"/>
      <x:c r="D13" s="46"/>
      <x:c r="E13" s="46"/>
      <x:c r="F13" s="46"/>
      <x:c r="G13" s="46"/>
    </x:row>
    <x:row r="14" ht="42" customHeight="1">
      <x:c r="A14" s="46" t="str">
        <x:v>4. Tendon/aponeurosis column documents attachments and courses. Ligament column distinguishes DIRECT attachment from NEARBY or retinacular relationships.</x:v>
      </x:c>
      <x:c r="B14" s="46"/>
      <x:c r="C14" s="46"/>
      <x:c r="D14" s="46"/>
      <x:c r="E14" s="46"/>
      <x:c r="F14" s="46"/>
      <x:c r="G14" s="46"/>
    </x:row>
    <x:row r="15" ht="32" customHeight="1">
      <x:c r="A15" s="46" t="str">
        <x:v>5. Roots are common teaching distributions; branching, segmental supply and anatomic variants vary. CN-innervated muscles have no limb-style spinal roots.</x:v>
      </x:c>
      <x:c r="B15" s="46"/>
      <x:c r="C15" s="46"/>
      <x:c r="D15" s="46"/>
      <x:c r="E15" s="46"/>
      <x:c r="F15" s="46"/>
      <x:c r="G15" s="46"/>
    </x:row>
    <x:row r="16" ht="42" customHeight="1">
      <x:c r="A16" s="46" t="str">
        <x:v>6. Fiber percentages are NOT physiological constants. Only cited study means/ranges are shown where supported; most remain unquantified.</x:v>
      </x:c>
      <x:c r="B16" s="46"/>
      <x:c r="C16" s="46"/>
      <x:c r="D16" s="46"/>
      <x:c r="E16" s="46"/>
      <x:c r="F16" s="46"/>
      <x:c r="G16" s="46"/>
    </x:row>
    <x:row r="17" ht="32" customHeight="1">
      <x:c r="A17" s="46" t="str">
        <x:v>7. Regional sources are anatomy starting points, not verification of every micro-fascicle; consult a standard atlas before procedural use.</x:v>
      </x:c>
      <x:c r="B17" s="46"/>
      <x:c r="C17" s="46"/>
      <x:c r="D17" s="46"/>
      <x:c r="E17" s="46"/>
      <x:c r="F17" s="46"/>
      <x:c r="G17" s="46"/>
    </x:row>
    <x:row r="18" ht="32" customHeight="1">
      <x:c r="A18" s="46" t="str">
        <x:v>8. A row may be a named muscle, separately innervated portion, muscle head, or individually localized segmental slip. Left/right equivalents are combined.</x:v>
      </x:c>
      <x:c r="B18" s="46"/>
      <x:c r="C18" s="46"/>
      <x:c r="D18" s="46"/>
      <x:c r="E18" s="46"/>
      <x:c r="F18" s="46"/>
      <x:c r="G18" s="46"/>
    </x:row>
    <x:row r="19" ht="42" customHeight="1">
      <x:c r="A19" s="46" t="str">
        <x:v>9. Does not include smooth muscle, cardiac muscle, every person-specific anatomical variant, or every microscopic muscular slip.</x:v>
      </x:c>
      <x:c r="B19" s="46"/>
      <x:c r="C19" s="46"/>
      <x:c r="D19" s="46"/>
      <x:c r="E19" s="46"/>
      <x:c r="F19" s="46"/>
      <x:c r="G19" s="46"/>
    </x:row>
    <x:row r="22" ht="43" customHeight="1">
      <x:c r="A22" s="17" t="str">
        <x:v>REGIONAL TAB</x:v>
      </x:c>
      <x:c r="B22" s="17" t="str">
        <x:v>ENTRIES</x:v>
      </x:c>
      <x:c r="C22" s="17" t="str">
        <x:v>FLEXOR ROWS</x:v>
      </x:c>
      <x:c r="D22" s="17" t="str">
        <x:v>EXTENSOR ROWS</x:v>
      </x:c>
      <x:c r="E22" s="17" t="str">
        <x:v>STABILIZER ROWS</x:v>
      </x:c>
      <x:c r="F22" s="17" t="str">
        <x:v>REGIONAL SOURCE</x:v>
      </x:c>
      <x:c r="G22" s="17" t="str">
        <x:v>REMARKS</x:v>
      </x:c>
    </x:row>
    <x:row r="23" ht="24" customHeight="1">
      <x:c r="A23" s="48" t="str">
        <x:v>Shoulder &amp; Scapula</x:v>
      </x:c>
      <x:c r="B23" s="48" t="n">
        <x:v>15</x:v>
      </x:c>
      <x:c r="C23" s="48" t="n">
        <x:v>2</x:v>
      </x:c>
      <x:c r="D23" s="48" t="n">
        <x:v>4</x:v>
      </x:c>
      <x:c r="E23" s="48" t="n">
        <x:v>12</x:v>
      </x:c>
      <x:c r="F23" s="48" t="str">
        <x:v>https://www.kenhub.com/en/library/anatomy/upper-limb-muscles-and-movements</x:v>
      </x:c>
      <x:c r="G23" s="48" t="str">
        <x:v>Regional anatomy</x:v>
      </x:c>
    </x:row>
    <x:row r="24" ht="24" customHeight="1">
      <x:c r="A24" t="str">
        <x:v>Arm</x:v>
      </x:c>
      <x:c r="B24" t="n">
        <x:v>9</x:v>
      </x:c>
      <x:c r="C24" t="n">
        <x:v>4</x:v>
      </x:c>
      <x:c r="D24" t="n">
        <x:v>4</x:v>
      </x:c>
      <x:c r="E24" t="n">
        <x:v>5</x:v>
      </x:c>
      <x:c r="F24" t="str">
        <x:v>https://www.kenhub.com/en/library/anatomy/upper-limb-muscles-and-movements</x:v>
      </x:c>
      <x:c r="G24" t="str">
        <x:v>Regional anatomy</x:v>
      </x:c>
    </x:row>
    <x:row r="25" ht="24" customHeight="1">
      <x:c r="A25" s="48" t="str">
        <x:v>Forearm</x:v>
      </x:c>
      <x:c r="B25" s="48" t="n">
        <x:v>24</x:v>
      </x:c>
      <x:c r="C25" s="48" t="n">
        <x:v>12</x:v>
      </x:c>
      <x:c r="D25" s="48" t="n">
        <x:v>9</x:v>
      </x:c>
      <x:c r="E25" s="48" t="n">
        <x:v>8</x:v>
      </x:c>
      <x:c r="F25" s="48" t="str">
        <x:v>https://www.kenhub.com/en/library/anatomy/upper-limb-muscles-and-movements</x:v>
      </x:c>
      <x:c r="G25" s="48" t="str">
        <x:v>Includes separately listed heads/slips</x:v>
      </x:c>
    </x:row>
    <x:row r="26" ht="24" customHeight="1">
      <x:c r="A26" t="str">
        <x:v>Hand</x:v>
      </x:c>
      <x:c r="B26" t="n">
        <x:v>21</x:v>
      </x:c>
      <x:c r="C26" t="n">
        <x:v>17</x:v>
      </x:c>
      <x:c r="D26" t="n">
        <x:v>11</x:v>
      </x:c>
      <x:c r="E26" t="n">
        <x:v>14</x:v>
      </x:c>
      <x:c r="F26" t="str">
        <x:v>https://www.kenhub.com/en/library/anatomy/upper-limb-muscles-and-movements</x:v>
      </x:c>
      <x:c r="G26" t="str">
        <x:v>Regional anatomy</x:v>
      </x:c>
    </x:row>
    <x:row r="27" ht="24" customHeight="1">
      <x:c r="A27" s="48" t="str">
        <x:v>Hip &amp; Gluteal</x:v>
      </x:c>
      <x:c r="B27" s="48" t="n">
        <x:v>13</x:v>
      </x:c>
      <x:c r="C27" s="48" t="n">
        <x:v>4</x:v>
      </x:c>
      <x:c r="D27" s="48" t="n">
        <x:v>1</x:v>
      </x:c>
      <x:c r="E27" s="48" t="n">
        <x:v>12</x:v>
      </x:c>
      <x:c r="F27" s="48" t="str">
        <x:v>https://www.kenhub.com/en/library/anatomy/lower-extremity-anatomy</x:v>
      </x:c>
      <x:c r="G27" s="48" t="str">
        <x:v>Regional anatomy</x:v>
      </x:c>
    </x:row>
    <x:row r="28" ht="24" customHeight="1">
      <x:c r="A28" t="str">
        <x:v>Thigh</x:v>
      </x:c>
      <x:c r="B28" t="n">
        <x:v>18</x:v>
      </x:c>
      <x:c r="C28" t="n">
        <x:v>12</x:v>
      </x:c>
      <x:c r="D28" t="n">
        <x:v>9</x:v>
      </x:c>
      <x:c r="E28" t="n">
        <x:v>12</x:v>
      </x:c>
      <x:c r="F28" t="str">
        <x:v>https://www.kenhub.com/en/library/anatomy/lower-extremity-anatomy</x:v>
      </x:c>
      <x:c r="G28" t="str">
        <x:v>Includes separately listed heads/slips</x:v>
      </x:c>
    </x:row>
    <x:row r="29" ht="24" customHeight="1">
      <x:c r="A29" s="48" t="str">
        <x:v>Leg</x:v>
      </x:c>
      <x:c r="B29" s="48" t="n">
        <x:v>14</x:v>
      </x:c>
      <x:c r="C29" s="48" t="n">
        <x:v>7</x:v>
      </x:c>
      <x:c r="D29" s="48" t="n">
        <x:v>2</x:v>
      </x:c>
      <x:c r="E29" s="48" t="n">
        <x:v>11</x:v>
      </x:c>
      <x:c r="F29" s="48" t="str">
        <x:v>https://www.kenhub.com/en/library/anatomy/leg-muscles</x:v>
      </x:c>
      <x:c r="G29" s="48" t="str">
        <x:v>Regional anatomy</x:v>
      </x:c>
    </x:row>
    <x:row r="30" ht="24" customHeight="1">
      <x:c r="A30" t="str">
        <x:v>Foot</x:v>
      </x:c>
      <x:c r="B30" t="n">
        <x:v>24</x:v>
      </x:c>
      <x:c r="C30" t="n">
        <x:v>19</x:v>
      </x:c>
      <x:c r="D30" t="n">
        <x:v>13</x:v>
      </x:c>
      <x:c r="E30" t="n">
        <x:v>15</x:v>
      </x:c>
      <x:c r="F30" t="str">
        <x:v>https://www.kenhub.com/en/library/anatomy/ankle-and-foot-anatomy</x:v>
      </x:c>
      <x:c r="G30" t="str">
        <x:v>Regional anatomy</x:v>
      </x:c>
    </x:row>
    <x:row r="31" ht="24" customHeight="1">
      <x:c r="A31" s="48" t="str">
        <x:v>Abdomen</x:v>
      </x:c>
      <x:c r="B31" s="48" t="n">
        <x:v>10</x:v>
      </x:c>
      <x:c r="C31" s="48" t="n">
        <x:v>3</x:v>
      </x:c>
      <x:c r="D31" s="48" t="n">
        <x:v>0</x:v>
      </x:c>
      <x:c r="E31" s="48" t="n">
        <x:v>10</x:v>
      </x:c>
      <x:c r="F31" s="48" t="str">
        <x:v>https://www.kenhub.com/en/library/anatomy/anterior-abdominal-wall</x:v>
      </x:c>
      <x:c r="G31" s="48" t="str">
        <x:v>Regional anatomy</x:v>
      </x:c>
    </x:row>
    <x:row r="32" ht="24" customHeight="1">
      <x:c r="A32" t="str">
        <x:v>Back &amp; Neck</x:v>
      </x:c>
      <x:c r="B32" t="n">
        <x:v>69</x:v>
      </x:c>
      <x:c r="C32" t="n">
        <x:v>9</x:v>
      </x:c>
      <x:c r="D32" t="n">
        <x:v>23</x:v>
      </x:c>
      <x:c r="E32" t="n">
        <x:v>68</x:v>
      </x:c>
      <x:c r="F32" t="str">
        <x:v>https://www.kenhub.com/en/library/anatomy/anatomy-of-the-back-spine-and-back-muscles</x:v>
      </x:c>
      <x:c r="G32" t="str">
        <x:v>Includes separately listed heads/slips</x:v>
      </x:c>
    </x:row>
    <x:row r="33" ht="24" customHeight="1">
      <x:c r="A33" s="48" t="str">
        <x:v>Thorax &amp; Breathing</x:v>
      </x:c>
      <x:c r="B33" s="48" t="n">
        <x:v>37</x:v>
      </x:c>
      <x:c r="C33" s="48" t="n">
        <x:v>0</x:v>
      </x:c>
      <x:c r="D33" s="48" t="n">
        <x:v>0</x:v>
      </x:c>
      <x:c r="E33" s="48" t="n">
        <x:v>37</x:v>
      </x:c>
      <x:c r="F33" s="48" t="str">
        <x:v>https://www.kenhub.com/en/library/anatomy/thorax</x:v>
      </x:c>
      <x:c r="G33" s="48" t="str">
        <x:v>Includes separately listed heads/slips</x:v>
      </x:c>
    </x:row>
    <x:row r="34" ht="24" customHeight="1">
      <x:c r="A34" t="str">
        <x:v>Head &amp; Face</x:v>
      </x:c>
      <x:c r="B34" t="n">
        <x:v>48</x:v>
      </x:c>
      <x:c r="C34" t="n">
        <x:v>0</x:v>
      </x:c>
      <x:c r="D34" t="n">
        <x:v>0</x:v>
      </x:c>
      <x:c r="E34" t="n">
        <x:v>16</x:v>
      </x:c>
      <x:c r="F34" t="str">
        <x:v>https://www.kenhub.com/en/library/anatomy/head-anatomy</x:v>
      </x:c>
      <x:c r="G34" t="str">
        <x:v>Regional anatomy</x:v>
      </x:c>
    </x:row>
    <x:row r="35" ht="24" customHeight="1">
      <x:c r="A35" s="48" t="str">
        <x:v>Pharynx &amp; Larynx</x:v>
      </x:c>
      <x:c r="B35" s="48" t="n">
        <x:v>20</x:v>
      </x:c>
      <x:c r="C35" s="48" t="n">
        <x:v>0</x:v>
      </x:c>
      <x:c r="D35" s="48" t="n">
        <x:v>0</x:v>
      </x:c>
      <x:c r="E35" s="48" t="n">
        <x:v>19</x:v>
      </x:c>
      <x:c r="F35" s="48" t="str">
        <x:v>https://www.kenhub.com/en/library/anatomy/muscles-and-walls-of-the-pharynx</x:v>
      </x:c>
      <x:c r="G35" s="48" t="str">
        <x:v>Regional anatomy</x:v>
      </x:c>
    </x:row>
    <x:row r="36" ht="24" customHeight="1">
      <x:c r="A36" t="str">
        <x:v>Eye &amp; Ear</x:v>
      </x:c>
      <x:c r="B36" t="n">
        <x:v>9</x:v>
      </x:c>
      <x:c r="C36" t="n">
        <x:v>0</x:v>
      </x:c>
      <x:c r="D36" t="n">
        <x:v>0</x:v>
      </x:c>
      <x:c r="E36" t="n">
        <x:v>2</x:v>
      </x:c>
      <x:c r="F36" t="str">
        <x:v>https://www.kenhub.com/en/library/anatomy/extraocular-muscles</x:v>
      </x:c>
      <x:c r="G36" t="str">
        <x:v>Regional anatomy</x:v>
      </x:c>
    </x:row>
    <x:row r="37" ht="24" customHeight="1">
      <x:c r="A37" s="48" t="str">
        <x:v>Pelvis &amp; Perineum</x:v>
      </x:c>
      <x:c r="B37" s="48" t="n">
        <x:v>18</x:v>
      </x:c>
      <x:c r="C37" s="48" t="n">
        <x:v>0</x:v>
      </x:c>
      <x:c r="D37" s="48" t="n">
        <x:v>0</x:v>
      </x:c>
      <x:c r="E37" s="48" t="n">
        <x:v>18</x:v>
      </x:c>
      <x:c r="F37" s="48" t="str">
        <x:v>https://www.kenhub.com/en/library/anatomy/muscles-of-the-pelvic-floor</x:v>
      </x:c>
      <x:c r="G37" s="48" t="str">
        <x:v>Regional anatomy</x:v>
      </x:c>
    </x:row>
    <x:row r="40" ht="27" customHeight="1">
      <x:c r="A40" s="44" t="str">
        <x:v>KEY RESEARCH &amp; REFERENCES</x:v>
      </x:c>
      <x:c r="B40" s="44"/>
      <x:c r="C40" s="44"/>
      <x:c r="D40" s="44"/>
      <x:c r="E40" s="44"/>
      <x:c r="F40" s="44"/>
      <x:c r="G40" s="44"/>
    </x:row>
    <x:row r="41" ht="24" customHeight="1">
      <x:c r="A41" t="str">
        <x:v>Regional anatomy charts (overview)</x:v>
      </x:c>
      <x:c r="D41" s="50" t="str">
        <x:v>https://www.kenhub.com/en/library/learning-strategies/muscle-anatomy-charts</x:v>
      </x:c>
      <x:c r="E41" s="50"/>
      <x:c r="F41" s="50"/>
      <x:c r="G41" s="50"/>
    </x:row>
    <x:row r="42" ht="24" customHeight="1">
      <x:c r="A42" t="str">
        <x:v>Upper-limb muscles and intrinsic hand</x:v>
      </x:c>
      <x:c r="D42" s="50" t="str">
        <x:v>https://www.kenhub.com/en/library/anatomy/upper-limb-muscles-and-movements</x:v>
      </x:c>
      <x:c r="E42" s="50"/>
      <x:c r="F42" s="50"/>
      <x:c r="G42" s="50"/>
    </x:row>
    <x:row r="43" ht="24" customHeight="1">
      <x:c r="A43" t="str">
        <x:v>Deep back and neck anatomy</x:v>
      </x:c>
      <x:c r="D43" s="50" t="str">
        <x:v>https://www.kenhub.com/en/library/anatomy/anatomy-of-the-back-spine-and-back-muscles</x:v>
      </x:c>
      <x:c r="E43" s="50"/>
      <x:c r="F43" s="50"/>
      <x:c r="G43" s="50"/>
    </x:row>
    <x:row r="44" ht="24" customHeight="1">
      <x:c r="A44" t="str">
        <x:v>Foot intrinsic muscles</x:v>
      </x:c>
      <x:c r="D44" s="50" t="str">
        <x:v>https://www.kenhub.com/en/library/anatomy/ankle-and-foot-anatomy</x:v>
      </x:c>
      <x:c r="E44" s="50"/>
      <x:c r="F44" s="50"/>
      <x:c r="G44" s="50"/>
    </x:row>
    <x:row r="45" ht="24" customHeight="1">
      <x:c r="A45" t="str">
        <x:v>Pelvic floor fiber type and innervation</x:v>
      </x:c>
      <x:c r="D45" s="50" t="str">
        <x:v>https://www.kenhub.com/en/library/anatomy/muscles-of-the-pelvic-floor</x:v>
      </x:c>
      <x:c r="E45" s="50"/>
      <x:c r="F45" s="50"/>
      <x:c r="G45" s="50"/>
    </x:row>
    <x:row r="46" ht="24" customHeight="1">
      <x:c r="A46" t="str">
        <x:v>Sample-to-sample fiber variation (2024)</x:v>
      </x:c>
      <x:c r="D46" s="50" t="str">
        <x:v>https://pubmed.ncbi.nlm.nih.gov/39359186/</x:v>
      </x:c>
      <x:c r="E46" s="50"/>
      <x:c r="F46" s="50"/>
      <x:c r="G46" s="50"/>
    </x:row>
    <x:row r="47" ht="24" customHeight="1">
      <x:c r="A47" t="str">
        <x:v>Slow/fast fiber variation between sites (1982)</x:v>
      </x:c>
      <x:c r="D47" s="50" t="str">
        <x:v>https://pubmed.ncbi.nlm.nih.gov/6218151/</x:v>
      </x:c>
      <x:c r="E47" s="50"/>
      <x:c r="F47" s="50"/>
      <x:c r="G47" s="50"/>
    </x:row>
    <x:row r="48" ht="24" customHeight="1">
      <x:c r="A48" t="str">
        <x:v>Muscle fiber-type pitfalls (2024)</x:v>
      </x:c>
      <x:c r="D48" s="50" t="str">
        <x:v>https://pmc.ncbi.nlm.nih.gov/articles/PMC11212792/</x:v>
      </x:c>
      <x:c r="E48" s="50"/>
      <x:c r="F48" s="50"/>
      <x:c r="G48" s="50"/>
    </x:row>
    <x:row r="49" ht="24" customHeight="1">
      <x:c r="A49" t="str">
        <x:v>Human lumbar multifidus/longissimus biopsies (1987)</x:v>
      </x:c>
      <x:c r="D49" s="50" t="str">
        <x:v>https://pubmed.ncbi.nlm.nih.gov/2960128/</x:v>
      </x:c>
      <x:c r="E49" s="50"/>
      <x:c r="F49" s="50"/>
      <x:c r="G49" s="50"/>
    </x:row>
    <x:row r="50" ht="24" customHeight="1">
      <x:c r="A50" t="str">
        <x:v>Special extraocular myosin isoforms</x:v>
      </x:c>
      <x:c r="D50" s="50" t="str">
        <x:v>https://pmc.ncbi.nlm.nih.gov/articles/PMC3779741/</x:v>
      </x:c>
      <x:c r="E50" s="50"/>
      <x:c r="F50" s="50"/>
      <x:c r="G50" s="50"/>
    </x:row>
  </x:sheetData>
  <x:mergeCells>
    <x:mergeCell ref="A1:G2"/>
    <x:mergeCell ref="A4:G4"/>
    <x:mergeCell ref="A10:G10"/>
    <x:mergeCell ref="A11:G11"/>
    <x:mergeCell ref="A12:G12"/>
    <x:mergeCell ref="A13:G13"/>
    <x:mergeCell ref="A14:G14"/>
    <x:mergeCell ref="A15:G15"/>
    <x:mergeCell ref="A16:G16"/>
    <x:mergeCell ref="A17:G17"/>
    <x:mergeCell ref="A18:G18"/>
    <x:mergeCell ref="A19:G19"/>
    <x:mergeCell ref="A40:G40"/>
    <x:mergeCell ref="A41:C41"/>
    <x:mergeCell ref="D41:G41"/>
    <x:mergeCell ref="A42:C42"/>
    <x:mergeCell ref="D42:G42"/>
    <x:mergeCell ref="A43:C43"/>
    <x:mergeCell ref="D43:G43"/>
    <x:mergeCell ref="A44:C44"/>
    <x:mergeCell ref="D44:G44"/>
    <x:mergeCell ref="A45:C45"/>
    <x:mergeCell ref="D45:G45"/>
    <x:mergeCell ref="A46:C46"/>
    <x:mergeCell ref="D46:G46"/>
    <x:mergeCell ref="A47:C47"/>
    <x:mergeCell ref="D47:G47"/>
    <x:mergeCell ref="A48:C48"/>
    <x:mergeCell ref="D48:G48"/>
    <x:mergeCell ref="A49:C49"/>
    <x:mergeCell ref="D49:G49"/>
    <x:mergeCell ref="A50:C50"/>
    <x:mergeCell ref="D50:G5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COMPLETE SKELETAL-MUSCLE REFERENCE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349 muscle heads, named muscles and segmental slips | filter by role, region tab, nerve/root or attachments | bilateral instances listed once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Pectoralis major</x:v>
      </x:c>
      <x:c r="B4" s="24" t="str">
        <x:v>Anterior axioappendicular</x:v>
      </x:c>
      <x:c r="C4" s="24" t="str">
        <x:v>Flexor; Extensor</x:v>
      </x:c>
      <x:c r="D4" s="28" t="str">
        <x:v>Yes</x:v>
      </x:c>
      <x:c r="E4" s="28" t="str">
        <x:v>Yes</x:v>
      </x:c>
      <x:c r="F4" s="28" t="str">
        <x:v>No</x:v>
      </x:c>
      <x:c r="G4" s="24" t="str">
        <x:v>Adducts/medially rotates arm; clavicular head flexes; sternocostal head extends from flexed position</x:v>
      </x:c>
      <x:c r="H4" s="24" t="str">
        <x:v>Medial clavicle; sternum; upper costal cartilages; external oblique aponeurosis</x:v>
      </x:c>
      <x:c r="I4" s="24" t="str">
        <x:v>Lateral lip of intertubercular sulcus humerus</x:v>
      </x:c>
      <x:c r="J4" s="24" t="str">
        <x:v>Medial and lateral pectoral nerves</x:v>
      </x:c>
      <x:c r="K4" s="24" t="str">
        <x:v>C5-T1</x:v>
      </x:c>
      <x:c r="L4" s="24" t="str">
        <x:v>Bilaminar pectoralis major tendon</x:v>
      </x:c>
      <x:c r="M4" s="24" t="str">
        <x:v>Costoclavicular ligament nearby; no direct ligament insertion</x:v>
      </x:c>
      <x:c r="N4" s="30" t="str">
        <x:v>Not established</x:v>
      </x:c>
      <x:c r="O4" s="30" t="str">
        <x:v>Not established</x:v>
      </x:c>
      <x:c r="P4" s="30" t="str">
        <x:v>Mixed Type I and Type II; ratio unverified</x:v>
      </x:c>
      <x:c r="Q4" s="24" t="str">
        <x:v>Published biopsies insufficient to state a reliable per-muscle percentage; no inference from function</x:v>
      </x:c>
      <x:c r="R4" s="32" t="str">
        <x:v>https://www.kenhub.com/en/library/anatomy/upper-limb-muscles-and-movements</x:v>
      </x:c>
      <x:c r="S4" s="32" t="str">
        <x:v>https://pubmed.ncbi.nlm.nih.gov/39359186/</x:v>
      </x:c>
    </x:row>
    <x:row r="5" ht="53" customHeight="1">
      <x:c r="A5" s="24" t="str">
        <x:v>Pectoralis minor</x:v>
      </x:c>
      <x:c r="B5" s="24" t="str">
        <x:v>Anterior axioappendicular</x:v>
      </x:c>
      <x:c r="C5" s="24" t="str">
        <x:v>Stabilizer</x:v>
      </x:c>
      <x:c r="D5" s="28" t="str">
        <x:v>No</x:v>
      </x:c>
      <x:c r="E5" s="28" t="str">
        <x:v>No</x:v>
      </x:c>
      <x:c r="F5" s="28" t="str">
        <x:v>Yes</x:v>
      </x:c>
      <x:c r="G5" s="24" t="str">
        <x:v>Protracts/depresses/stabilizes scapula; accessory inspiration</x:v>
      </x:c>
      <x:c r="H5" s="24" t="str">
        <x:v>Ribs 3-5 near costal cartilages</x:v>
      </x:c>
      <x:c r="I5" s="24" t="str">
        <x:v>Medial border/superior surface coracoid process</x:v>
      </x:c>
      <x:c r="J5" s="24" t="str">
        <x:v>Medial pectoral nerve</x:v>
      </x:c>
      <x:c r="K5" s="24" t="str">
        <x:v>C8-T1</x:v>
      </x:c>
      <x:c r="L5" s="24" t="str">
        <x:v>Pectoralis minor insertion tendon</x:v>
      </x:c>
      <x:c r="M5" s="24" t="str">
        <x:v>Coracoacromial/coracoclavicular ligaments share coracoid region, no direct connection</x:v>
      </x:c>
      <x:c r="N5" s="30" t="str">
        <x:v>Not established</x:v>
      </x:c>
      <x:c r="O5" s="30" t="str">
        <x:v>Not established</x:v>
      </x:c>
      <x:c r="P5" s="30" t="str">
        <x:v>Mixed Type I and Type II; ratio unverified</x:v>
      </x:c>
      <x:c r="Q5" s="24" t="str">
        <x:v>Published biopsies insufficient to state a reliable per-muscle percentage; no inference from function</x:v>
      </x:c>
      <x:c r="R5" s="32" t="str">
        <x:v>https://www.kenhub.com/en/library/anatomy/upper-limb-muscles-and-movements</x:v>
      </x:c>
      <x:c r="S5" s="32" t="str">
        <x:v>https://pubmed.ncbi.nlm.nih.gov/39359186/</x:v>
      </x:c>
    </x:row>
    <x:row r="6" ht="53" customHeight="1">
      <x:c r="A6" s="24" t="str">
        <x:v>Subclavius</x:v>
      </x:c>
      <x:c r="B6" s="24" t="str">
        <x:v>Infraclavicular</x:v>
      </x:c>
      <x:c r="C6" s="24" t="str">
        <x:v>Stabilizer</x:v>
      </x:c>
      <x:c r="D6" s="28" t="str">
        <x:v>No</x:v>
      </x:c>
      <x:c r="E6" s="28" t="str">
        <x:v>No</x:v>
      </x:c>
      <x:c r="F6" s="28" t="str">
        <x:v>Yes</x:v>
      </x:c>
      <x:c r="G6" s="24" t="str">
        <x:v>Depresses and anchors clavicle; stabilizes sternoclavicular joint</x:v>
      </x:c>
      <x:c r="H6" s="24" t="str">
        <x:v>Junction of rib 1 and costal cartilage</x:v>
      </x:c>
      <x:c r="I6" s="24" t="str">
        <x:v>Groove on inferior midclavicle</x:v>
      </x:c>
      <x:c r="J6" s="24" t="str">
        <x:v>Nerve to subclavius</x:v>
      </x:c>
      <x:c r="K6" s="24" t="str">
        <x:v>C5-C6</x:v>
      </x:c>
      <x:c r="L6" s="24" t="str">
        <x:v>Short insertion tendon to subclavian groove</x:v>
      </x:c>
      <x:c r="M6" s="24" t="str">
        <x:v>Costoclavicular ligament adjacent to attachment</x:v>
      </x:c>
      <x:c r="N6" s="30" t="str">
        <x:v>Not established</x:v>
      </x:c>
      <x:c r="O6" s="30" t="str">
        <x:v>Not established</x:v>
      </x:c>
      <x:c r="P6" s="30" t="str">
        <x:v>Mixed Type I and Type II; ratio unverified</x:v>
      </x:c>
      <x:c r="Q6" s="24" t="str">
        <x:v>Published biopsies insufficient to state a reliable per-muscle percentage; no inference from function</x:v>
      </x:c>
      <x:c r="R6" s="32" t="str">
        <x:v>https://www.kenhub.com/en/library/anatomy/upper-limb-muscles-and-movements</x:v>
      </x:c>
      <x:c r="S6" s="32" t="str">
        <x:v>https://pubmed.ncbi.nlm.nih.gov/39359186/</x:v>
      </x:c>
    </x:row>
    <x:row r="7" ht="53" customHeight="1">
      <x:c r="A7" s="24" t="str">
        <x:v>Teres major</x:v>
      </x:c>
      <x:c r="B7" s="24" t="str">
        <x:v>Posterior axillary fold</x:v>
      </x:c>
      <x:c r="C7" s="24" t="str">
        <x:v>Extensor</x:v>
      </x:c>
      <x:c r="D7" s="28" t="str">
        <x:v>No</x:v>
      </x:c>
      <x:c r="E7" s="28" t="str">
        <x:v>Yes</x:v>
      </x:c>
      <x:c r="F7" s="28" t="str">
        <x:v>No</x:v>
      </x:c>
      <x:c r="G7" s="24" t="str">
        <x:v>Adducts, internally rotates and extends arm</x:v>
      </x:c>
      <x:c r="H7" s="24" t="str">
        <x:v>Dorsal inferior angle/lateral border of scapula</x:v>
      </x:c>
      <x:c r="I7" s="24" t="str">
        <x:v>Medial lip of intertubercular sulcus</x:v>
      </x:c>
      <x:c r="J7" s="24" t="str">
        <x:v>Lower subscapular nerve</x:v>
      </x:c>
      <x:c r="K7" s="24" t="str">
        <x:v>C5-C6</x:v>
      </x:c>
      <x:c r="L7" s="24" t="str">
        <x:v>Teres major insertion tendon</x:v>
      </x:c>
      <x:c r="M7" s="24" t="str">
        <x:v>No specific direct ligament attachment</x:v>
      </x:c>
      <x:c r="N7" s="30" t="str">
        <x:v>Not established</x:v>
      </x:c>
      <x:c r="O7" s="30" t="str">
        <x:v>Not established</x:v>
      </x:c>
      <x:c r="P7" s="30" t="str">
        <x:v>Mixed Type I and Type II; ratio unverified</x:v>
      </x:c>
      <x:c r="Q7" s="24" t="str">
        <x:v>Published biopsies insufficient to state a reliable per-muscle percentage; no inference from function</x:v>
      </x:c>
      <x:c r="R7" s="32" t="str">
        <x:v>https://www.kenhub.com/en/library/anatomy/upper-limb-muscles-and-movements</x:v>
      </x:c>
      <x:c r="S7" s="32" t="str">
        <x:v>https://pubmed.ncbi.nlm.nih.gov/39359186/</x:v>
      </x:c>
    </x:row>
    <x:row r="8" ht="53" customHeight="1">
      <x:c r="A8" s="24" t="str">
        <x:v>Latissimus dorsi</x:v>
      </x:c>
      <x:c r="B8" s="24" t="str">
        <x:v>Posterior axioappendicular</x:v>
      </x:c>
      <x:c r="C8" s="24" t="str">
        <x:v>Extensor</x:v>
      </x:c>
      <x:c r="D8" s="28" t="str">
        <x:v>No</x:v>
      </x:c>
      <x:c r="E8" s="28" t="str">
        <x:v>Yes</x:v>
      </x:c>
      <x:c r="F8" s="28" t="str">
        <x:v>No</x:v>
      </x:c>
      <x:c r="G8" s="24" t="str">
        <x:v>Extends, adducts, internally rotates arm</x:v>
      </x:c>
      <x:c r="H8" s="24" t="str">
        <x:v>T7-T12 spinous processes; thoracolumbar fascia; iliac crest; lower ribs</x:v>
      </x:c>
      <x:c r="I8" s="24" t="str">
        <x:v>Floor of intertubercular sulcus humerus</x:v>
      </x:c>
      <x:c r="J8" s="24" t="str">
        <x:v>Thoracodorsal nerve</x:v>
      </x:c>
      <x:c r="K8" s="24" t="str">
        <x:v>C6-C8</x:v>
      </x:c>
      <x:c r="L8" s="24" t="str">
        <x:v>Flattened latissimus dorsi tendon</x:v>
      </x:c>
      <x:c r="M8" s="24" t="str">
        <x:v>Thoracolumbar fascia is fascia not ligament</x:v>
      </x:c>
      <x:c r="N8" s="30" t="str">
        <x:v>Not established</x:v>
      </x:c>
      <x:c r="O8" s="30" t="str">
        <x:v>Not established</x:v>
      </x:c>
      <x:c r="P8" s="30" t="str">
        <x:v>Mixed Type I and Type II; ratio unverified</x:v>
      </x:c>
      <x:c r="Q8" s="24" t="str">
        <x:v>Published biopsies insufficient to state a reliable per-muscle percentage; no inference from function</x:v>
      </x:c>
      <x:c r="R8" s="32" t="str">
        <x:v>https://www.kenhub.com/en/library/anatomy/upper-limb-muscles-and-movements</x:v>
      </x:c>
      <x:c r="S8" s="32" t="str">
        <x:v>https://pubmed.ncbi.nlm.nih.gov/39359186/</x:v>
      </x:c>
    </x:row>
    <x:row r="9" ht="53" customHeight="1">
      <x:c r="A9" s="24" t="str">
        <x:v>Infraspinatus</x:v>
      </x:c>
      <x:c r="B9" s="24" t="str">
        <x:v>Rotator cuff</x:v>
      </x:c>
      <x:c r="C9" s="24" t="str">
        <x:v>Stabilizer</x:v>
      </x:c>
      <x:c r="D9" s="28" t="str">
        <x:v>No</x:v>
      </x:c>
      <x:c r="E9" s="28" t="str">
        <x:v>No</x:v>
      </x:c>
      <x:c r="F9" s="28" t="str">
        <x:v>Yes</x:v>
      </x:c>
      <x:c r="G9" s="24" t="str">
        <x:v>External rotation of humerus; shoulder stabilization</x:v>
      </x:c>
      <x:c r="H9" s="24" t="str">
        <x:v>Infraspinous fossa of scapula</x:v>
      </x:c>
      <x:c r="I9" s="24" t="str">
        <x:v>Middle facet of greater tubercle of humerus</x:v>
      </x:c>
      <x:c r="J9" s="24" t="str">
        <x:v>Suprascapular nerve</x:v>
      </x:c>
      <x:c r="K9" s="24" t="str">
        <x:v>C5-C6</x:v>
      </x:c>
      <x:c r="L9" s="24" t="str">
        <x:v>Infraspinatus tendon blends with capsule</x:v>
      </x:c>
      <x:c r="M9" s="24" t="str">
        <x:v>Capsular ligaments of glenohumeral joint, adjacent</x:v>
      </x:c>
      <x:c r="N9" s="30" t="str">
        <x:v>Not established</x:v>
      </x:c>
      <x:c r="O9" s="30" t="str">
        <x:v>Not established</x:v>
      </x:c>
      <x:c r="P9" s="30" t="str">
        <x:v>Mixed Type I and Type II; ratio unverified</x:v>
      </x:c>
      <x:c r="Q9" s="24" t="str">
        <x:v>Published biopsies insufficient to state a reliable per-muscle percentage; no inference from function</x:v>
      </x:c>
      <x:c r="R9" s="32" t="str">
        <x:v>https://www.kenhub.com/en/library/anatomy/upper-limb-muscles-and-movements</x:v>
      </x:c>
      <x:c r="S9" s="32" t="str">
        <x:v>https://pubmed.ncbi.nlm.nih.gov/39359186/</x:v>
      </x:c>
    </x:row>
    <x:row r="10" ht="53" customHeight="1">
      <x:c r="A10" s="24" t="str">
        <x:v>Subscapularis</x:v>
      </x:c>
      <x:c r="B10" s="24" t="str">
        <x:v>Rotator cuff</x:v>
      </x:c>
      <x:c r="C10" s="24" t="str">
        <x:v>Stabilizer</x:v>
      </x:c>
      <x:c r="D10" s="28" t="str">
        <x:v>No</x:v>
      </x:c>
      <x:c r="E10" s="28" t="str">
        <x:v>No</x:v>
      </x:c>
      <x:c r="F10" s="28" t="str">
        <x:v>Yes</x:v>
      </x:c>
      <x:c r="G10" s="24" t="str">
        <x:v>Internal rotation; adduction; shoulder stabilization</x:v>
      </x:c>
      <x:c r="H10" s="24" t="str">
        <x:v>Subscapular fossa of scapula</x:v>
      </x:c>
      <x:c r="I10" s="24" t="str">
        <x:v>Lesser tubercle and anterior humeral capsule</x:v>
      </x:c>
      <x:c r="J10" s="24" t="str">
        <x:v>Upper and lower subscapular nerves</x:v>
      </x:c>
      <x:c r="K10" s="24" t="str">
        <x:v>C5-C7</x:v>
      </x:c>
      <x:c r="L10" s="24" t="str">
        <x:v>Subscapularis tendon</x:v>
      </x:c>
      <x:c r="M10" s="24" t="str">
        <x:v>Transverse humeral ligament nearby; shoulder capsule blends with tendon</x:v>
      </x:c>
      <x:c r="N10" s="30" t="str">
        <x:v>Not established</x:v>
      </x:c>
      <x:c r="O10" s="30" t="str">
        <x:v>Not established</x:v>
      </x:c>
      <x:c r="P10" s="30" t="str">
        <x:v>Mixed Type I and Type II; ratio unverified</x:v>
      </x:c>
      <x:c r="Q10" s="24" t="str">
        <x:v>Published biopsies insufficient to state a reliable per-muscle percentage; no inference from function</x:v>
      </x:c>
      <x:c r="R10" s="32" t="str">
        <x:v>https://www.kenhub.com/en/library/anatomy/upper-limb-muscles-and-movements</x:v>
      </x:c>
      <x:c r="S10" s="32" t="str">
        <x:v>https://pubmed.ncbi.nlm.nih.gov/39359186/</x:v>
      </x:c>
    </x:row>
    <x:row r="11" ht="53" customHeight="1">
      <x:c r="A11" s="24" t="str">
        <x:v>Supraspinatus</x:v>
      </x:c>
      <x:c r="B11" s="24" t="str">
        <x:v>Rotator cuff</x:v>
      </x:c>
      <x:c r="C11" s="24" t="str">
        <x:v>Stabilizer</x:v>
      </x:c>
      <x:c r="D11" s="28" t="str">
        <x:v>No</x:v>
      </x:c>
      <x:c r="E11" s="28" t="str">
        <x:v>No</x:v>
      </x:c>
      <x:c r="F11" s="28" t="str">
        <x:v>Yes</x:v>
      </x:c>
      <x:c r="G11" s="24" t="str">
        <x:v>Initiates abduction; stabilizes glenohumeral joint</x:v>
      </x:c>
      <x:c r="H11" s="24" t="str">
        <x:v>Supraspinous fossa of scapula</x:v>
      </x:c>
      <x:c r="I11" s="24" t="str">
        <x:v>Superior facet of greater tubercle of humerus</x:v>
      </x:c>
      <x:c r="J11" s="24" t="str">
        <x:v>Suprascapular nerve</x:v>
      </x:c>
      <x:c r="K11" s="24" t="str">
        <x:v>C5-C6</x:v>
      </x:c>
      <x:c r="L11" s="24" t="str">
        <x:v>Supraspinatus tendon blends with shoulder capsule</x:v>
      </x:c>
      <x:c r="M11" s="24" t="str">
        <x:v>Coracoacromial arch overlies tendon, not direct attachment</x:v>
      </x:c>
      <x:c r="N11" s="30" t="str">
        <x:v>Not established</x:v>
      </x:c>
      <x:c r="O11" s="30" t="str">
        <x:v>Not established</x:v>
      </x:c>
      <x:c r="P11" s="30" t="str">
        <x:v>Mixed Type I and Type II; ratio unverified</x:v>
      </x:c>
      <x:c r="Q11" s="24" t="str">
        <x:v>Published biopsies insufficient to state a reliable per-muscle percentage; no inference from function</x:v>
      </x:c>
      <x:c r="R11" s="32" t="str">
        <x:v>https://www.kenhub.com/en/library/anatomy/upper-limb-muscles-and-movements</x:v>
      </x:c>
      <x:c r="S11" s="32" t="str">
        <x:v>https://pubmed.ncbi.nlm.nih.gov/39359186/</x:v>
      </x:c>
    </x:row>
    <x:row r="12" ht="53" customHeight="1">
      <x:c r="A12" s="24" t="str">
        <x:v>Teres minor</x:v>
      </x:c>
      <x:c r="B12" s="24" t="str">
        <x:v>Rotator cuff</x:v>
      </x:c>
      <x:c r="C12" s="24" t="str">
        <x:v>Stabilizer</x:v>
      </x:c>
      <x:c r="D12" s="28" t="str">
        <x:v>No</x:v>
      </x:c>
      <x:c r="E12" s="28" t="str">
        <x:v>No</x:v>
      </x:c>
      <x:c r="F12" s="28" t="str">
        <x:v>Yes</x:v>
      </x:c>
      <x:c r="G12" s="24" t="str">
        <x:v>External rotation; weak adduction; shoulder stabilization</x:v>
      </x:c>
      <x:c r="H12" s="24" t="str">
        <x:v>Upper two-thirds lateral border of scapula</x:v>
      </x:c>
      <x:c r="I12" s="24" t="str">
        <x:v>Inferior facet of greater tubercle of humerus</x:v>
      </x:c>
      <x:c r="J12" s="24" t="str">
        <x:v>Axillary nerve</x:v>
      </x:c>
      <x:c r="K12" s="24" t="str">
        <x:v>C5-C6</x:v>
      </x:c>
      <x:c r="L12" s="24" t="str">
        <x:v>Teres minor tendon blends with capsule</x:v>
      </x:c>
      <x:c r="M12" s="24" t="str">
        <x:v>Glenohumeral capsular ligament complex, adjacent</x:v>
      </x:c>
      <x:c r="N12" s="30" t="str">
        <x:v>Not established</x:v>
      </x:c>
      <x:c r="O12" s="30" t="str">
        <x:v>Not established</x:v>
      </x:c>
      <x:c r="P12" s="30" t="str">
        <x:v>Mixed Type I and Type II; ratio unverified</x:v>
      </x:c>
      <x:c r="Q12" s="24" t="str">
        <x:v>Published biopsies insufficient to state a reliable per-muscle percentage; no inference from function</x:v>
      </x:c>
      <x:c r="R12" s="32" t="str">
        <x:v>https://www.kenhub.com/en/library/anatomy/upper-limb-muscles-and-movements</x:v>
      </x:c>
      <x:c r="S12" s="32" t="str">
        <x:v>https://pubmed.ncbi.nlm.nih.gov/39359186/</x:v>
      </x:c>
    </x:row>
    <x:row r="13" ht="53" customHeight="1">
      <x:c r="A13" s="24" t="str">
        <x:v>Levator scapulae</x:v>
      </x:c>
      <x:c r="B13" s="24" t="str">
        <x:v>Shoulder girdle</x:v>
      </x:c>
      <x:c r="C13" s="24" t="str">
        <x:v>Stabilizer</x:v>
      </x:c>
      <x:c r="D13" s="28" t="str">
        <x:v>No</x:v>
      </x:c>
      <x:c r="E13" s="28" t="str">
        <x:v>No</x:v>
      </x:c>
      <x:c r="F13" s="28" t="str">
        <x:v>Yes</x:v>
      </x:c>
      <x:c r="G13" s="24" t="str">
        <x:v>Elevates/downwardly rotates scapula; neck lateral flexion</x:v>
      </x:c>
      <x:c r="H13" s="24" t="str">
        <x:v>Posterior tubercles transverse processes C1-C4</x:v>
      </x:c>
      <x:c r="I13" s="24" t="str">
        <x:v>Superior medial border of scapula</x:v>
      </x:c>
      <x:c r="J13" s="24" t="str">
        <x:v>Dorsal scapular nerve; cervical plexus branches</x:v>
      </x:c>
      <x:c r="K13" s="24" t="str">
        <x:v>C3-C5</x:v>
      </x:c>
      <x:c r="L13" s="24" t="str">
        <x:v>Short aponeurotic scapular attachment</x:v>
      </x:c>
      <x:c r="M13" s="24" t="str">
        <x:v>Nuchal ligament adjacent, not primary attachment</x:v>
      </x:c>
      <x:c r="N13" s="30" t="str">
        <x:v>Not established</x:v>
      </x:c>
      <x:c r="O13" s="30" t="str">
        <x:v>Not established</x:v>
      </x:c>
      <x:c r="P13" s="30" t="str">
        <x:v>Mixed Type I and Type II; ratio unverified</x:v>
      </x:c>
      <x:c r="Q13" s="24" t="str">
        <x:v>Published biopsies insufficient to state a reliable per-muscle percentage; no inference from function</x:v>
      </x:c>
      <x:c r="R13" s="32" t="str">
        <x:v>https://www.kenhub.com/en/library/anatomy/upper-limb-muscles-and-movements</x:v>
      </x:c>
      <x:c r="S13" s="32" t="str">
        <x:v>https://pubmed.ncbi.nlm.nih.gov/39359186/</x:v>
      </x:c>
    </x:row>
    <x:row r="14" ht="53" customHeight="1">
      <x:c r="A14" s="24" t="str">
        <x:v>Rhomboid major</x:v>
      </x:c>
      <x:c r="B14" s="24" t="str">
        <x:v>Shoulder girdle</x:v>
      </x:c>
      <x:c r="C14" s="24" t="str">
        <x:v>Stabilizer</x:v>
      </x:c>
      <x:c r="D14" s="28" t="str">
        <x:v>No</x:v>
      </x:c>
      <x:c r="E14" s="28" t="str">
        <x:v>No</x:v>
      </x:c>
      <x:c r="F14" s="28" t="str">
        <x:v>Yes</x:v>
      </x:c>
      <x:c r="G14" s="24" t="str">
        <x:v>Retracts and downwardly rotates scapula; fixation</x:v>
      </x:c>
      <x:c r="H14" s="24" t="str">
        <x:v>T2-T5 spinous processes</x:v>
      </x:c>
      <x:c r="I14" s="24" t="str">
        <x:v>Medial border scapula from spine to inferior angle</x:v>
      </x:c>
      <x:c r="J14" s="24" t="str">
        <x:v>Dorsal scapular nerve</x:v>
      </x:c>
      <x:c r="K14" s="24" t="str">
        <x:v>C4-C5</x:v>
      </x:c>
      <x:c r="L14" s="24" t="str">
        <x:v>Fibrous scapular insertion</x:v>
      </x:c>
      <x:c r="M14" s="24" t="str">
        <x:v>No specific direct ligament attachment</x:v>
      </x:c>
      <x:c r="N14" s="30" t="str">
        <x:v>Not established</x:v>
      </x:c>
      <x:c r="O14" s="30" t="str">
        <x:v>Not established</x:v>
      </x:c>
      <x:c r="P14" s="30" t="str">
        <x:v>Mixed Type I and Type II; ratio unverified</x:v>
      </x:c>
      <x:c r="Q14" s="24" t="str">
        <x:v>Published biopsies insufficient to state a reliable per-muscle percentage; no inference from function</x:v>
      </x:c>
      <x:c r="R14" s="32" t="str">
        <x:v>https://www.kenhub.com/en/library/anatomy/upper-limb-muscles-and-movements</x:v>
      </x:c>
      <x:c r="S14" s="32" t="str">
        <x:v>https://pubmed.ncbi.nlm.nih.gov/39359186/</x:v>
      </x:c>
    </x:row>
    <x:row r="15" ht="53" customHeight="1">
      <x:c r="A15" s="24" t="str">
        <x:v>Rhomboid minor</x:v>
      </x:c>
      <x:c r="B15" s="24" t="str">
        <x:v>Shoulder girdle</x:v>
      </x:c>
      <x:c r="C15" s="24" t="str">
        <x:v>Stabilizer</x:v>
      </x:c>
      <x:c r="D15" s="28" t="str">
        <x:v>No</x:v>
      </x:c>
      <x:c r="E15" s="28" t="str">
        <x:v>No</x:v>
      </x:c>
      <x:c r="F15" s="28" t="str">
        <x:v>Yes</x:v>
      </x:c>
      <x:c r="G15" s="24" t="str">
        <x:v>Retracts, elevates, downwardly rotates scapula</x:v>
      </x:c>
      <x:c r="H15" s="24" t="str">
        <x:v>Nuchal ligament; C7-T1 spinous processes</x:v>
      </x:c>
      <x:c r="I15" s="24" t="str">
        <x:v>Medial border scapula at root of spine</x:v>
      </x:c>
      <x:c r="J15" s="24" t="str">
        <x:v>Dorsal scapular nerve</x:v>
      </x:c>
      <x:c r="K15" s="24" t="str">
        <x:v>C4-C5</x:v>
      </x:c>
      <x:c r="L15" s="24" t="str">
        <x:v>Fibrous insertion slips</x:v>
      </x:c>
      <x:c r="M15" s="24" t="str">
        <x:v>Direct origin from nuchal ligament</x:v>
      </x:c>
      <x:c r="N15" s="30" t="str">
        <x:v>Not established</x:v>
      </x:c>
      <x:c r="O15" s="30" t="str">
        <x:v>Not established</x:v>
      </x:c>
      <x:c r="P15" s="30" t="str">
        <x:v>Mixed Type I and Type II; ratio unverified</x:v>
      </x:c>
      <x:c r="Q15" s="24" t="str">
        <x:v>Published biopsies insufficient to state a reliable per-muscle percentage; no inference from function</x:v>
      </x:c>
      <x:c r="R15" s="32" t="str">
        <x:v>https://www.kenhub.com/en/library/anatomy/upper-limb-muscles-and-movements</x:v>
      </x:c>
      <x:c r="S15" s="32" t="str">
        <x:v>https://pubmed.ncbi.nlm.nih.gov/39359186/</x:v>
      </x:c>
    </x:row>
    <x:row r="16" ht="53" customHeight="1">
      <x:c r="A16" s="24" t="str">
        <x:v>Deltoid</x:v>
      </x:c>
      <x:c r="B16" s="24" t="str">
        <x:v>Shoulder lateral</x:v>
      </x:c>
      <x:c r="C16" s="24" t="str">
        <x:v>Flexor; Extensor; Stabilizer</x:v>
      </x:c>
      <x:c r="D16" s="28" t="str">
        <x:v>Yes</x:v>
      </x:c>
      <x:c r="E16" s="28" t="str">
        <x:v>Yes</x:v>
      </x:c>
      <x:c r="F16" s="28" t="str">
        <x:v>Yes</x:v>
      </x:c>
      <x:c r="G16" s="24" t="str">
        <x:v>Abducts arm; anterior fibers flex/medially rotate; posterior fibers extend/laterally rotate</x:v>
      </x:c>
      <x:c r="H16" s="24" t="str">
        <x:v>Lateral third clavicle; acromion; scapular spine</x:v>
      </x:c>
      <x:c r="I16" s="24" t="str">
        <x:v>Deltoid tuberosity of humerus</x:v>
      </x:c>
      <x:c r="J16" s="24" t="str">
        <x:v>Axillary nerve</x:v>
      </x:c>
      <x:c r="K16" s="24" t="str">
        <x:v>C5-C6</x:v>
      </x:c>
      <x:c r="L16" s="24" t="str">
        <x:v>Deltoid insertion tendon</x:v>
      </x:c>
      <x:c r="M16" s="24" t="str">
        <x:v>Coracoacromial ligament overlies cuff, not direct attachment</x:v>
      </x:c>
      <x:c r="N16" s="30" t="str">
        <x:v>Not established</x:v>
      </x:c>
      <x:c r="O16" s="30" t="str">
        <x:v>Not established</x:v>
      </x:c>
      <x:c r="P16" s="30" t="str">
        <x:v>Mixed Type I and Type II; ratio unverified</x:v>
      </x:c>
      <x:c r="Q16" s="24" t="str">
        <x:v>Published biopsies insufficient to state a reliable per-muscle percentage; no inference from function</x:v>
      </x:c>
      <x:c r="R16" s="32" t="str">
        <x:v>https://www.kenhub.com/en/library/anatomy/upper-limb-muscles-and-movements</x:v>
      </x:c>
      <x:c r="S16" s="32" t="str">
        <x:v>https://pubmed.ncbi.nlm.nih.gov/39359186/</x:v>
      </x:c>
    </x:row>
    <x:row r="17" ht="53" customHeight="1">
      <x:c r="A17" s="24" t="str">
        <x:v>Trapezius</x:v>
      </x:c>
      <x:c r="B17" s="24" t="str">
        <x:v>Superficial back / scapula</x:v>
      </x:c>
      <x:c r="C17" s="24" t="str">
        <x:v>Stabilizer</x:v>
      </x:c>
      <x:c r="D17" s="28" t="str">
        <x:v>No</x:v>
      </x:c>
      <x:c r="E17" s="28" t="str">
        <x:v>No</x:v>
      </x:c>
      <x:c r="F17" s="28" t="str">
        <x:v>Yes</x:v>
      </x:c>
      <x:c r="G17" s="24" t="str">
        <x:v>Elevates/retracts/depresses and upwardly rotates scapula</x:v>
      </x:c>
      <x:c r="H17" s="24" t="str">
        <x:v>Medial superior nuchal line; external occipital protuberance; nuchal ligament; C7-T12 spinous processes</x:v>
      </x:c>
      <x:c r="I17" s="24" t="str">
        <x:v>Lateral clavicle; acromion; spine of scapula</x:v>
      </x:c>
      <x:c r="J17" s="24" t="str">
        <x:v>Spinal accessory nerve CN XI (motor); cervical plexus proprioception</x:v>
      </x:c>
      <x:c r="K17" s="24" t="str">
        <x:v>CN XI (spinal nucleus C1-C5); C3-C4 sensory</x:v>
      </x:c>
      <x:c r="L17" s="24" t="str">
        <x:v>Broad aponeuroses and scapular/clavicular tendinous insertions</x:v>
      </x:c>
      <x:c r="M17" s="24" t="str">
        <x:v>Nuchal ligament direct origin</x:v>
      </x:c>
      <x:c r="N17" s="30" t="str">
        <x:v>Not established</x:v>
      </x:c>
      <x:c r="O17" s="30" t="str">
        <x:v>Not established</x:v>
      </x:c>
      <x:c r="P17" s="30" t="str">
        <x:v>Mixed Type I and Type II; ratio unverified</x:v>
      </x:c>
      <x:c r="Q17" s="24" t="str">
        <x:v>Published biopsies insufficient to state a reliable per-muscle percentage; no inference from function</x:v>
      </x:c>
      <x:c r="R17" s="32" t="str">
        <x:v>https://www.kenhub.com/en/library/anatomy/upper-limb-muscles-and-movements</x:v>
      </x:c>
      <x:c r="S17" s="32" t="str">
        <x:v>https://pubmed.ncbi.nlm.nih.gov/39359186/</x:v>
      </x:c>
    </x:row>
    <x:row r="18" ht="53" customHeight="1">
      <x:c r="A18" s="24" t="str">
        <x:v>Serratus anterior</x:v>
      </x:c>
      <x:c r="B18" s="24" t="str">
        <x:v>Thoracic scapular</x:v>
      </x:c>
      <x:c r="C18" s="24" t="str">
        <x:v>Stabilizer</x:v>
      </x:c>
      <x:c r="D18" s="28" t="str">
        <x:v>No</x:v>
      </x:c>
      <x:c r="E18" s="28" t="str">
        <x:v>No</x:v>
      </x:c>
      <x:c r="F18" s="28" t="str">
        <x:v>Yes</x:v>
      </x:c>
      <x:c r="G18" s="24" t="str">
        <x:v>Protracts and upwardly rotates scapula; holds it against thorax</x:v>
      </x:c>
      <x:c r="H18" s="24" t="str">
        <x:v>Lateral surfaces ribs 1-8/9</x:v>
      </x:c>
      <x:c r="I18" s="24" t="str">
        <x:v>Anterior medial border of scapula, especially inferior angle</x:v>
      </x:c>
      <x:c r="J18" s="24" t="str">
        <x:v>Long thoracic nerve</x:v>
      </x:c>
      <x:c r="K18" s="24" t="str">
        <x:v>C5-C7</x:v>
      </x:c>
      <x:c r="L18" s="24" t="str">
        <x:v>Muscular/slip attachments; no dominant distal tendon</x:v>
      </x:c>
      <x:c r="M18" s="24" t="str">
        <x:v>No specific direct ligament attachment</x:v>
      </x:c>
      <x:c r="N18" s="30" t="str">
        <x:v>Not established</x:v>
      </x:c>
      <x:c r="O18" s="30" t="str">
        <x:v>Not established</x:v>
      </x:c>
      <x:c r="P18" s="30" t="str">
        <x:v>Mixed Type I and Type II; ratio unverified</x:v>
      </x:c>
      <x:c r="Q18" s="24" t="str">
        <x:v>Published biopsies insufficient to state a reliable per-muscle percentage; no inference from function</x:v>
      </x:c>
      <x:c r="R18" s="32" t="str">
        <x:v>https://www.kenhub.com/en/library/anatomy/upper-limb-muscles-and-movements</x:v>
      </x:c>
      <x:c r="S18" s="32" t="str">
        <x:v>https://pubmed.ncbi.nlm.nih.gov/39359186/</x:v>
      </x:c>
    </x:row>
    <x:row r="19" ht="53" customHeight="1">
      <x:c r="A19" s="24" t="str">
        <x:v>Biceps brachii long head</x:v>
      </x:c>
      <x:c r="B19" s="24" t="str">
        <x:v>Anterior arm</x:v>
      </x:c>
      <x:c r="C19" s="24" t="str">
        <x:v>Flexor; Stabilizer</x:v>
      </x:c>
      <x:c r="D19" s="28" t="str">
        <x:v>Yes</x:v>
      </x:c>
      <x:c r="E19" s="28" t="str">
        <x:v>No</x:v>
      </x:c>
      <x:c r="F19" s="28" t="str">
        <x:v>Yes</x:v>
      </x:c>
      <x:c r="G19" s="24" t="str">
        <x:v>Elbow flexion and supination; assists shoulder flexion</x:v>
      </x:c>
      <x:c r="H19" s="24" t="str">
        <x:v>Supraglenoid tubercle of scapula and superior labrum</x:v>
      </x:c>
      <x:c r="I19" s="24" t="str">
        <x:v>Radial tuberosity; forearm fascia via bicipital aponeurosis</x:v>
      </x:c>
      <x:c r="J19" s="24" t="str">
        <x:v>Musculocutaneous nerve</x:v>
      </x:c>
      <x:c r="K19" s="24" t="str">
        <x:v>C5-C6</x:v>
      </x:c>
      <x:c r="L19" s="24" t="str">
        <x:v>Long-head proximal tendon; distal biceps tendon; bicipital aponeurosis</x:v>
      </x:c>
      <x:c r="M19" s="24" t="str">
        <x:v>Transverse humeral ligament overlies proximal tendon in groove</x:v>
      </x:c>
      <x:c r="N19" s="30" t="str">
        <x:v>Not established</x:v>
      </x:c>
      <x:c r="O19" s="30" t="str">
        <x:v>Not established</x:v>
      </x:c>
      <x:c r="P19" s="30" t="str">
        <x:v>Mixed Type I and Type II; ratio unverified</x:v>
      </x:c>
      <x:c r="Q19" s="24" t="str">
        <x:v>Published biopsies insufficient to state a reliable per-muscle percentage; no inference from function</x:v>
      </x:c>
      <x:c r="R19" s="32" t="str">
        <x:v>https://www.kenhub.com/en/library/anatomy/upper-limb-muscles-and-movements</x:v>
      </x:c>
      <x:c r="S19" s="32" t="str">
        <x:v>https://pubmed.ncbi.nlm.nih.gov/39359186/</x:v>
      </x:c>
    </x:row>
    <x:row r="20" ht="53" customHeight="1">
      <x:c r="A20" s="24" t="str">
        <x:v>Biceps brachii short head</x:v>
      </x:c>
      <x:c r="B20" s="24" t="str">
        <x:v>Anterior arm</x:v>
      </x:c>
      <x:c r="C20" s="24" t="str">
        <x:v>Flexor</x:v>
      </x:c>
      <x:c r="D20" s="28" t="str">
        <x:v>Yes</x:v>
      </x:c>
      <x:c r="E20" s="28" t="str">
        <x:v>No</x:v>
      </x:c>
      <x:c r="F20" s="28" t="str">
        <x:v>No</x:v>
      </x:c>
      <x:c r="G20" s="24" t="str">
        <x:v>Elbow flexion and supination; shoulder flexion</x:v>
      </x:c>
      <x:c r="H20" s="24" t="str">
        <x:v>Coracoid process of scapula</x:v>
      </x:c>
      <x:c r="I20" s="24" t="str">
        <x:v>Radial tuberosity; forearm fascia via bicipital aponeurosis</x:v>
      </x:c>
      <x:c r="J20" s="24" t="str">
        <x:v>Musculocutaneous nerve</x:v>
      </x:c>
      <x:c r="K20" s="24" t="str">
        <x:v>C5-C6</x:v>
      </x:c>
      <x:c r="L20" s="24" t="str">
        <x:v>Conjoined proximal tendon; common distal biceps tendon</x:v>
      </x:c>
      <x:c r="M20" s="24" t="str">
        <x:v>Coracoclavicular ligaments near coracoid, no direct attachment</x:v>
      </x:c>
      <x:c r="N20" s="30" t="str">
        <x:v>Not established</x:v>
      </x:c>
      <x:c r="O20" s="30" t="str">
        <x:v>Not established</x:v>
      </x:c>
      <x:c r="P20" s="30" t="str">
        <x:v>Mixed Type I and Type II; ratio unverified</x:v>
      </x:c>
      <x:c r="Q20" s="24" t="str">
        <x:v>Published biopsies insufficient to state a reliable per-muscle percentage; no inference from function</x:v>
      </x:c>
      <x:c r="R20" s="32" t="str">
        <x:v>https://www.kenhub.com/en/library/anatomy/upper-limb-muscles-and-movements</x:v>
      </x:c>
      <x:c r="S20" s="32" t="str">
        <x:v>https://pubmed.ncbi.nlm.nih.gov/39359186/</x:v>
      </x:c>
    </x:row>
    <x:row r="21" ht="53" customHeight="1">
      <x:c r="A21" s="24" t="str">
        <x:v>Brachialis</x:v>
      </x:c>
      <x:c r="B21" s="24" t="str">
        <x:v>Anterior arm</x:v>
      </x:c>
      <x:c r="C21" s="24" t="str">
        <x:v>Flexor</x:v>
      </x:c>
      <x:c r="D21" s="28" t="str">
        <x:v>Yes</x:v>
      </x:c>
      <x:c r="E21" s="28" t="str">
        <x:v>No</x:v>
      </x:c>
      <x:c r="F21" s="28" t="str">
        <x:v>No</x:v>
      </x:c>
      <x:c r="G21" s="24" t="str">
        <x:v>Primary elbow flexion in all forearm positions</x:v>
      </x:c>
      <x:c r="H21" s="24" t="str">
        <x:v>Distal anterior half of humerus; intermuscular septa</x:v>
      </x:c>
      <x:c r="I21" s="24" t="str">
        <x:v>Coronoid process and tuberosity of ulna</x:v>
      </x:c>
      <x:c r="J21" s="24" t="str">
        <x:v>Musculocutaneous nerve; small radial contribution to lateral part</x:v>
      </x:c>
      <x:c r="K21" s="24" t="str">
        <x:v>C5-C6 (occasional C7 radial)</x:v>
      </x:c>
      <x:c r="L21" s="24" t="str">
        <x:v>Brachialis insertion tendon</x:v>
      </x:c>
      <x:c r="M21" s="24" t="str">
        <x:v>Anterior elbow capsule intimate with deep fibers</x:v>
      </x:c>
      <x:c r="N21" s="30" t="str">
        <x:v>Not established</x:v>
      </x:c>
      <x:c r="O21" s="30" t="str">
        <x:v>Not established</x:v>
      </x:c>
      <x:c r="P21" s="30" t="str">
        <x:v>Mixed Type I and Type II; ratio unverified</x:v>
      </x:c>
      <x:c r="Q21" s="24" t="str">
        <x:v>Published biopsies insufficient to state a reliable per-muscle percentage; no inference from function</x:v>
      </x:c>
      <x:c r="R21" s="32" t="str">
        <x:v>https://www.kenhub.com/en/library/anatomy/upper-limb-muscles-and-movements</x:v>
      </x:c>
      <x:c r="S21" s="32" t="str">
        <x:v>https://pubmed.ncbi.nlm.nih.gov/39359186/</x:v>
      </x:c>
    </x:row>
    <x:row r="22" ht="53" customHeight="1">
      <x:c r="A22" s="24" t="str">
        <x:v>Coracobrachialis</x:v>
      </x:c>
      <x:c r="B22" s="24" t="str">
        <x:v>Anterior arm</x:v>
      </x:c>
      <x:c r="C22" s="24" t="str">
        <x:v>Flexor; Stabilizer</x:v>
      </x:c>
      <x:c r="D22" s="28" t="str">
        <x:v>Yes</x:v>
      </x:c>
      <x:c r="E22" s="28" t="str">
        <x:v>No</x:v>
      </x:c>
      <x:c r="F22" s="28" t="str">
        <x:v>Yes</x:v>
      </x:c>
      <x:c r="G22" s="24" t="str">
        <x:v>Flexes and adducts shoulder; resists dislocation</x:v>
      </x:c>
      <x:c r="H22" s="24" t="str">
        <x:v>Coracoid process of scapula</x:v>
      </x:c>
      <x:c r="I22" s="24" t="str">
        <x:v>Middle third medial humeral shaft</x:v>
      </x:c>
      <x:c r="J22" s="24" t="str">
        <x:v>Musculocutaneous nerve</x:v>
      </x:c>
      <x:c r="K22" s="24" t="str">
        <x:v>C5-C7</x:v>
      </x:c>
      <x:c r="L22" s="24" t="str">
        <x:v>Proximal conjoint tendon; distal tendinous insertion</x:v>
      </x:c>
      <x:c r="M22" s="24" t="str">
        <x:v>Coracoclavicular ligaments share coracoid vicinity</x:v>
      </x:c>
      <x:c r="N22" s="30" t="str">
        <x:v>Not established</x:v>
      </x:c>
      <x:c r="O22" s="30" t="str">
        <x:v>Not established</x:v>
      </x:c>
      <x:c r="P22" s="30" t="str">
        <x:v>Mixed Type I and Type II; ratio unverified</x:v>
      </x:c>
      <x:c r="Q22" s="24" t="str">
        <x:v>Published biopsies insufficient to state a reliable per-muscle percentage; no inference from function</x:v>
      </x:c>
      <x:c r="R22" s="32" t="str">
        <x:v>https://www.kenhub.com/en/library/anatomy/upper-limb-muscles-and-movements</x:v>
      </x:c>
      <x:c r="S22" s="32" t="str">
        <x:v>https://pubmed.ncbi.nlm.nih.gov/39359186/</x:v>
      </x:c>
    </x:row>
    <x:row r="23" ht="53" customHeight="1">
      <x:c r="A23" s="24" t="str">
        <x:v>Articularis cubiti</x:v>
      </x:c>
      <x:c r="B23" s="24" t="str">
        <x:v>Deep posterior elbow</x:v>
      </x:c>
      <x:c r="C23" s="24" t="str">
        <x:v>Stabilizer</x:v>
      </x:c>
      <x:c r="D23" s="28" t="str">
        <x:v>No</x:v>
      </x:c>
      <x:c r="E23" s="28" t="str">
        <x:v>No</x:v>
      </x:c>
      <x:c r="F23" s="28" t="str">
        <x:v>Yes</x:v>
      </x:c>
      <x:c r="G23" s="24" t="str">
        <x:v>Retracts joint capsule during elbow extension</x:v>
      </x:c>
      <x:c r="H23" s="24" t="str">
        <x:v>Distal posterior humerus near olecranon fossa</x:v>
      </x:c>
      <x:c r="I23" s="24" t="str">
        <x:v>Posterior capsule of elbow joint</x:v>
      </x:c>
      <x:c r="J23" s="24" t="str">
        <x:v>Radial nerve branch to triceps</x:v>
      </x:c>
      <x:c r="K23" s="24" t="str">
        <x:v>C7-C8 (variable)</x:v>
      </x:c>
      <x:c r="L23" s="24" t="str">
        <x:v>Fibers to posterior joint capsule</x:v>
      </x:c>
      <x:c r="M23" s="24" t="str">
        <x:v>Posterior capsular ligaments continuous with insertion</x:v>
      </x:c>
      <x:c r="N23" s="30" t="str">
        <x:v>Not established</x:v>
      </x:c>
      <x:c r="O23" s="30" t="str">
        <x:v>Not established</x:v>
      </x:c>
      <x:c r="P23" s="30" t="str">
        <x:v>Mixed Type I and Type II; ratio unverified</x:v>
      </x:c>
      <x:c r="Q23" s="24" t="str">
        <x:v>Published biopsies insufficient to state a reliable per-muscle percentage; no inference from function</x:v>
      </x:c>
      <x:c r="R23" s="32" t="str">
        <x:v>https://www.kenhub.com/en/library/anatomy/upper-limb-muscles-and-movements</x:v>
      </x:c>
      <x:c r="S23" s="32" t="str">
        <x:v>https://pubmed.ncbi.nlm.nih.gov/39359186/</x:v>
      </x:c>
    </x:row>
    <x:row r="24" ht="53" customHeight="1">
      <x:c r="A24" s="24" t="str">
        <x:v>Triceps brachii lateral head</x:v>
      </x:c>
      <x:c r="B24" s="24" t="str">
        <x:v>Posterior arm</x:v>
      </x:c>
      <x:c r="C24" s="24" t="str">
        <x:v>Extensor</x:v>
      </x:c>
      <x:c r="D24" s="28" t="str">
        <x:v>No</x:v>
      </x:c>
      <x:c r="E24" s="28" t="str">
        <x:v>Yes</x:v>
      </x:c>
      <x:c r="F24" s="28" t="str">
        <x:v>No</x:v>
      </x:c>
      <x:c r="G24" s="24" t="str">
        <x:v>Powerful elbow extension</x:v>
      </x:c>
      <x:c r="H24" s="24" t="str">
        <x:v>Posterior humerus superior to radial groove</x:v>
      </x:c>
      <x:c r="I24" s="24" t="str">
        <x:v>Olecranon via common tendon</x:v>
      </x:c>
      <x:c r="J24" s="24" t="str">
        <x:v>Radial nerve</x:v>
      </x:c>
      <x:c r="K24" s="24" t="str">
        <x:v>C6-C8</x:v>
      </x:c>
      <x:c r="L24" s="24" t="str">
        <x:v>Common triceps tendon</x:v>
      </x:c>
      <x:c r="M24" s="24" t="str">
        <x:v>Posterior elbow capsule nearby</x:v>
      </x:c>
      <x:c r="N24" s="30" t="str">
        <x:v>30–40% (whole triceps literature estimate)</x:v>
      </x:c>
      <x:c r="O24" s="30" t="str">
        <x:v>60–70% (complement, approximate)</x:v>
      </x:c>
      <x:c r="P24" s="30" t="str">
        <x:v>Type II-rich relative to soleus</x:v>
      </x:c>
      <x:c r="Q24" s="24" t="str">
        <x:v>Whole-muscle range; individual heads not measured separately in cited overview</x:v>
      </x:c>
      <x:c r="R24" s="32" t="str">
        <x:v>https://www.kenhub.com/en/library/anatomy/upper-limb-muscles-and-movements</x:v>
      </x:c>
      <x:c r="S24" s="32" t="str">
        <x:v>https://journals.physiology.org/doi/full/10.1152/japplphysiol.00394.2024</x:v>
      </x:c>
    </x:row>
    <x:row r="25" ht="53" customHeight="1">
      <x:c r="A25" s="24" t="str">
        <x:v>Triceps brachii long head</x:v>
      </x:c>
      <x:c r="B25" s="24" t="str">
        <x:v>Posterior arm</x:v>
      </x:c>
      <x:c r="C25" s="24" t="str">
        <x:v>Extensor; Stabilizer</x:v>
      </x:c>
      <x:c r="D25" s="28" t="str">
        <x:v>No</x:v>
      </x:c>
      <x:c r="E25" s="28" t="str">
        <x:v>Yes</x:v>
      </x:c>
      <x:c r="F25" s="28" t="str">
        <x:v>Yes</x:v>
      </x:c>
      <x:c r="G25" s="24" t="str">
        <x:v>Extends elbow; extends/adducts shoulder; stabilizes shoulder</x:v>
      </x:c>
      <x:c r="H25" s="24" t="str">
        <x:v>Infraglenoid tubercle of scapula</x:v>
      </x:c>
      <x:c r="I25" s="24" t="str">
        <x:v>Olecranon of ulna and deep fascia</x:v>
      </x:c>
      <x:c r="J25" s="24" t="str">
        <x:v>Radial nerve</x:v>
      </x:c>
      <x:c r="K25" s="24" t="str">
        <x:v>C6-C8</x:v>
      </x:c>
      <x:c r="L25" s="24" t="str">
        <x:v>Common triceps tendon to olecranon</x:v>
      </x:c>
      <x:c r="M25" s="24" t="str">
        <x:v>Posterior elbow joint capsule adjacent</x:v>
      </x:c>
      <x:c r="N25" s="30" t="str">
        <x:v>30–40% (whole triceps literature estimate)</x:v>
      </x:c>
      <x:c r="O25" s="30" t="str">
        <x:v>60–70% (complement, approximate)</x:v>
      </x:c>
      <x:c r="P25" s="30" t="str">
        <x:v>Type II-rich relative to soleus</x:v>
      </x:c>
      <x:c r="Q25" s="24" t="str">
        <x:v>Value published for triceps brachii overall, not specifically this head</x:v>
      </x:c>
      <x:c r="R25" s="32" t="str">
        <x:v>https://www.kenhub.com/en/library/anatomy/upper-limb-muscles-and-movements</x:v>
      </x:c>
      <x:c r="S25" s="32" t="str">
        <x:v>https://journals.physiology.org/doi/full/10.1152/japplphysiol.00394.2024</x:v>
      </x:c>
    </x:row>
    <x:row r="26" ht="53" customHeight="1">
      <x:c r="A26" s="24" t="str">
        <x:v>Triceps brachii medial head</x:v>
      </x:c>
      <x:c r="B26" s="24" t="str">
        <x:v>Posterior arm</x:v>
      </x:c>
      <x:c r="C26" s="24" t="str">
        <x:v>Extensor</x:v>
      </x:c>
      <x:c r="D26" s="28" t="str">
        <x:v>No</x:v>
      </x:c>
      <x:c r="E26" s="28" t="str">
        <x:v>Yes</x:v>
      </x:c>
      <x:c r="F26" s="28" t="str">
        <x:v>No</x:v>
      </x:c>
      <x:c r="G26" s="24" t="str">
        <x:v>Elbow extension, especially against resistance</x:v>
      </x:c>
      <x:c r="H26" s="24" t="str">
        <x:v>Posterior humerus inferior to radial groove</x:v>
      </x:c>
      <x:c r="I26" s="24" t="str">
        <x:v>Olecranon via common tendon</x:v>
      </x:c>
      <x:c r="J26" s="24" t="str">
        <x:v>Radial nerve</x:v>
      </x:c>
      <x:c r="K26" s="24" t="str">
        <x:v>C7-C8</x:v>
      </x:c>
      <x:c r="L26" s="24" t="str">
        <x:v>Common triceps tendon</x:v>
      </x:c>
      <x:c r="M26" s="24" t="str">
        <x:v>Posterior elbow capsule nearby</x:v>
      </x:c>
      <x:c r="N26" s="30" t="str">
        <x:v>30–40% (whole triceps literature estimate)</x:v>
      </x:c>
      <x:c r="O26" s="30" t="str">
        <x:v>60–70% (complement, approximate)</x:v>
      </x:c>
      <x:c r="P26" s="30" t="str">
        <x:v>Type II-rich relative to soleus</x:v>
      </x:c>
      <x:c r="Q26" s="24" t="str">
        <x:v>Whole-muscle range; individual heads may differ</x:v>
      </x:c>
      <x:c r="R26" s="32" t="str">
        <x:v>https://www.kenhub.com/en/library/anatomy/upper-limb-muscles-and-movements</x:v>
      </x:c>
      <x:c r="S26" s="32" t="str">
        <x:v>https://journals.physiology.org/doi/full/10.1152/japplphysiol.00394.2024</x:v>
      </x:c>
    </x:row>
    <x:row r="27" ht="53" customHeight="1">
      <x:c r="A27" s="24" t="str">
        <x:v>Anconeus</x:v>
      </x:c>
      <x:c r="B27" s="24" t="str">
        <x:v>Posterolateral elbow</x:v>
      </x:c>
      <x:c r="C27" s="24" t="str">
        <x:v>Extensor; Stabilizer</x:v>
      </x:c>
      <x:c r="D27" s="28" t="str">
        <x:v>No</x:v>
      </x:c>
      <x:c r="E27" s="28" t="str">
        <x:v>Yes</x:v>
      </x:c>
      <x:c r="F27" s="28" t="str">
        <x:v>Yes</x:v>
      </x:c>
      <x:c r="G27" s="24" t="str">
        <x:v>Assists elbow extension; stabilizes elbow</x:v>
      </x:c>
      <x:c r="H27" s="24" t="str">
        <x:v>Lateral epicondyle of humerus</x:v>
      </x:c>
      <x:c r="I27" s="24" t="str">
        <x:v>Lateral olecranon and proximal posterior ulna</x:v>
      </x:c>
      <x:c r="J27" s="24" t="str">
        <x:v>Radial nerve</x:v>
      </x:c>
      <x:c r="K27" s="24" t="str">
        <x:v>C7-T1</x:v>
      </x:c>
      <x:c r="L27" s="24" t="str">
        <x:v>Small proximal tendon</x:v>
      </x:c>
      <x:c r="M27" s="24" t="str">
        <x:v>Annular ligament of radius and lateral collateral ligament complex nearby</x:v>
      </x:c>
      <x:c r="N27" s="30" t="str">
        <x:v>Not established</x:v>
      </x:c>
      <x:c r="O27" s="30" t="str">
        <x:v>Not established</x:v>
      </x:c>
      <x:c r="P27" s="30" t="str">
        <x:v>Mixed Type I and Type II; ratio unverified</x:v>
      </x:c>
      <x:c r="Q27" s="24" t="str">
        <x:v>Published biopsies insufficient to state a reliable per-muscle percentage; no inference from function</x:v>
      </x:c>
      <x:c r="R27" s="32" t="str">
        <x:v>https://www.kenhub.com/en/library/anatomy/upper-limb-muscles-and-movements</x:v>
      </x:c>
      <x:c r="S27" s="32" t="str">
        <x:v>https://pubmed.ncbi.nlm.nih.gov/39359186/</x:v>
      </x:c>
    </x:row>
    <x:row r="28" ht="53" customHeight="1">
      <x:c r="A28" s="24" t="str">
        <x:v>Flexor digitorum profundus lateral portion (digits 2-3)</x:v>
      </x:c>
      <x:c r="B28" s="24" t="str">
        <x:v>Anterior deep</x:v>
      </x:c>
      <x:c r="C28" s="24" t="str">
        <x:v>Flexor</x:v>
      </x:c>
      <x:c r="D28" s="28" t="str">
        <x:v>Yes</x:v>
      </x:c>
      <x:c r="E28" s="28" t="str">
        <x:v>No</x:v>
      </x:c>
      <x:c r="F28" s="28" t="str">
        <x:v>No</x:v>
      </x:c>
      <x:c r="G28" s="24" t="str">
        <x:v>Flexes DIP joints; assists finger/wrist flexion</x:v>
      </x:c>
      <x:c r="H28" s="24" t="str">
        <x:v>Proximal 3/4 anterior/medial ulna; interosseous membrane</x:v>
      </x:c>
      <x:c r="I28" s="24" t="str">
        <x:v>Distal phalanges of digits 2-3</x:v>
      </x:c>
      <x:c r="J28" s="24" t="str">
        <x:v>Anterior interosseous nerve (median)</x:v>
      </x:c>
      <x:c r="K28" s="24" t="str">
        <x:v>C8-T1</x:v>
      </x:c>
      <x:c r="L28" s="24" t="str">
        <x:v>Deep flexor digital tendons 2-3</x:v>
      </x:c>
      <x:c r="M28" s="24" t="str">
        <x:v>Flexor retinaculum; digital annular pulleys support tendon paths</x:v>
      </x:c>
      <x:c r="N28" s="30" t="str">
        <x:v>Not established</x:v>
      </x:c>
      <x:c r="O28" s="30" t="str">
        <x:v>Not established</x:v>
      </x:c>
      <x:c r="P28" s="30" t="str">
        <x:v>Mixed Type I and Type II; ratio unverified</x:v>
      </x:c>
      <x:c r="Q28" s="24" t="str">
        <x:v>Published biopsies insufficient to state a reliable per-muscle percentage; no inference from function</x:v>
      </x:c>
      <x:c r="R28" s="32" t="str">
        <x:v>https://www.kenhub.com/en/library/anatomy/upper-limb-muscles-and-movements</x:v>
      </x:c>
      <x:c r="S28" s="32" t="str">
        <x:v>https://pubmed.ncbi.nlm.nih.gov/39359186/</x:v>
      </x:c>
    </x:row>
    <x:row r="29" ht="53" customHeight="1">
      <x:c r="A29" s="24" t="str">
        <x:v>Flexor digitorum profundus medial portion (digits 4-5)</x:v>
      </x:c>
      <x:c r="B29" s="24" t="str">
        <x:v>Anterior deep</x:v>
      </x:c>
      <x:c r="C29" s="24" t="str">
        <x:v>Flexor</x:v>
      </x:c>
      <x:c r="D29" s="28" t="str">
        <x:v>Yes</x:v>
      </x:c>
      <x:c r="E29" s="28" t="str">
        <x:v>No</x:v>
      </x:c>
      <x:c r="F29" s="28" t="str">
        <x:v>No</x:v>
      </x:c>
      <x:c r="G29" s="24" t="str">
        <x:v>Flexes DIP joints</x:v>
      </x:c>
      <x:c r="H29" s="24" t="str">
        <x:v>Proximal 3/4 anterior/medial ulna; interosseous membrane</x:v>
      </x:c>
      <x:c r="I29" s="24" t="str">
        <x:v>Distal phalanges digits 4-5</x:v>
      </x:c>
      <x:c r="J29" s="24" t="str">
        <x:v>Ulnar nerve</x:v>
      </x:c>
      <x:c r="K29" s="24" t="str">
        <x:v>C8-T1</x:v>
      </x:c>
      <x:c r="L29" s="24" t="str">
        <x:v>Deep flexor digital tendons 4-5</x:v>
      </x:c>
      <x:c r="M29" s="24" t="str">
        <x:v>Digital annular pulleys; flexor retinaculum support tendon paths</x:v>
      </x:c>
      <x:c r="N29" s="30" t="str">
        <x:v>Not established</x:v>
      </x:c>
      <x:c r="O29" s="30" t="str">
        <x:v>Not established</x:v>
      </x:c>
      <x:c r="P29" s="30" t="str">
        <x:v>Mixed Type I and Type II; ratio unverified</x:v>
      </x:c>
      <x:c r="Q29" s="24" t="str">
        <x:v>Published biopsies insufficient to state a reliable per-muscle percentage; no inference from function</x:v>
      </x:c>
      <x:c r="R29" s="32" t="str">
        <x:v>https://www.kenhub.com/en/library/anatomy/upper-limb-muscles-and-movements</x:v>
      </x:c>
      <x:c r="S29" s="32" t="str">
        <x:v>https://pubmed.ncbi.nlm.nih.gov/39359186/</x:v>
      </x:c>
    </x:row>
    <x:row r="30" ht="53" customHeight="1">
      <x:c r="A30" s="24" t="str">
        <x:v>Flexor pollicis longus</x:v>
      </x:c>
      <x:c r="B30" s="24" t="str">
        <x:v>Anterior deep</x:v>
      </x:c>
      <x:c r="C30" s="24" t="str">
        <x:v>Flexor</x:v>
      </x:c>
      <x:c r="D30" s="28" t="str">
        <x:v>Yes</x:v>
      </x:c>
      <x:c r="E30" s="28" t="str">
        <x:v>No</x:v>
      </x:c>
      <x:c r="F30" s="28" t="str">
        <x:v>No</x:v>
      </x:c>
      <x:c r="G30" s="24" t="str">
        <x:v>Flexes thumb IP joint; assists MCP flexion</x:v>
      </x:c>
      <x:c r="H30" s="24" t="str">
        <x:v>Anterior radius; adjoining interosseous membrane</x:v>
      </x:c>
      <x:c r="I30" s="24" t="str">
        <x:v>Base of distal phalanx of thumb</x:v>
      </x:c>
      <x:c r="J30" s="24" t="str">
        <x:v>Anterior interosseous nerve (median)</x:v>
      </x:c>
      <x:c r="K30" s="24" t="str">
        <x:v>C8-T1</x:v>
      </x:c>
      <x:c r="L30" s="24" t="str">
        <x:v>FPL tendon</x:v>
      </x:c>
      <x:c r="M30" s="24" t="str">
        <x:v>Flexor retinaculum and thumb pulley system guide tendon</x:v>
      </x:c>
      <x:c r="N30" s="30" t="str">
        <x:v>Not established</x:v>
      </x:c>
      <x:c r="O30" s="30" t="str">
        <x:v>Not established</x:v>
      </x:c>
      <x:c r="P30" s="30" t="str">
        <x:v>Mixed Type I and Type II; ratio unverified</x:v>
      </x:c>
      <x:c r="Q30" s="24" t="str">
        <x:v>Published biopsies insufficient to state a reliable per-muscle percentage; no inference from function</x:v>
      </x:c>
      <x:c r="R30" s="32" t="str">
        <x:v>https://www.kenhub.com/en/library/anatomy/upper-limb-muscles-and-movements</x:v>
      </x:c>
      <x:c r="S30" s="32" t="str">
        <x:v>https://pubmed.ncbi.nlm.nih.gov/39359186/</x:v>
      </x:c>
    </x:row>
    <x:row r="31" ht="53" customHeight="1">
      <x:c r="A31" s="24" t="str">
        <x:v>Pronator quadratus</x:v>
      </x:c>
      <x:c r="B31" s="24" t="str">
        <x:v>Anterior deep</x:v>
      </x:c>
      <x:c r="C31" s="24" t="str">
        <x:v>Stabilizer</x:v>
      </x:c>
      <x:c r="D31" s="28" t="str">
        <x:v>No</x:v>
      </x:c>
      <x:c r="E31" s="28" t="str">
        <x:v>No</x:v>
      </x:c>
      <x:c r="F31" s="28" t="str">
        <x:v>Yes</x:v>
      </x:c>
      <x:c r="G31" s="24" t="str">
        <x:v>Prime pronator; stabilizes distal radioulnar joint</x:v>
      </x:c>
      <x:c r="H31" s="24" t="str">
        <x:v>Distal quarter anterior ulna</x:v>
      </x:c>
      <x:c r="I31" s="24" t="str">
        <x:v>Distal quarter anterior radius</x:v>
      </x:c>
      <x:c r="J31" s="24" t="str">
        <x:v>Anterior interosseous nerve (median)</x:v>
      </x:c>
      <x:c r="K31" s="24" t="str">
        <x:v>C8-T1</x:v>
      </x:c>
      <x:c r="L31" s="24" t="str">
        <x:v>Broad muscular insertion (no distinct long tendon)</x:v>
      </x:c>
      <x:c r="M31" s="24" t="str">
        <x:v>Distal radioulnar ligaments near muscle, not direct tendon attachments</x:v>
      </x:c>
      <x:c r="N31" s="30" t="str">
        <x:v>Not established</x:v>
      </x:c>
      <x:c r="O31" s="30" t="str">
        <x:v>Not established</x:v>
      </x:c>
      <x:c r="P31" s="30" t="str">
        <x:v>Mixed Type I and Type II; ratio unverified</x:v>
      </x:c>
      <x:c r="Q31" s="24" t="str">
        <x:v>Published biopsies insufficient to state a reliable per-muscle percentage; no inference from function</x:v>
      </x:c>
      <x:c r="R31" s="32" t="str">
        <x:v>https://www.kenhub.com/en/library/anatomy/upper-limb-muscles-and-movements</x:v>
      </x:c>
      <x:c r="S31" s="32" t="str">
        <x:v>https://pubmed.ncbi.nlm.nih.gov/39359186/</x:v>
      </x:c>
    </x:row>
    <x:row r="32" ht="53" customHeight="1">
      <x:c r="A32" s="24" t="str">
        <x:v>Flexor digitorum superficialis humeroulnar head</x:v>
      </x:c>
      <x:c r="B32" s="24" t="str">
        <x:v>Anterior intermediate</x:v>
      </x:c>
      <x:c r="C32" s="24" t="str">
        <x:v>Flexor</x:v>
      </x:c>
      <x:c r="D32" s="28" t="str">
        <x:v>Yes</x:v>
      </x:c>
      <x:c r="E32" s="28" t="str">
        <x:v>No</x:v>
      </x:c>
      <x:c r="F32" s="28" t="str">
        <x:v>No</x:v>
      </x:c>
      <x:c r="G32" s="24" t="str">
        <x:v>Flexes PIP joints; assists MCP and wrist flexion</x:v>
      </x:c>
      <x:c r="H32" s="24" t="str">
        <x:v>Medial epicondyle; coronoid process ulna</x:v>
      </x:c>
      <x:c r="I32" s="24" t="str">
        <x:v>Middle phalanges of digits 2-5</x:v>
      </x:c>
      <x:c r="J32" s="24" t="str">
        <x:v>Median nerve</x:v>
      </x:c>
      <x:c r="K32" s="24" t="str">
        <x:v>C7-T1</x:v>
      </x:c>
      <x:c r="L32" s="24" t="str">
        <x:v>Four bifurcating digital flexor tendons</x:v>
      </x:c>
      <x:c r="M32" s="24" t="str">
        <x:v>Flexor retinaculum over tendons; annular pulley ligaments guide them</x:v>
      </x:c>
      <x:c r="N32" s="30" t="str">
        <x:v>Not established</x:v>
      </x:c>
      <x:c r="O32" s="30" t="str">
        <x:v>Not established</x:v>
      </x:c>
      <x:c r="P32" s="30" t="str">
        <x:v>Mixed Type I and Type II; ratio unverified</x:v>
      </x:c>
      <x:c r="Q32" s="24" t="str">
        <x:v>Published biopsies insufficient to state a reliable per-muscle percentage; no inference from function</x:v>
      </x:c>
      <x:c r="R32" s="32" t="str">
        <x:v>https://www.kenhub.com/en/library/anatomy/upper-limb-muscles-and-movements</x:v>
      </x:c>
      <x:c r="S32" s="32" t="str">
        <x:v>https://pubmed.ncbi.nlm.nih.gov/39359186/</x:v>
      </x:c>
    </x:row>
    <x:row r="33" ht="53" customHeight="1">
      <x:c r="A33" s="24" t="str">
        <x:v>Flexor digitorum superficialis radial head</x:v>
      </x:c>
      <x:c r="B33" s="24" t="str">
        <x:v>Anterior intermediate</x:v>
      </x:c>
      <x:c r="C33" s="24" t="str">
        <x:v>Flexor</x:v>
      </x:c>
      <x:c r="D33" s="28" t="str">
        <x:v>Yes</x:v>
      </x:c>
      <x:c r="E33" s="28" t="str">
        <x:v>No</x:v>
      </x:c>
      <x:c r="F33" s="28" t="str">
        <x:v>No</x:v>
      </x:c>
      <x:c r="G33" s="24" t="str">
        <x:v>Flexes PIP joints; MCP/wrist flexion</x:v>
      </x:c>
      <x:c r="H33" s="24" t="str">
        <x:v>Anterior oblique line of radius</x:v>
      </x:c>
      <x:c r="I33" s="24" t="str">
        <x:v>Middle phalanges digits 2-5</x:v>
      </x:c>
      <x:c r="J33" s="24" t="str">
        <x:v>Median nerve</x:v>
      </x:c>
      <x:c r="K33" s="24" t="str">
        <x:v>C7-T1</x:v>
      </x:c>
      <x:c r="L33" s="24" t="str">
        <x:v>Common four digital flexor tendons</x:v>
      </x:c>
      <x:c r="M33" s="24" t="str">
        <x:v>Digital annular pulleys and flexor retinaculum guide tendons</x:v>
      </x:c>
      <x:c r="N33" s="30" t="str">
        <x:v>Not established</x:v>
      </x:c>
      <x:c r="O33" s="30" t="str">
        <x:v>Not established</x:v>
      </x:c>
      <x:c r="P33" s="30" t="str">
        <x:v>Mixed Type I and Type II; ratio unverified</x:v>
      </x:c>
      <x:c r="Q33" s="24" t="str">
        <x:v>Published biopsies insufficient to state a reliable per-muscle percentage; no inference from function</x:v>
      </x:c>
      <x:c r="R33" s="32" t="str">
        <x:v>https://www.kenhub.com/en/library/anatomy/upper-limb-muscles-and-movements</x:v>
      </x:c>
      <x:c r="S33" s="32" t="str">
        <x:v>https://pubmed.ncbi.nlm.nih.gov/39359186/</x:v>
      </x:c>
    </x:row>
    <x:row r="34" ht="53" customHeight="1">
      <x:c r="A34" s="24" t="str">
        <x:v>Flexor carpi radialis</x:v>
      </x:c>
      <x:c r="B34" s="24" t="str">
        <x:v>Anterior superficial</x:v>
      </x:c>
      <x:c r="C34" s="24" t="str">
        <x:v>Flexor</x:v>
      </x:c>
      <x:c r="D34" s="28" t="str">
        <x:v>Yes</x:v>
      </x:c>
      <x:c r="E34" s="28" t="str">
        <x:v>No</x:v>
      </x:c>
      <x:c r="F34" s="28" t="str">
        <x:v>No</x:v>
      </x:c>
      <x:c r="G34" s="24" t="str">
        <x:v>Wrist flexion and radial deviation</x:v>
      </x:c>
      <x:c r="H34" s="24" t="str">
        <x:v>Medial epicondyle via common flexor tendon</x:v>
      </x:c>
      <x:c r="I34" s="24" t="str">
        <x:v>Base of metacarpal 2 (slip to 3)</x:v>
      </x:c>
      <x:c r="J34" s="24" t="str">
        <x:v>Median nerve</x:v>
      </x:c>
      <x:c r="K34" s="24" t="str">
        <x:v>C6-C7</x:v>
      </x:c>
      <x:c r="L34" s="24" t="str">
        <x:v>FCR tendon through own fibro-osseous tunnel</x:v>
      </x:c>
      <x:c r="M34" s="24" t="str">
        <x:v>Flexor retinaculum forms roof of tendon tunnel (retinaculum, not origin)</x:v>
      </x:c>
      <x:c r="N34" s="30" t="str">
        <x:v>Not established</x:v>
      </x:c>
      <x:c r="O34" s="30" t="str">
        <x:v>Not established</x:v>
      </x:c>
      <x:c r="P34" s="30" t="str">
        <x:v>Mixed Type I and Type II; ratio unverified</x:v>
      </x:c>
      <x:c r="Q34" s="24" t="str">
        <x:v>Published biopsies insufficient to state a reliable per-muscle percentage; no inference from function</x:v>
      </x:c>
      <x:c r="R34" s="32" t="str">
        <x:v>https://www.kenhub.com/en/library/anatomy/upper-limb-muscles-and-movements</x:v>
      </x:c>
      <x:c r="S34" s="32" t="str">
        <x:v>https://pubmed.ncbi.nlm.nih.gov/39359186/</x:v>
      </x:c>
    </x:row>
    <x:row r="35" ht="53" customHeight="1">
      <x:c r="A35" s="24" t="str">
        <x:v>Flexor carpi ulnaris humeral head</x:v>
      </x:c>
      <x:c r="B35" s="24" t="str">
        <x:v>Anterior superficial</x:v>
      </x:c>
      <x:c r="C35" s="24" t="str">
        <x:v>Flexor</x:v>
      </x:c>
      <x:c r="D35" s="28" t="str">
        <x:v>Yes</x:v>
      </x:c>
      <x:c r="E35" s="28" t="str">
        <x:v>No</x:v>
      </x:c>
      <x:c r="F35" s="28" t="str">
        <x:v>No</x:v>
      </x:c>
      <x:c r="G35" s="24" t="str">
        <x:v>Wrist flexion and ulnar deviation</x:v>
      </x:c>
      <x:c r="H35" s="24" t="str">
        <x:v>Medial epicondyle</x:v>
      </x:c>
      <x:c r="I35" s="24" t="str">
        <x:v>Pisiform; hook of hamate; base of metacarpal 5</x:v>
      </x:c>
      <x:c r="J35" s="24" t="str">
        <x:v>Ulnar nerve</x:v>
      </x:c>
      <x:c r="K35" s="24" t="str">
        <x:v>C8-T1</x:v>
      </x:c>
      <x:c r="L35" s="24" t="str">
        <x:v>FCU tendon; pisohamate and pisometacarpal fibrous extensions</x:v>
      </x:c>
      <x:c r="M35" s="24" t="str">
        <x:v>Pisohamate and pisometacarpal ligaments function as tendon continuations</x:v>
      </x:c>
      <x:c r="N35" s="30" t="str">
        <x:v>Not established</x:v>
      </x:c>
      <x:c r="O35" s="30" t="str">
        <x:v>Not established</x:v>
      </x:c>
      <x:c r="P35" s="30" t="str">
        <x:v>Mixed Type I and Type II; ratio unverified</x:v>
      </x:c>
      <x:c r="Q35" s="24" t="str">
        <x:v>Published biopsies insufficient to state a reliable per-muscle percentage; no inference from function</x:v>
      </x:c>
      <x:c r="R35" s="32" t="str">
        <x:v>https://www.kenhub.com/en/library/anatomy/upper-limb-muscles-and-movements</x:v>
      </x:c>
      <x:c r="S35" s="32" t="str">
        <x:v>https://pubmed.ncbi.nlm.nih.gov/39359186/</x:v>
      </x:c>
    </x:row>
    <x:row r="36" ht="53" customHeight="1">
      <x:c r="A36" s="24" t="str">
        <x:v>Flexor carpi ulnaris ulnar head</x:v>
      </x:c>
      <x:c r="B36" s="24" t="str">
        <x:v>Anterior superficial</x:v>
      </x:c>
      <x:c r="C36" s="24" t="str">
        <x:v>Flexor</x:v>
      </x:c>
      <x:c r="D36" s="28" t="str">
        <x:v>Yes</x:v>
      </x:c>
      <x:c r="E36" s="28" t="str">
        <x:v>No</x:v>
      </x:c>
      <x:c r="F36" s="28" t="str">
        <x:v>No</x:v>
      </x:c>
      <x:c r="G36" s="24" t="str">
        <x:v>Wrist flexion and ulnar deviation</x:v>
      </x:c>
      <x:c r="H36" s="24" t="str">
        <x:v>Olecranon and posterior border of ulna</x:v>
      </x:c>
      <x:c r="I36" s="24" t="str">
        <x:v>Pisiform; hook of hamate; base of metacarpal 5</x:v>
      </x:c>
      <x:c r="J36" s="24" t="str">
        <x:v>Ulnar nerve</x:v>
      </x:c>
      <x:c r="K36" s="24" t="str">
        <x:v>C8-T1</x:v>
      </x:c>
      <x:c r="L36" s="24" t="str">
        <x:v>FCU tendon via pisiform</x:v>
      </x:c>
      <x:c r="M36" s="24" t="str">
        <x:v>Pisohamate/pisometacarpal ligaments as extensions</x:v>
      </x:c>
      <x:c r="N36" s="30" t="str">
        <x:v>Not established</x:v>
      </x:c>
      <x:c r="O36" s="30" t="str">
        <x:v>Not established</x:v>
      </x:c>
      <x:c r="P36" s="30" t="str">
        <x:v>Mixed Type I and Type II; ratio unverified</x:v>
      </x:c>
      <x:c r="Q36" s="24" t="str">
        <x:v>Published biopsies insufficient to state a reliable per-muscle percentage; no inference from function</x:v>
      </x:c>
      <x:c r="R36" s="32" t="str">
        <x:v>https://www.kenhub.com/en/library/anatomy/upper-limb-muscles-and-movements</x:v>
      </x:c>
      <x:c r="S36" s="32" t="str">
        <x:v>https://pubmed.ncbi.nlm.nih.gov/39359186/</x:v>
      </x:c>
    </x:row>
    <x:row r="37" ht="53" customHeight="1">
      <x:c r="A37" s="24" t="str">
        <x:v>Palmaris longus</x:v>
      </x:c>
      <x:c r="B37" s="24" t="str">
        <x:v>Anterior superficial</x:v>
      </x:c>
      <x:c r="C37" s="24" t="str">
        <x:v>Flexor; Stabilizer</x:v>
      </x:c>
      <x:c r="D37" s="28" t="str">
        <x:v>Yes</x:v>
      </x:c>
      <x:c r="E37" s="28" t="str">
        <x:v>No</x:v>
      </x:c>
      <x:c r="F37" s="28" t="str">
        <x:v>Yes</x:v>
      </x:c>
      <x:c r="G37" s="24" t="str">
        <x:v>Weak wrist flexion; tensions palmar aponeurosis</x:v>
      </x:c>
      <x:c r="H37" s="24" t="str">
        <x:v>Medial epicondyle via common flexor tendon</x:v>
      </x:c>
      <x:c r="I37" s="24" t="str">
        <x:v>Palmar aponeurosis and flexor retinaculum</x:v>
      </x:c>
      <x:c r="J37" s="24" t="str">
        <x:v>Median nerve</x:v>
      </x:c>
      <x:c r="K37" s="24" t="str">
        <x:v>C7-C8</x:v>
      </x:c>
      <x:c r="L37" s="24" t="str">
        <x:v>Long palmaris longus tendon; palmar aponeurosis</x:v>
      </x:c>
      <x:c r="M37" s="24" t="str">
        <x:v>Flexor retinaculum direct distal attachment</x:v>
      </x:c>
      <x:c r="N37" s="30" t="str">
        <x:v>Not established</x:v>
      </x:c>
      <x:c r="O37" s="30" t="str">
        <x:v>Not established</x:v>
      </x:c>
      <x:c r="P37" s="30" t="str">
        <x:v>Mixed Type I and Type II; ratio unverified</x:v>
      </x:c>
      <x:c r="Q37" s="24" t="str">
        <x:v>Published biopsies insufficient to state a reliable per-muscle percentage; no inference from function</x:v>
      </x:c>
      <x:c r="R37" s="32" t="str">
        <x:v>https://www.kenhub.com/en/library/anatomy/upper-limb-muscles-and-movements</x:v>
      </x:c>
      <x:c r="S37" s="32" t="str">
        <x:v>https://pubmed.ncbi.nlm.nih.gov/39359186/</x:v>
      </x:c>
    </x:row>
    <x:row r="38" ht="53" customHeight="1">
      <x:c r="A38" s="24" t="str">
        <x:v>Pronator teres humeral head</x:v>
      </x:c>
      <x:c r="B38" s="24" t="str">
        <x:v>Anterior superficial</x:v>
      </x:c>
      <x:c r="C38" s="24" t="str">
        <x:v>Flexor</x:v>
      </x:c>
      <x:c r="D38" s="28" t="str">
        <x:v>Yes</x:v>
      </x:c>
      <x:c r="E38" s="28" t="str">
        <x:v>No</x:v>
      </x:c>
      <x:c r="F38" s="28" t="str">
        <x:v>No</x:v>
      </x:c>
      <x:c r="G38" s="24" t="str">
        <x:v>Forearm pronation; weak elbow flexion</x:v>
      </x:c>
      <x:c r="H38" s="24" t="str">
        <x:v>Medial epicondyle via common flexor origin</x:v>
      </x:c>
      <x:c r="I38" s="24" t="str">
        <x:v>Lateral midshaft of radius</x:v>
      </x:c>
      <x:c r="J38" s="24" t="str">
        <x:v>Median nerve</x:v>
      </x:c>
      <x:c r="K38" s="24" t="str">
        <x:v>C6-C7</x:v>
      </x:c>
      <x:c r="L38" s="24" t="str">
        <x:v>Common flexor tendon</x:v>
      </x:c>
      <x:c r="M38" s="24" t="str">
        <x:v>Ulnar collateral ligament elbow adjacent</x:v>
      </x:c>
      <x:c r="N38" s="30" t="str">
        <x:v>Not established</x:v>
      </x:c>
      <x:c r="O38" s="30" t="str">
        <x:v>Not established</x:v>
      </x:c>
      <x:c r="P38" s="30" t="str">
        <x:v>Mixed Type I and Type II; ratio unverified</x:v>
      </x:c>
      <x:c r="Q38" s="24" t="str">
        <x:v>Published biopsies insufficient to state a reliable per-muscle percentage; no inference from function</x:v>
      </x:c>
      <x:c r="R38" s="32" t="str">
        <x:v>https://www.kenhub.com/en/library/anatomy/upper-limb-muscles-and-movements</x:v>
      </x:c>
      <x:c r="S38" s="32" t="str">
        <x:v>https://pubmed.ncbi.nlm.nih.gov/39359186/</x:v>
      </x:c>
    </x:row>
    <x:row r="39" ht="53" customHeight="1">
      <x:c r="A39" s="24" t="str">
        <x:v>Pronator teres ulnar head</x:v>
      </x:c>
      <x:c r="B39" s="24" t="str">
        <x:v>Anterior superficial</x:v>
      </x:c>
      <x:c r="C39" s="24" t="str">
        <x:v>Flexor</x:v>
      </x:c>
      <x:c r="D39" s="28" t="str">
        <x:v>Yes</x:v>
      </x:c>
      <x:c r="E39" s="28" t="str">
        <x:v>No</x:v>
      </x:c>
      <x:c r="F39" s="28" t="str">
        <x:v>No</x:v>
      </x:c>
      <x:c r="G39" s="24" t="str">
        <x:v>Pronation; assists elbow flexion</x:v>
      </x:c>
      <x:c r="H39" s="24" t="str">
        <x:v>Coronoid process of ulna</x:v>
      </x:c>
      <x:c r="I39" s="24" t="str">
        <x:v>Lateral midshaft of radius</x:v>
      </x:c>
      <x:c r="J39" s="24" t="str">
        <x:v>Median nerve</x:v>
      </x:c>
      <x:c r="K39" s="24" t="str">
        <x:v>C6-C7</x:v>
      </x:c>
      <x:c r="L39" s="24" t="str">
        <x:v>Short insertion tendon</x:v>
      </x:c>
      <x:c r="M39" s="24" t="str">
        <x:v>Ulnar collateral ligament of elbow nearby</x:v>
      </x:c>
      <x:c r="N39" s="30" t="str">
        <x:v>Not established</x:v>
      </x:c>
      <x:c r="O39" s="30" t="str">
        <x:v>Not established</x:v>
      </x:c>
      <x:c r="P39" s="30" t="str">
        <x:v>Mixed Type I and Type II; ratio unverified</x:v>
      </x:c>
      <x:c r="Q39" s="24" t="str">
        <x:v>Published biopsies insufficient to state a reliable per-muscle percentage; no inference from function</x:v>
      </x:c>
      <x:c r="R39" s="32" t="str">
        <x:v>https://www.kenhub.com/en/library/anatomy/upper-limb-muscles-and-movements</x:v>
      </x:c>
      <x:c r="S39" s="32" t="str">
        <x:v>https://pubmed.ncbi.nlm.nih.gov/39359186/</x:v>
      </x:c>
    </x:row>
    <x:row r="40" ht="53" customHeight="1">
      <x:c r="A40" s="24" t="str">
        <x:v>Brachioradialis</x:v>
      </x:c>
      <x:c r="B40" s="24" t="str">
        <x:v>Lateral forearm</x:v>
      </x:c>
      <x:c r="C40" s="24" t="str">
        <x:v>Flexor</x:v>
      </x:c>
      <x:c r="D40" s="28" t="str">
        <x:v>Yes</x:v>
      </x:c>
      <x:c r="E40" s="28" t="str">
        <x:v>No</x:v>
      </x:c>
      <x:c r="F40" s="28" t="str">
        <x:v>No</x:v>
      </x:c>
      <x:c r="G40" s="24" t="str">
        <x:v>Elbow flexion strongest at mid-pronation</x:v>
      </x:c>
      <x:c r="H40" s="24" t="str">
        <x:v>Proximal 2/3 lateral supracondylar ridge humerus</x:v>
      </x:c>
      <x:c r="I40" s="24" t="str">
        <x:v>Lateral distal radius proximal to styloid</x:v>
      </x:c>
      <x:c r="J40" s="24" t="str">
        <x:v>Radial nerve</x:v>
      </x:c>
      <x:c r="K40" s="24" t="str">
        <x:v>C5-C7</x:v>
      </x:c>
      <x:c r="L40" s="24" t="str">
        <x:v>Distal brachioradialis tendon</x:v>
      </x:c>
      <x:c r="M40" s="24" t="str">
        <x:v>Radial collateral elbow ligament near origin</x:v>
      </x:c>
      <x:c r="N40" s="30" t="str">
        <x:v>Not established</x:v>
      </x:c>
      <x:c r="O40" s="30" t="str">
        <x:v>Not established</x:v>
      </x:c>
      <x:c r="P40" s="30" t="str">
        <x:v>Mixed Type I and Type II; ratio unverified</x:v>
      </x:c>
      <x:c r="Q40" s="24" t="str">
        <x:v>Published biopsies insufficient to state a reliable per-muscle percentage; no inference from function</x:v>
      </x:c>
      <x:c r="R40" s="32" t="str">
        <x:v>https://www.kenhub.com/en/library/anatomy/upper-limb-muscles-and-movements</x:v>
      </x:c>
      <x:c r="S40" s="32" t="str">
        <x:v>https://pubmed.ncbi.nlm.nih.gov/39359186/</x:v>
      </x:c>
    </x:row>
    <x:row r="41" ht="53" customHeight="1">
      <x:c r="A41" s="24" t="str">
        <x:v>Abductor pollicis longus</x:v>
      </x:c>
      <x:c r="B41" s="24" t="str">
        <x:v>Posterior deep</x:v>
      </x:c>
      <x:c r="C41" s="24" t="str">
        <x:v>Extensor; Stabilizer</x:v>
      </x:c>
      <x:c r="D41" s="28" t="str">
        <x:v>No</x:v>
      </x:c>
      <x:c r="E41" s="28" t="str">
        <x:v>Yes</x:v>
      </x:c>
      <x:c r="F41" s="28" t="str">
        <x:v>Yes</x:v>
      </x:c>
      <x:c r="G41" s="24" t="str">
        <x:v>Abducts/extends thumb CMC; stabilizes thumb</x:v>
      </x:c>
      <x:c r="H41" s="24" t="str">
        <x:v>Posterior radius and ulna; interosseous membrane</x:v>
      </x:c>
      <x:c r="I41" s="24" t="str">
        <x:v>Lateral base metacarpal 1</x:v>
      </x:c>
      <x:c r="J41" s="24" t="str">
        <x:v>Posterior interosseous nerve</x:v>
      </x:c>
      <x:c r="K41" s="24" t="str">
        <x:v>C7-C8</x:v>
      </x:c>
      <x:c r="L41" s="24" t="str">
        <x:v>APL tendon(s), first dorsal compartment</x:v>
      </x:c>
      <x:c r="M41" s="24" t="str">
        <x:v>Extensor retinaculum restrains tendon</x:v>
      </x:c>
      <x:c r="N41" s="30" t="str">
        <x:v>Not established</x:v>
      </x:c>
      <x:c r="O41" s="30" t="str">
        <x:v>Not established</x:v>
      </x:c>
      <x:c r="P41" s="30" t="str">
        <x:v>Mixed Type I and Type II; ratio unverified</x:v>
      </x:c>
      <x:c r="Q41" s="24" t="str">
        <x:v>Published biopsies insufficient to state a reliable per-muscle percentage; no inference from function</x:v>
      </x:c>
      <x:c r="R41" s="32" t="str">
        <x:v>https://www.kenhub.com/en/library/anatomy/upper-limb-muscles-and-movements</x:v>
      </x:c>
      <x:c r="S41" s="32" t="str">
        <x:v>https://pubmed.ncbi.nlm.nih.gov/39359186/</x:v>
      </x:c>
    </x:row>
    <x:row r="42" ht="53" customHeight="1">
      <x:c r="A42" s="24" t="str">
        <x:v>Extensor indicis</x:v>
      </x:c>
      <x:c r="B42" s="24" t="str">
        <x:v>Posterior deep</x:v>
      </x:c>
      <x:c r="C42" s="24" t="str">
        <x:v>Extensor</x:v>
      </x:c>
      <x:c r="D42" s="28" t="str">
        <x:v>No</x:v>
      </x:c>
      <x:c r="E42" s="28" t="str">
        <x:v>Yes</x:v>
      </x:c>
      <x:c r="F42" s="28" t="str">
        <x:v>No</x:v>
      </x:c>
      <x:c r="G42" s="24" t="str">
        <x:v>Independent index extension</x:v>
      </x:c>
      <x:c r="H42" s="24" t="str">
        <x:v>Posterior distal ulna; interosseous membrane</x:v>
      </x:c>
      <x:c r="I42" s="24" t="str">
        <x:v>Extensor expansion index finger</x:v>
      </x:c>
      <x:c r="J42" s="24" t="str">
        <x:v>Posterior interosseous nerve</x:v>
      </x:c>
      <x:c r="K42" s="24" t="str">
        <x:v>C7-C8</x:v>
      </x:c>
      <x:c r="L42" s="24" t="str">
        <x:v>EI tendon, fourth dorsal compartment</x:v>
      </x:c>
      <x:c r="M42" s="24" t="str">
        <x:v>Extensor retinaculum and sagittal band</x:v>
      </x:c>
      <x:c r="N42" s="30" t="str">
        <x:v>Not established</x:v>
      </x:c>
      <x:c r="O42" s="30" t="str">
        <x:v>Not established</x:v>
      </x:c>
      <x:c r="P42" s="30" t="str">
        <x:v>Mixed Type I and Type II; ratio unverified</x:v>
      </x:c>
      <x:c r="Q42" s="24" t="str">
        <x:v>Published biopsies insufficient to state a reliable per-muscle percentage; no inference from function</x:v>
      </x:c>
      <x:c r="R42" s="32" t="str">
        <x:v>https://www.kenhub.com/en/library/anatomy/upper-limb-muscles-and-movements</x:v>
      </x:c>
      <x:c r="S42" s="32" t="str">
        <x:v>https://pubmed.ncbi.nlm.nih.gov/39359186/</x:v>
      </x:c>
    </x:row>
    <x:row r="43" ht="53" customHeight="1">
      <x:c r="A43" s="24" t="str">
        <x:v>Extensor pollicis brevis</x:v>
      </x:c>
      <x:c r="B43" s="24" t="str">
        <x:v>Posterior deep</x:v>
      </x:c>
      <x:c r="C43" s="24" t="str">
        <x:v>Extensor</x:v>
      </x:c>
      <x:c r="D43" s="28" t="str">
        <x:v>No</x:v>
      </x:c>
      <x:c r="E43" s="28" t="str">
        <x:v>Yes</x:v>
      </x:c>
      <x:c r="F43" s="28" t="str">
        <x:v>No</x:v>
      </x:c>
      <x:c r="G43" s="24" t="str">
        <x:v>Extends thumb MCP and CMC</x:v>
      </x:c>
      <x:c r="H43" s="24" t="str">
        <x:v>Posterior distal radius; interosseous membrane</x:v>
      </x:c>
      <x:c r="I43" s="24" t="str">
        <x:v>Dorsal base proximal phalanx thumb</x:v>
      </x:c>
      <x:c r="J43" s="24" t="str">
        <x:v>Posterior interosseous nerve</x:v>
      </x:c>
      <x:c r="K43" s="24" t="str">
        <x:v>C7-C8</x:v>
      </x:c>
      <x:c r="L43" s="24" t="str">
        <x:v>EPB tendon, first dorsal compartment</x:v>
      </x:c>
      <x:c r="M43" s="24" t="str">
        <x:v>Extensor retinaculum restrains tendon</x:v>
      </x:c>
      <x:c r="N43" s="30" t="str">
        <x:v>Not established</x:v>
      </x:c>
      <x:c r="O43" s="30" t="str">
        <x:v>Not established</x:v>
      </x:c>
      <x:c r="P43" s="30" t="str">
        <x:v>Mixed Type I and Type II; ratio unverified</x:v>
      </x:c>
      <x:c r="Q43" s="24" t="str">
        <x:v>Published biopsies insufficient to state a reliable per-muscle percentage; no inference from function</x:v>
      </x:c>
      <x:c r="R43" s="32" t="str">
        <x:v>https://www.kenhub.com/en/library/anatomy/upper-limb-muscles-and-movements</x:v>
      </x:c>
      <x:c r="S43" s="32" t="str">
        <x:v>https://pubmed.ncbi.nlm.nih.gov/39359186/</x:v>
      </x:c>
    </x:row>
    <x:row r="44" ht="53" customHeight="1">
      <x:c r="A44" s="24" t="str">
        <x:v>Extensor pollicis longus</x:v>
      </x:c>
      <x:c r="B44" s="24" t="str">
        <x:v>Posterior deep</x:v>
      </x:c>
      <x:c r="C44" s="24" t="str">
        <x:v>Extensor</x:v>
      </x:c>
      <x:c r="D44" s="28" t="str">
        <x:v>No</x:v>
      </x:c>
      <x:c r="E44" s="28" t="str">
        <x:v>Yes</x:v>
      </x:c>
      <x:c r="F44" s="28" t="str">
        <x:v>No</x:v>
      </x:c>
      <x:c r="G44" s="24" t="str">
        <x:v>Extends thumb IP; assists MCP/CMC extension</x:v>
      </x:c>
      <x:c r="H44" s="24" t="str">
        <x:v>Posterior middle ulna; interosseous membrane</x:v>
      </x:c>
      <x:c r="I44" s="24" t="str">
        <x:v>Dorsal base distal phalanx thumb</x:v>
      </x:c>
      <x:c r="J44" s="24" t="str">
        <x:v>Posterior interosseous nerve</x:v>
      </x:c>
      <x:c r="K44" s="24" t="str">
        <x:v>C7-C8</x:v>
      </x:c>
      <x:c r="L44" s="24" t="str">
        <x:v>EPL tendon, third dorsal compartment</x:v>
      </x:c>
      <x:c r="M44" s="24" t="str">
        <x:v>Extensor retinaculum and Lister tubercle redirect tendon</x:v>
      </x:c>
      <x:c r="N44" s="30" t="str">
        <x:v>Not established</x:v>
      </x:c>
      <x:c r="O44" s="30" t="str">
        <x:v>Not established</x:v>
      </x:c>
      <x:c r="P44" s="30" t="str">
        <x:v>Mixed Type I and Type II; ratio unverified</x:v>
      </x:c>
      <x:c r="Q44" s="24" t="str">
        <x:v>Published biopsies insufficient to state a reliable per-muscle percentage; no inference from function</x:v>
      </x:c>
      <x:c r="R44" s="32" t="str">
        <x:v>https://www.kenhub.com/en/library/anatomy/upper-limb-muscles-and-movements</x:v>
      </x:c>
      <x:c r="S44" s="32" t="str">
        <x:v>https://pubmed.ncbi.nlm.nih.gov/39359186/</x:v>
      </x:c>
    </x:row>
    <x:row r="45" ht="53" customHeight="1">
      <x:c r="A45" s="24" t="str">
        <x:v>Supinator deep layer</x:v>
      </x:c>
      <x:c r="B45" s="24" t="str">
        <x:v>Posterior deep</x:v>
      </x:c>
      <x:c r="C45" s="24" t="str">
        <x:v>Stabilizer</x:v>
      </x:c>
      <x:c r="D45" s="28" t="str">
        <x:v>No</x:v>
      </x:c>
      <x:c r="E45" s="28" t="str">
        <x:v>No</x:v>
      </x:c>
      <x:c r="F45" s="28" t="str">
        <x:v>Yes</x:v>
      </x:c>
      <x:c r="G45" s="24" t="str">
        <x:v>Supination; proximal radioulnar stabilization</x:v>
      </x:c>
      <x:c r="H45" s="24" t="str">
        <x:v>Supinator crest and fossa of ulna</x:v>
      </x:c>
      <x:c r="I45" s="24" t="str">
        <x:v>Proximal third radius</x:v>
      </x:c>
      <x:c r="J45" s="24" t="str">
        <x:v>Deep branch of radial nerve</x:v>
      </x:c>
      <x:c r="K45" s="24" t="str">
        <x:v>C6-C7</x:v>
      </x:c>
      <x:c r="L45" s="24" t="str">
        <x:v>Broad muscular insertion</x:v>
      </x:c>
      <x:c r="M45" s="24" t="str">
        <x:v>Annular ligament nearby/direct proximal fascial fibers</x:v>
      </x:c>
      <x:c r="N45" s="30" t="str">
        <x:v>Not established</x:v>
      </x:c>
      <x:c r="O45" s="30" t="str">
        <x:v>Not established</x:v>
      </x:c>
      <x:c r="P45" s="30" t="str">
        <x:v>Mixed Type I and Type II; ratio unverified</x:v>
      </x:c>
      <x:c r="Q45" s="24" t="str">
        <x:v>Published biopsies insufficient to state a reliable per-muscle percentage; no inference from function</x:v>
      </x:c>
      <x:c r="R45" s="32" t="str">
        <x:v>https://www.kenhub.com/en/library/anatomy/upper-limb-muscles-and-movements</x:v>
      </x:c>
      <x:c r="S45" s="32" t="str">
        <x:v>https://pubmed.ncbi.nlm.nih.gov/39359186/</x:v>
      </x:c>
    </x:row>
    <x:row r="46" ht="53" customHeight="1">
      <x:c r="A46" s="24" t="str">
        <x:v>Supinator superficial layer</x:v>
      </x:c>
      <x:c r="B46" s="24" t="str">
        <x:v>Posterior deep</x:v>
      </x:c>
      <x:c r="C46" s="24" t="str">
        <x:v>Stabilizer</x:v>
      </x:c>
      <x:c r="D46" s="28" t="str">
        <x:v>No</x:v>
      </x:c>
      <x:c r="E46" s="28" t="str">
        <x:v>No</x:v>
      </x:c>
      <x:c r="F46" s="28" t="str">
        <x:v>Yes</x:v>
      </x:c>
      <x:c r="G46" s="24" t="str">
        <x:v>Supinates forearm</x:v>
      </x:c>
      <x:c r="H46" s="24" t="str">
        <x:v>Lateral epicondyle; radial collateral and annular ligaments; supinator crest ulna</x:v>
      </x:c>
      <x:c r="I46" s="24" t="str">
        <x:v>Proximal third radius</x:v>
      </x:c>
      <x:c r="J46" s="24" t="str">
        <x:v>Deep branch of radial nerve</x:v>
      </x:c>
      <x:c r="K46" s="24" t="str">
        <x:v>C6-C7</x:v>
      </x:c>
      <x:c r="L46" s="24" t="str">
        <x:v>Aponeurotic attachment</x:v>
      </x:c>
      <x:c r="M46" s="24" t="str">
        <x:v>Annular and radial collateral ligaments direct origins</x:v>
      </x:c>
      <x:c r="N46" s="30" t="str">
        <x:v>Not established</x:v>
      </x:c>
      <x:c r="O46" s="30" t="str">
        <x:v>Not established</x:v>
      </x:c>
      <x:c r="P46" s="30" t="str">
        <x:v>Mixed Type I and Type II; ratio unverified</x:v>
      </x:c>
      <x:c r="Q46" s="24" t="str">
        <x:v>Published biopsies insufficient to state a reliable per-muscle percentage; no inference from function</x:v>
      </x:c>
      <x:c r="R46" s="32" t="str">
        <x:v>https://www.kenhub.com/en/library/anatomy/upper-limb-muscles-and-movements</x:v>
      </x:c>
      <x:c r="S46" s="32" t="str">
        <x:v>https://pubmed.ncbi.nlm.nih.gov/39359186/</x:v>
      </x:c>
    </x:row>
    <x:row r="47" ht="53" customHeight="1">
      <x:c r="A47" s="24" t="str">
        <x:v>Extensor carpi ulnaris</x:v>
      </x:c>
      <x:c r="B47" s="24" t="str">
        <x:v>Posterior superficial</x:v>
      </x:c>
      <x:c r="C47" s="24" t="str">
        <x:v>Extensor; Stabilizer</x:v>
      </x:c>
      <x:c r="D47" s="28" t="str">
        <x:v>No</x:v>
      </x:c>
      <x:c r="E47" s="28" t="str">
        <x:v>Yes</x:v>
      </x:c>
      <x:c r="F47" s="28" t="str">
        <x:v>Yes</x:v>
      </x:c>
      <x:c r="G47" s="24" t="str">
        <x:v>Wrist extension and ulnar deviation</x:v>
      </x:c>
      <x:c r="H47" s="24" t="str">
        <x:v>Lateral epicondyle; posterior ulna</x:v>
      </x:c>
      <x:c r="I47" s="24" t="str">
        <x:v>Dorsal base metacarpal 5</x:v>
      </x:c>
      <x:c r="J47" s="24" t="str">
        <x:v>Posterior interosseous nerve</x:v>
      </x:c>
      <x:c r="K47" s="24" t="str">
        <x:v>C7-C8</x:v>
      </x:c>
      <x:c r="L47" s="24" t="str">
        <x:v>ECU tendon, sixth dorsal compartment</x:v>
      </x:c>
      <x:c r="M47" s="24" t="str">
        <x:v>Extensor retinaculum and ECU subsheath restrain tendon</x:v>
      </x:c>
      <x:c r="N47" s="30" t="str">
        <x:v>Not established</x:v>
      </x:c>
      <x:c r="O47" s="30" t="str">
        <x:v>Not established</x:v>
      </x:c>
      <x:c r="P47" s="30" t="str">
        <x:v>Mixed Type I and Type II; ratio unverified</x:v>
      </x:c>
      <x:c r="Q47" s="24" t="str">
        <x:v>Published biopsies insufficient to state a reliable per-muscle percentage; no inference from function</x:v>
      </x:c>
      <x:c r="R47" s="32" t="str">
        <x:v>https://www.kenhub.com/en/library/anatomy/upper-limb-muscles-and-movements</x:v>
      </x:c>
      <x:c r="S47" s="32" t="str">
        <x:v>https://pubmed.ncbi.nlm.nih.gov/39359186/</x:v>
      </x:c>
    </x:row>
    <x:row r="48" ht="53" customHeight="1">
      <x:c r="A48" s="24" t="str">
        <x:v>Extensor digiti minimi</x:v>
      </x:c>
      <x:c r="B48" s="24" t="str">
        <x:v>Posterior superficial</x:v>
      </x:c>
      <x:c r="C48" s="24" t="str">
        <x:v>Extensor</x:v>
      </x:c>
      <x:c r="D48" s="28" t="str">
        <x:v>No</x:v>
      </x:c>
      <x:c r="E48" s="28" t="str">
        <x:v>Yes</x:v>
      </x:c>
      <x:c r="F48" s="28" t="str">
        <x:v>No</x:v>
      </x:c>
      <x:c r="G48" s="24" t="str">
        <x:v>Extends little finger; assists wrist extension</x:v>
      </x:c>
      <x:c r="H48" s="24" t="str">
        <x:v>Lateral epicondyle via common extensor tendon</x:v>
      </x:c>
      <x:c r="I48" s="24" t="str">
        <x:v>Extensor expansion digit 5</x:v>
      </x:c>
      <x:c r="J48" s="24" t="str">
        <x:v>Posterior interosseous nerve</x:v>
      </x:c>
      <x:c r="K48" s="24" t="str">
        <x:v>C7-C8</x:v>
      </x:c>
      <x:c r="L48" s="24" t="str">
        <x:v>EDM tendon, fifth dorsal compartment</x:v>
      </x:c>
      <x:c r="M48" s="24" t="str">
        <x:v>Extensor retinaculum; extensor hood bands</x:v>
      </x:c>
      <x:c r="N48" s="30" t="str">
        <x:v>Not established</x:v>
      </x:c>
      <x:c r="O48" s="30" t="str">
        <x:v>Not established</x:v>
      </x:c>
      <x:c r="P48" s="30" t="str">
        <x:v>Mixed Type I and Type II; ratio unverified</x:v>
      </x:c>
      <x:c r="Q48" s="24" t="str">
        <x:v>Published biopsies insufficient to state a reliable per-muscle percentage; no inference from function</x:v>
      </x:c>
      <x:c r="R48" s="32" t="str">
        <x:v>https://www.kenhub.com/en/library/anatomy/upper-limb-muscles-and-movements</x:v>
      </x:c>
      <x:c r="S48" s="32" t="str">
        <x:v>https://pubmed.ncbi.nlm.nih.gov/39359186/</x:v>
      </x:c>
    </x:row>
    <x:row r="49" ht="53" customHeight="1">
      <x:c r="A49" s="24" t="str">
        <x:v>Extensor digitorum</x:v>
      </x:c>
      <x:c r="B49" s="24" t="str">
        <x:v>Posterior superficial</x:v>
      </x:c>
      <x:c r="C49" s="24" t="str">
        <x:v>Extensor</x:v>
      </x:c>
      <x:c r="D49" s="28" t="str">
        <x:v>No</x:v>
      </x:c>
      <x:c r="E49" s="28" t="str">
        <x:v>Yes</x:v>
      </x:c>
      <x:c r="F49" s="28" t="str">
        <x:v>No</x:v>
      </x:c>
      <x:c r="G49" s="24" t="str">
        <x:v>Extends MCP and assists IP/wrist extension</x:v>
      </x:c>
      <x:c r="H49" s="24" t="str">
        <x:v>Lateral epicondyle via common extensor tendon</x:v>
      </x:c>
      <x:c r="I49" s="24" t="str">
        <x:v>Extensor expansions of digits 2-5</x:v>
      </x:c>
      <x:c r="J49" s="24" t="str">
        <x:v>Posterior interosseous nerve (radial)</x:v>
      </x:c>
      <x:c r="K49" s="24" t="str">
        <x:v>C7-C8</x:v>
      </x:c>
      <x:c r="L49" s="24" t="str">
        <x:v>Four extensor digitorum tendons with juncturae tendinum</x:v>
      </x:c>
      <x:c r="M49" s="24" t="str">
        <x:v>Extensor retinaculum; sagittal bands of extensor hood</x:v>
      </x:c>
      <x:c r="N49" s="30" t="str">
        <x:v>Not established</x:v>
      </x:c>
      <x:c r="O49" s="30" t="str">
        <x:v>Not established</x:v>
      </x:c>
      <x:c r="P49" s="30" t="str">
        <x:v>Mixed Type I and Type II; ratio unverified</x:v>
      </x:c>
      <x:c r="Q49" s="24" t="str">
        <x:v>Published biopsies insufficient to state a reliable per-muscle percentage; no inference from function</x:v>
      </x:c>
      <x:c r="R49" s="32" t="str">
        <x:v>https://www.kenhub.com/en/library/anatomy/upper-limb-muscles-and-movements</x:v>
      </x:c>
      <x:c r="S49" s="32" t="str">
        <x:v>https://pubmed.ncbi.nlm.nih.gov/39359186/</x:v>
      </x:c>
    </x:row>
    <x:row r="50" ht="53" customHeight="1">
      <x:c r="A50" s="24" t="str">
        <x:v>Extensor carpi radialis brevis</x:v>
      </x:c>
      <x:c r="B50" s="24" t="str">
        <x:v>Posterolateral superficial</x:v>
      </x:c>
      <x:c r="C50" s="24" t="str">
        <x:v>Extensor; Stabilizer</x:v>
      </x:c>
      <x:c r="D50" s="28" t="str">
        <x:v>No</x:v>
      </x:c>
      <x:c r="E50" s="28" t="str">
        <x:v>Yes</x:v>
      </x:c>
      <x:c r="F50" s="28" t="str">
        <x:v>Yes</x:v>
      </x:c>
      <x:c r="G50" s="24" t="str">
        <x:v>Wrist extension and radial deviation</x:v>
      </x:c>
      <x:c r="H50" s="24" t="str">
        <x:v>Lateral epicondyle via common extensor tendon</x:v>
      </x:c>
      <x:c r="I50" s="24" t="str">
        <x:v>Dorsal base metacarpal 3</x:v>
      </x:c>
      <x:c r="J50" s="24" t="str">
        <x:v>Deep branch of radial nerve</x:v>
      </x:c>
      <x:c r="K50" s="24" t="str">
        <x:v>C7-C8</x:v>
      </x:c>
      <x:c r="L50" s="24" t="str">
        <x:v>ECRB tendon, second dorsal compartment</x:v>
      </x:c>
      <x:c r="M50" s="24" t="str">
        <x:v>Radial collateral ligament often blends near proximal attachment; extensor retinaculum</x:v>
      </x:c>
      <x:c r="N50" s="30" t="str">
        <x:v>Not established</x:v>
      </x:c>
      <x:c r="O50" s="30" t="str">
        <x:v>Not established</x:v>
      </x:c>
      <x:c r="P50" s="30" t="str">
        <x:v>Mixed Type I and Type II; ratio unverified</x:v>
      </x:c>
      <x:c r="Q50" s="24" t="str">
        <x:v>Published biopsies insufficient to state a reliable per-muscle percentage; no inference from function</x:v>
      </x:c>
      <x:c r="R50" s="32" t="str">
        <x:v>https://www.kenhub.com/en/library/anatomy/upper-limb-muscles-and-movements</x:v>
      </x:c>
      <x:c r="S50" s="32" t="str">
        <x:v>https://pubmed.ncbi.nlm.nih.gov/39359186/</x:v>
      </x:c>
    </x:row>
    <x:row r="51" ht="53" customHeight="1">
      <x:c r="A51" s="24" t="str">
        <x:v>Extensor carpi radialis longus</x:v>
      </x:c>
      <x:c r="B51" s="24" t="str">
        <x:v>Posterolateral superficial</x:v>
      </x:c>
      <x:c r="C51" s="24" t="str">
        <x:v>Extensor; Stabilizer</x:v>
      </x:c>
      <x:c r="D51" s="28" t="str">
        <x:v>No</x:v>
      </x:c>
      <x:c r="E51" s="28" t="str">
        <x:v>Yes</x:v>
      </x:c>
      <x:c r="F51" s="28" t="str">
        <x:v>Yes</x:v>
      </x:c>
      <x:c r="G51" s="24" t="str">
        <x:v>Wrist extension and radial deviation</x:v>
      </x:c>
      <x:c r="H51" s="24" t="str">
        <x:v>Distal lateral supracondylar ridge humerus</x:v>
      </x:c>
      <x:c r="I51" s="24" t="str">
        <x:v>Dorsal base metacarpal 2</x:v>
      </x:c>
      <x:c r="J51" s="24" t="str">
        <x:v>Radial nerve</x:v>
      </x:c>
      <x:c r="K51" s="24" t="str">
        <x:v>C6-C7</x:v>
      </x:c>
      <x:c r="L51" s="24" t="str">
        <x:v>ECRL tendon, second dorsal extensor compartment</x:v>
      </x:c>
      <x:c r="M51" s="24" t="str">
        <x:v>Extensor retinaculum holds tendon at wrist</x:v>
      </x:c>
      <x:c r="N51" s="30" t="str">
        <x:v>Not established</x:v>
      </x:c>
      <x:c r="O51" s="30" t="str">
        <x:v>Not established</x:v>
      </x:c>
      <x:c r="P51" s="30" t="str">
        <x:v>Mixed Type I and Type II; ratio unverified</x:v>
      </x:c>
      <x:c r="Q51" s="24" t="str">
        <x:v>Published biopsies insufficient to state a reliable per-muscle percentage; no inference from function</x:v>
      </x:c>
      <x:c r="R51" s="32" t="str">
        <x:v>https://www.kenhub.com/en/library/anatomy/upper-limb-muscles-and-movements</x:v>
      </x:c>
      <x:c r="S51" s="32" t="str">
        <x:v>https://pubmed.ncbi.nlm.nih.gov/39359186/</x:v>
      </x:c>
    </x:row>
    <x:row r="52" ht="53" customHeight="1">
      <x:c r="A52" s="24" t="str">
        <x:v>Adductor pollicis oblique head</x:v>
      </x:c>
      <x:c r="B52" s="24" t="str">
        <x:v>Adductor compartment</x:v>
      </x:c>
      <x:c r="C52" s="24" t="str">
        <x:v>Stabilizer</x:v>
      </x:c>
      <x:c r="D52" s="28" t="str">
        <x:v>No</x:v>
      </x:c>
      <x:c r="E52" s="28" t="str">
        <x:v>No</x:v>
      </x:c>
      <x:c r="F52" s="28" t="str">
        <x:v>Yes</x:v>
      </x:c>
      <x:c r="G52" s="24" t="str">
        <x:v>Adducts thumb; strengthens pinch</x:v>
      </x:c>
      <x:c r="H52" s="24" t="str">
        <x:v>Capitate and bases of metacarpals 2-3</x:v>
      </x:c>
      <x:c r="I52" s="24" t="str">
        <x:v>Medial base proximal thumb phalanx and extensor expansion</x:v>
      </x:c>
      <x:c r="J52" s="24" t="str">
        <x:v>Deep branch ulnar nerve</x:v>
      </x:c>
      <x:c r="K52" s="24" t="str">
        <x:v>C8-T1</x:v>
      </x:c>
      <x:c r="L52" s="24" t="str">
        <x:v>Adductor tendon through ulnar sesamoid</x:v>
      </x:c>
      <x:c r="M52" s="24" t="str">
        <x:v>Deep transverse metacarpal ligament adjacent</x:v>
      </x:c>
      <x:c r="N52" s="30" t="str">
        <x:v>Not established</x:v>
      </x:c>
      <x:c r="O52" s="30" t="str">
        <x:v>Not established</x:v>
      </x:c>
      <x:c r="P52" s="30" t="str">
        <x:v>Mixed Type I and Type II; ratio unverified</x:v>
      </x:c>
      <x:c r="Q52" s="24" t="str">
        <x:v>Published biopsies insufficient to state a reliable per-muscle percentage; no inference from function</x:v>
      </x:c>
      <x:c r="R52" s="32" t="str">
        <x:v>https://www.kenhub.com/en/library/anatomy/upper-limb-muscles-and-movements</x:v>
      </x:c>
      <x:c r="S52" s="32" t="str">
        <x:v>https://pubmed.ncbi.nlm.nih.gov/39359186/</x:v>
      </x:c>
    </x:row>
    <x:row r="53" ht="53" customHeight="1">
      <x:c r="A53" s="24" t="str">
        <x:v>Adductor pollicis transverse head</x:v>
      </x:c>
      <x:c r="B53" s="24" t="str">
        <x:v>Adductor compartment</x:v>
      </x:c>
      <x:c r="C53" s="24" t="str">
        <x:v>Stabilizer</x:v>
      </x:c>
      <x:c r="D53" s="28" t="str">
        <x:v>No</x:v>
      </x:c>
      <x:c r="E53" s="28" t="str">
        <x:v>No</x:v>
      </x:c>
      <x:c r="F53" s="28" t="str">
        <x:v>Yes</x:v>
      </x:c>
      <x:c r="G53" s="24" t="str">
        <x:v>Adducts thumb; pinch grip</x:v>
      </x:c>
      <x:c r="H53" s="24" t="str">
        <x:v>Anterior shaft third metacarpal</x:v>
      </x:c>
      <x:c r="I53" s="24" t="str">
        <x:v>Medial base proximal thumb phalanx</x:v>
      </x:c>
      <x:c r="J53" s="24" t="str">
        <x:v>Deep branch ulnar nerve</x:v>
      </x:c>
      <x:c r="K53" s="24" t="str">
        <x:v>C8-T1</x:v>
      </x:c>
      <x:c r="L53" s="24" t="str">
        <x:v>Common adductor tendon</x:v>
      </x:c>
      <x:c r="M53" s="24" t="str">
        <x:v>Deep transverse metacarpal ligament nearby</x:v>
      </x:c>
      <x:c r="N53" s="30" t="str">
        <x:v>Not established</x:v>
      </x:c>
      <x:c r="O53" s="30" t="str">
        <x:v>Not established</x:v>
      </x:c>
      <x:c r="P53" s="30" t="str">
        <x:v>Mixed Type I and Type II; ratio unverified</x:v>
      </x:c>
      <x:c r="Q53" s="24" t="str">
        <x:v>Published biopsies insufficient to state a reliable per-muscle percentage; no inference from function</x:v>
      </x:c>
      <x:c r="R53" s="32" t="str">
        <x:v>https://www.kenhub.com/en/library/anatomy/upper-limb-muscles-and-movements</x:v>
      </x:c>
      <x:c r="S53" s="32" t="str">
        <x:v>https://pubmed.ncbi.nlm.nih.gov/39359186/</x:v>
      </x:c>
    </x:row>
    <x:row r="54" ht="53" customHeight="1">
      <x:c r="A54" s="24" t="str">
        <x:v>Lumbrical 1 (index)</x:v>
      </x:c>
      <x:c r="B54" s="24" t="str">
        <x:v>Central palm</x:v>
      </x:c>
      <x:c r="C54" s="24" t="str">
        <x:v>Flexor; Extensor</x:v>
      </x:c>
      <x:c r="D54" s="28" t="str">
        <x:v>Yes</x:v>
      </x:c>
      <x:c r="E54" s="28" t="str">
        <x:v>Yes</x:v>
      </x:c>
      <x:c r="F54" s="28" t="str">
        <x:v>No</x:v>
      </x:c>
      <x:c r="G54" s="24" t="str">
        <x:v>Flexes MCP while extending PIP/DIP digit 2</x:v>
      </x:c>
      <x:c r="H54" s="24" t="str">
        <x:v>Radial side FDP tendon to index</x:v>
      </x:c>
      <x:c r="I54" s="24" t="str">
        <x:v>Radial extensor expansion digit 2</x:v>
      </x:c>
      <x:c r="J54" s="24" t="str">
        <x:v>Median nerve</x:v>
      </x:c>
      <x:c r="K54" s="24" t="str">
        <x:v>C8-T1</x:v>
      </x:c>
      <x:c r="L54" s="24" t="str">
        <x:v>FDP tendon origin; extensor hood insertion</x:v>
      </x:c>
      <x:c r="M54" s="24" t="str">
        <x:v>Sagittal band/extensor mechanism at digit</x:v>
      </x:c>
      <x:c r="N54" s="30" t="str">
        <x:v>Not established</x:v>
      </x:c>
      <x:c r="O54" s="30" t="str">
        <x:v>Not established</x:v>
      </x:c>
      <x:c r="P54" s="30" t="str">
        <x:v>Mixed Type I and Type II; ratio unverified</x:v>
      </x:c>
      <x:c r="Q54" s="24" t="str">
        <x:v>Published biopsies insufficient to state a reliable per-muscle percentage; no inference from function</x:v>
      </x:c>
      <x:c r="R54" s="32" t="str">
        <x:v>https://www.kenhub.com/en/library/anatomy/upper-limb-muscles-and-movements</x:v>
      </x:c>
      <x:c r="S54" s="32" t="str">
        <x:v>https://pubmed.ncbi.nlm.nih.gov/39359186/</x:v>
      </x:c>
    </x:row>
    <x:row r="55" ht="53" customHeight="1">
      <x:c r="A55" s="24" t="str">
        <x:v>Lumbrical 2 (middle)</x:v>
      </x:c>
      <x:c r="B55" s="24" t="str">
        <x:v>Central palm</x:v>
      </x:c>
      <x:c r="C55" s="24" t="str">
        <x:v>Flexor; Extensor</x:v>
      </x:c>
      <x:c r="D55" s="28" t="str">
        <x:v>Yes</x:v>
      </x:c>
      <x:c r="E55" s="28" t="str">
        <x:v>Yes</x:v>
      </x:c>
      <x:c r="F55" s="28" t="str">
        <x:v>No</x:v>
      </x:c>
      <x:c r="G55" s="24" t="str">
        <x:v>Flexes MCP while extending IP digits 3</x:v>
      </x:c>
      <x:c r="H55" s="24" t="str">
        <x:v>Radial side FDP tendon to middle</x:v>
      </x:c>
      <x:c r="I55" s="24" t="str">
        <x:v>Radial extensor expansion digit 3</x:v>
      </x:c>
      <x:c r="J55" s="24" t="str">
        <x:v>Median nerve</x:v>
      </x:c>
      <x:c r="K55" s="24" t="str">
        <x:v>C8-T1</x:v>
      </x:c>
      <x:c r="L55" s="24" t="str">
        <x:v>FDP tendon origin; extensor hood insertion</x:v>
      </x:c>
      <x:c r="M55" s="24" t="str">
        <x:v>Extensor hood sagittal band, adjacent</x:v>
      </x:c>
      <x:c r="N55" s="30" t="str">
        <x:v>Not established</x:v>
      </x:c>
      <x:c r="O55" s="30" t="str">
        <x:v>Not established</x:v>
      </x:c>
      <x:c r="P55" s="30" t="str">
        <x:v>Mixed Type I and Type II; ratio unverified</x:v>
      </x:c>
      <x:c r="Q55" s="24" t="str">
        <x:v>Published biopsies insufficient to state a reliable per-muscle percentage; no inference from function</x:v>
      </x:c>
      <x:c r="R55" s="32" t="str">
        <x:v>https://www.kenhub.com/en/library/anatomy/upper-limb-muscles-and-movements</x:v>
      </x:c>
      <x:c r="S55" s="32" t="str">
        <x:v>https://pubmed.ncbi.nlm.nih.gov/39359186/</x:v>
      </x:c>
    </x:row>
    <x:row r="56" ht="53" customHeight="1">
      <x:c r="A56" s="24" t="str">
        <x:v>Lumbrical 3 (ring)</x:v>
      </x:c>
      <x:c r="B56" s="24" t="str">
        <x:v>Central palm</x:v>
      </x:c>
      <x:c r="C56" s="24" t="str">
        <x:v>Flexor; Extensor</x:v>
      </x:c>
      <x:c r="D56" s="28" t="str">
        <x:v>Yes</x:v>
      </x:c>
      <x:c r="E56" s="28" t="str">
        <x:v>Yes</x:v>
      </x:c>
      <x:c r="F56" s="28" t="str">
        <x:v>No</x:v>
      </x:c>
      <x:c r="G56" s="24" t="str">
        <x:v>Flexes MCP while extending IP digit 4</x:v>
      </x:c>
      <x:c r="H56" s="24" t="str">
        <x:v>Adjacent FDP tendons to middle and ring</x:v>
      </x:c>
      <x:c r="I56" s="24" t="str">
        <x:v>Radial extensor expansion digit 4</x:v>
      </x:c>
      <x:c r="J56" s="24" t="str">
        <x:v>Deep branch ulnar nerve</x:v>
      </x:c>
      <x:c r="K56" s="24" t="str">
        <x:v>C8-T1</x:v>
      </x:c>
      <x:c r="L56" s="24" t="str">
        <x:v>FDP tendon origin; extensor expansion insertion</x:v>
      </x:c>
      <x:c r="M56" s="24" t="str">
        <x:v>Extensor mechanism sagittal band</x:v>
      </x:c>
      <x:c r="N56" s="30" t="str">
        <x:v>Not established</x:v>
      </x:c>
      <x:c r="O56" s="30" t="str">
        <x:v>Not established</x:v>
      </x:c>
      <x:c r="P56" s="30" t="str">
        <x:v>Mixed Type I and Type II; ratio unverified</x:v>
      </x:c>
      <x:c r="Q56" s="24" t="str">
        <x:v>Published biopsies insufficient to state a reliable per-muscle percentage; no inference from function</x:v>
      </x:c>
      <x:c r="R56" s="32" t="str">
        <x:v>https://www.kenhub.com/en/library/anatomy/upper-limb-muscles-and-movements</x:v>
      </x:c>
      <x:c r="S56" s="32" t="str">
        <x:v>https://pubmed.ncbi.nlm.nih.gov/39359186/</x:v>
      </x:c>
    </x:row>
    <x:row r="57" ht="53" customHeight="1">
      <x:c r="A57" s="24" t="str">
        <x:v>Lumbrical 4 (little)</x:v>
      </x:c>
      <x:c r="B57" s="24" t="str">
        <x:v>Central palm</x:v>
      </x:c>
      <x:c r="C57" s="24" t="str">
        <x:v>Flexor; Extensor</x:v>
      </x:c>
      <x:c r="D57" s="28" t="str">
        <x:v>Yes</x:v>
      </x:c>
      <x:c r="E57" s="28" t="str">
        <x:v>Yes</x:v>
      </x:c>
      <x:c r="F57" s="28" t="str">
        <x:v>No</x:v>
      </x:c>
      <x:c r="G57" s="24" t="str">
        <x:v>Flexes MCP while extending IP digit 5</x:v>
      </x:c>
      <x:c r="H57" s="24" t="str">
        <x:v>Adjacent FDP tendons to ring and little fingers</x:v>
      </x:c>
      <x:c r="I57" s="24" t="str">
        <x:v>Radial extensor expansion digit 5</x:v>
      </x:c>
      <x:c r="J57" s="24" t="str">
        <x:v>Deep branch ulnar nerve</x:v>
      </x:c>
      <x:c r="K57" s="24" t="str">
        <x:v>C8-T1</x:v>
      </x:c>
      <x:c r="L57" s="24" t="str">
        <x:v>FDP tendon origin; extensor expansion insertion</x:v>
      </x:c>
      <x:c r="M57" s="24" t="str">
        <x:v>Extensor mechanism sagittal band</x:v>
      </x:c>
      <x:c r="N57" s="30" t="str">
        <x:v>Not established</x:v>
      </x:c>
      <x:c r="O57" s="30" t="str">
        <x:v>Not established</x:v>
      </x:c>
      <x:c r="P57" s="30" t="str">
        <x:v>Mixed Type I and Type II; ratio unverified</x:v>
      </x:c>
      <x:c r="Q57" s="24" t="str">
        <x:v>Published biopsies insufficient to state a reliable per-muscle percentage; no inference from function</x:v>
      </x:c>
      <x:c r="R57" s="32" t="str">
        <x:v>https://www.kenhub.com/en/library/anatomy/upper-limb-muscles-and-movements</x:v>
      </x:c>
      <x:c r="S57" s="32" t="str">
        <x:v>https://pubmed.ncbi.nlm.nih.gov/39359186/</x:v>
      </x:c>
    </x:row>
    <x:row r="58" ht="53" customHeight="1">
      <x:c r="A58" s="24" t="str">
        <x:v>Dorsal interosseous 1 (index)</x:v>
      </x:c>
      <x:c r="B58" s="24" t="str">
        <x:v>Dorsal intermetacarpal</x:v>
      </x:c>
      <x:c r="C58" s="24" t="str">
        <x:v>Flexor; Extensor; Stabilizer</x:v>
      </x:c>
      <x:c r="D58" s="28" t="str">
        <x:v>Yes</x:v>
      </x:c>
      <x:c r="E58" s="28" t="str">
        <x:v>Yes</x:v>
      </x:c>
      <x:c r="F58" s="28" t="str">
        <x:v>Yes</x:v>
      </x:c>
      <x:c r="G58" s="24" t="str">
        <x:v>Abducts index; flexes MCP, extends IP</x:v>
      </x:c>
      <x:c r="H58" s="24" t="str">
        <x:v>Facing sides metacarpals 1-2</x:v>
      </x:c>
      <x:c r="I58" s="24" t="str">
        <x:v>Radial base proximal phalanx and extensor expansion digit 2</x:v>
      </x:c>
      <x:c r="J58" s="24" t="str">
        <x:v>Deep branch ulnar nerve</x:v>
      </x:c>
      <x:c r="K58" s="24" t="str">
        <x:v>C8-T1</x:v>
      </x:c>
      <x:c r="L58" s="24" t="str">
        <x:v>Interosseous insertion tendon to extensor hood</x:v>
      </x:c>
      <x:c r="M58" s="24" t="str">
        <x:v>Deep transverse metacarpal ligament nearby</x:v>
      </x:c>
      <x:c r="N58" s="30" t="str">
        <x:v>Not established</x:v>
      </x:c>
      <x:c r="O58" s="30" t="str">
        <x:v>Not established</x:v>
      </x:c>
      <x:c r="P58" s="30" t="str">
        <x:v>Mixed Type I and Type II; ratio unverified</x:v>
      </x:c>
      <x:c r="Q58" s="24" t="str">
        <x:v>Published biopsies insufficient to state a reliable per-muscle percentage; no inference from function</x:v>
      </x:c>
      <x:c r="R58" s="32" t="str">
        <x:v>https://www.kenhub.com/en/library/anatomy/upper-limb-muscles-and-movements</x:v>
      </x:c>
      <x:c r="S58" s="32" t="str">
        <x:v>https://pubmed.ncbi.nlm.nih.gov/39359186/</x:v>
      </x:c>
    </x:row>
    <x:row r="59" ht="53" customHeight="1">
      <x:c r="A59" s="24" t="str">
        <x:v>Dorsal interosseous 2 (middle radial)</x:v>
      </x:c>
      <x:c r="B59" s="24" t="str">
        <x:v>Dorsal intermetacarpal</x:v>
      </x:c>
      <x:c r="C59" s="24" t="str">
        <x:v>Flexor; Extensor; Stabilizer</x:v>
      </x:c>
      <x:c r="D59" s="28" t="str">
        <x:v>Yes</x:v>
      </x:c>
      <x:c r="E59" s="28" t="str">
        <x:v>Yes</x:v>
      </x:c>
      <x:c r="F59" s="28" t="str">
        <x:v>Yes</x:v>
      </x:c>
      <x:c r="G59" s="24" t="str">
        <x:v>Abducts middle finger radially; MCP flexion/IP extension</x:v>
      </x:c>
      <x:c r="H59" s="24" t="str">
        <x:v>Facing sides metacarpals 2-3</x:v>
      </x:c>
      <x:c r="I59" s="24" t="str">
        <x:v>Radial base proximal phalanx and extensor hood digit 3</x:v>
      </x:c>
      <x:c r="J59" s="24" t="str">
        <x:v>Deep branch ulnar nerve</x:v>
      </x:c>
      <x:c r="K59" s="24" t="str">
        <x:v>C8-T1</x:v>
      </x:c>
      <x:c r="L59" s="24" t="str">
        <x:v>Insertion tendon to extensor hood</x:v>
      </x:c>
      <x:c r="M59" s="24" t="str">
        <x:v>Deep transverse metacarpal ligament nearby</x:v>
      </x:c>
      <x:c r="N59" s="30" t="str">
        <x:v>Not established</x:v>
      </x:c>
      <x:c r="O59" s="30" t="str">
        <x:v>Not established</x:v>
      </x:c>
      <x:c r="P59" s="30" t="str">
        <x:v>Mixed Type I and Type II; ratio unverified</x:v>
      </x:c>
      <x:c r="Q59" s="24" t="str">
        <x:v>Published biopsies insufficient to state a reliable per-muscle percentage; no inference from function</x:v>
      </x:c>
      <x:c r="R59" s="32" t="str">
        <x:v>https://www.kenhub.com/en/library/anatomy/upper-limb-muscles-and-movements</x:v>
      </x:c>
      <x:c r="S59" s="32" t="str">
        <x:v>https://pubmed.ncbi.nlm.nih.gov/39359186/</x:v>
      </x:c>
    </x:row>
    <x:row r="60" ht="53" customHeight="1">
      <x:c r="A60" s="24" t="str">
        <x:v>Dorsal interosseous 3 (middle ulnar)</x:v>
      </x:c>
      <x:c r="B60" s="24" t="str">
        <x:v>Dorsal intermetacarpal</x:v>
      </x:c>
      <x:c r="C60" s="24" t="str">
        <x:v>Flexor; Extensor; Stabilizer</x:v>
      </x:c>
      <x:c r="D60" s="28" t="str">
        <x:v>Yes</x:v>
      </x:c>
      <x:c r="E60" s="28" t="str">
        <x:v>Yes</x:v>
      </x:c>
      <x:c r="F60" s="28" t="str">
        <x:v>Yes</x:v>
      </x:c>
      <x:c r="G60" s="24" t="str">
        <x:v>Abducts middle finger ulnarly; MCP flexion/IP extension</x:v>
      </x:c>
      <x:c r="H60" s="24" t="str">
        <x:v>Facing sides metacarpals 3-4</x:v>
      </x:c>
      <x:c r="I60" s="24" t="str">
        <x:v>Ulnar base proximal phalanx and extensor hood digit 3</x:v>
      </x:c>
      <x:c r="J60" s="24" t="str">
        <x:v>Deep branch ulnar nerve</x:v>
      </x:c>
      <x:c r="K60" s="24" t="str">
        <x:v>C8-T1</x:v>
      </x:c>
      <x:c r="L60" s="24" t="str">
        <x:v>Insertion tendon to extensor hood</x:v>
      </x:c>
      <x:c r="M60" s="24" t="str">
        <x:v>Deep transverse metacarpal ligament nearby</x:v>
      </x:c>
      <x:c r="N60" s="30" t="str">
        <x:v>Not established</x:v>
      </x:c>
      <x:c r="O60" s="30" t="str">
        <x:v>Not established</x:v>
      </x:c>
      <x:c r="P60" s="30" t="str">
        <x:v>Mixed Type I and Type II; ratio unverified</x:v>
      </x:c>
      <x:c r="Q60" s="24" t="str">
        <x:v>Published biopsies insufficient to state a reliable per-muscle percentage; no inference from function</x:v>
      </x:c>
      <x:c r="R60" s="32" t="str">
        <x:v>https://www.kenhub.com/en/library/anatomy/upper-limb-muscles-and-movements</x:v>
      </x:c>
      <x:c r="S60" s="32" t="str">
        <x:v>https://pubmed.ncbi.nlm.nih.gov/39359186/</x:v>
      </x:c>
    </x:row>
    <x:row r="61" ht="53" customHeight="1">
      <x:c r="A61" s="24" t="str">
        <x:v>Dorsal interosseous 4 (ring)</x:v>
      </x:c>
      <x:c r="B61" s="24" t="str">
        <x:v>Dorsal intermetacarpal</x:v>
      </x:c>
      <x:c r="C61" s="24" t="str">
        <x:v>Flexor; Extensor; Stabilizer</x:v>
      </x:c>
      <x:c r="D61" s="28" t="str">
        <x:v>Yes</x:v>
      </x:c>
      <x:c r="E61" s="28" t="str">
        <x:v>Yes</x:v>
      </x:c>
      <x:c r="F61" s="28" t="str">
        <x:v>Yes</x:v>
      </x:c>
      <x:c r="G61" s="24" t="str">
        <x:v>Abducts ring finger; MCP flexion/IP extension</x:v>
      </x:c>
      <x:c r="H61" s="24" t="str">
        <x:v>Facing sides metacarpals 4-5</x:v>
      </x:c>
      <x:c r="I61" s="24" t="str">
        <x:v>Ulnar base proximal phalanx and extensor hood digit 4</x:v>
      </x:c>
      <x:c r="J61" s="24" t="str">
        <x:v>Deep branch ulnar nerve</x:v>
      </x:c>
      <x:c r="K61" s="24" t="str">
        <x:v>C8-T1</x:v>
      </x:c>
      <x:c r="L61" s="24" t="str">
        <x:v>Insertion tendon to extensor hood</x:v>
      </x:c>
      <x:c r="M61" s="24" t="str">
        <x:v>Deep transverse metacarpal ligament nearby</x:v>
      </x:c>
      <x:c r="N61" s="30" t="str">
        <x:v>Not established</x:v>
      </x:c>
      <x:c r="O61" s="30" t="str">
        <x:v>Not established</x:v>
      </x:c>
      <x:c r="P61" s="30" t="str">
        <x:v>Mixed Type I and Type II; ratio unverified</x:v>
      </x:c>
      <x:c r="Q61" s="24" t="str">
        <x:v>Published biopsies insufficient to state a reliable per-muscle percentage; no inference from function</x:v>
      </x:c>
      <x:c r="R61" s="32" t="str">
        <x:v>https://www.kenhub.com/en/library/anatomy/upper-limb-muscles-and-movements</x:v>
      </x:c>
      <x:c r="S61" s="32" t="str">
        <x:v>https://pubmed.ncbi.nlm.nih.gov/39359186/</x:v>
      </x:c>
    </x:row>
    <x:row r="62" ht="53" customHeight="1">
      <x:c r="A62" s="24" t="str">
        <x:v>Abductor digiti minimi (hand)</x:v>
      </x:c>
      <x:c r="B62" s="24" t="str">
        <x:v>Hypothenar</x:v>
      </x:c>
      <x:c r="C62" s="24" t="str">
        <x:v>Flexor; Stabilizer</x:v>
      </x:c>
      <x:c r="D62" s="28" t="str">
        <x:v>Yes</x:v>
      </x:c>
      <x:c r="E62" s="28" t="str">
        <x:v>No</x:v>
      </x:c>
      <x:c r="F62" s="28" t="str">
        <x:v>Yes</x:v>
      </x:c>
      <x:c r="G62" s="24" t="str">
        <x:v>Abducts fifth digit; assists MCP flexion</x:v>
      </x:c>
      <x:c r="H62" s="24" t="str">
        <x:v>Pisiform; flexor carpi ulnaris tendon</x:v>
      </x:c>
      <x:c r="I62" s="24" t="str">
        <x:v>Ulnar base proximal phalanx little finger</x:v>
      </x:c>
      <x:c r="J62" s="24" t="str">
        <x:v>Deep branch ulnar nerve</x:v>
      </x:c>
      <x:c r="K62" s="24" t="str">
        <x:v>C8-T1</x:v>
      </x:c>
      <x:c r="L62" s="24" t="str">
        <x:v>ADM tendon to proximal phalanx/extensor expansion</x:v>
      </x:c>
      <x:c r="M62" s="24" t="str">
        <x:v>Pisohamate ligament near origin</x:v>
      </x:c>
      <x:c r="N62" s="30" t="str">
        <x:v>Not established</x:v>
      </x:c>
      <x:c r="O62" s="30" t="str">
        <x:v>Not established</x:v>
      </x:c>
      <x:c r="P62" s="30" t="str">
        <x:v>Mixed Type I and Type II; ratio unverified</x:v>
      </x:c>
      <x:c r="Q62" s="24" t="str">
        <x:v>Published biopsies insufficient to state a reliable per-muscle percentage; no inference from function</x:v>
      </x:c>
      <x:c r="R62" s="32" t="str">
        <x:v>https://www.kenhub.com/en/library/anatomy/upper-limb-muscles-and-movements</x:v>
      </x:c>
      <x:c r="S62" s="32" t="str">
        <x:v>https://pubmed.ncbi.nlm.nih.gov/39359186/</x:v>
      </x:c>
    </x:row>
    <x:row r="63" ht="53" customHeight="1">
      <x:c r="A63" s="24" t="str">
        <x:v>Flexor digiti minimi brevis (hand)</x:v>
      </x:c>
      <x:c r="B63" s="24" t="str">
        <x:v>Hypothenar</x:v>
      </x:c>
      <x:c r="C63" s="24" t="str">
        <x:v>Flexor</x:v>
      </x:c>
      <x:c r="D63" s="28" t="str">
        <x:v>Yes</x:v>
      </x:c>
      <x:c r="E63" s="28" t="str">
        <x:v>No</x:v>
      </x:c>
      <x:c r="F63" s="28" t="str">
        <x:v>No</x:v>
      </x:c>
      <x:c r="G63" s="24" t="str">
        <x:v>Flexes fifth digit MCP</x:v>
      </x:c>
      <x:c r="H63" s="24" t="str">
        <x:v>Hook of hamate; flexor retinaculum</x:v>
      </x:c>
      <x:c r="I63" s="24" t="str">
        <x:v>Ulnar base proximal phalanx digit 5</x:v>
      </x:c>
      <x:c r="J63" s="24" t="str">
        <x:v>Deep branch ulnar nerve</x:v>
      </x:c>
      <x:c r="K63" s="24" t="str">
        <x:v>C8-T1</x:v>
      </x:c>
      <x:c r="L63" s="24" t="str">
        <x:v>Small insertion tendon</x:v>
      </x:c>
      <x:c r="M63" s="24" t="str">
        <x:v>Flexor retinaculum direct origin</x:v>
      </x:c>
      <x:c r="N63" s="30" t="str">
        <x:v>Not established</x:v>
      </x:c>
      <x:c r="O63" s="30" t="str">
        <x:v>Not established</x:v>
      </x:c>
      <x:c r="P63" s="30" t="str">
        <x:v>Mixed Type I and Type II; ratio unverified</x:v>
      </x:c>
      <x:c r="Q63" s="24" t="str">
        <x:v>Published biopsies insufficient to state a reliable per-muscle percentage; no inference from function</x:v>
      </x:c>
      <x:c r="R63" s="32" t="str">
        <x:v>https://www.kenhub.com/en/library/anatomy/upper-limb-muscles-and-movements</x:v>
      </x:c>
      <x:c r="S63" s="32" t="str">
        <x:v>https://pubmed.ncbi.nlm.nih.gov/39359186/</x:v>
      </x:c>
    </x:row>
    <x:row r="64" ht="53" customHeight="1">
      <x:c r="A64" s="24" t="str">
        <x:v>Opponens digiti minimi</x:v>
      </x:c>
      <x:c r="B64" s="24" t="str">
        <x:v>Hypothenar</x:v>
      </x:c>
      <x:c r="C64" s="24" t="str">
        <x:v>Flexor; Stabilizer</x:v>
      </x:c>
      <x:c r="D64" s="28" t="str">
        <x:v>Yes</x:v>
      </x:c>
      <x:c r="E64" s="28" t="str">
        <x:v>No</x:v>
      </x:c>
      <x:c r="F64" s="28" t="str">
        <x:v>Yes</x:v>
      </x:c>
      <x:c r="G64" s="24" t="str">
        <x:v>Draws fifth metacarpal anteriorly; cups palm</x:v>
      </x:c>
      <x:c r="H64" s="24" t="str">
        <x:v>Hook of hamate; flexor retinaculum</x:v>
      </x:c>
      <x:c r="I64" s="24" t="str">
        <x:v>Ulnar border fifth metacarpal</x:v>
      </x:c>
      <x:c r="J64" s="24" t="str">
        <x:v>Deep branch ulnar nerve</x:v>
      </x:c>
      <x:c r="K64" s="24" t="str">
        <x:v>C8-T1</x:v>
      </x:c>
      <x:c r="L64" s="24" t="str">
        <x:v>Broad fleshy insertion</x:v>
      </x:c>
      <x:c r="M64" s="24" t="str">
        <x:v>Flexor retinaculum direct origin</x:v>
      </x:c>
      <x:c r="N64" s="30" t="str">
        <x:v>Not established</x:v>
      </x:c>
      <x:c r="O64" s="30" t="str">
        <x:v>Not established</x:v>
      </x:c>
      <x:c r="P64" s="30" t="str">
        <x:v>Mixed Type I and Type II; ratio unverified</x:v>
      </x:c>
      <x:c r="Q64" s="24" t="str">
        <x:v>Published biopsies insufficient to state a reliable per-muscle percentage; no inference from function</x:v>
      </x:c>
      <x:c r="R64" s="32" t="str">
        <x:v>https://www.kenhub.com/en/library/anatomy/upper-limb-muscles-and-movements</x:v>
      </x:c>
      <x:c r="S64" s="32" t="str">
        <x:v>https://pubmed.ncbi.nlm.nih.gov/39359186/</x:v>
      </x:c>
    </x:row>
    <x:row r="65" ht="53" customHeight="1">
      <x:c r="A65" s="24" t="str">
        <x:v>Palmaris brevis</x:v>
      </x:c>
      <x:c r="B65" s="24" t="str">
        <x:v>Hypothenar superficial</x:v>
      </x:c>
      <x:c r="C65" s="24" t="str">
        <x:v>Stabilizer</x:v>
      </x:c>
      <x:c r="D65" s="28" t="str">
        <x:v>No</x:v>
      </x:c>
      <x:c r="E65" s="28" t="str">
        <x:v>No</x:v>
      </x:c>
      <x:c r="F65" s="28" t="str">
        <x:v>Yes</x:v>
      </x:c>
      <x:c r="G65" s="24" t="str">
        <x:v>Wrinkles hypothenar skin; deepens hand cup</x:v>
      </x:c>
      <x:c r="H65" s="24" t="str">
        <x:v>Palmar aponeurosis and flexor retinaculum</x:v>
      </x:c>
      <x:c r="I65" s="24" t="str">
        <x:v>Dermis of hypothenar skin</x:v>
      </x:c>
      <x:c r="J65" s="24" t="str">
        <x:v>Superficial branch ulnar nerve</x:v>
      </x:c>
      <x:c r="K65" s="24" t="str">
        <x:v>C8-T1</x:v>
      </x:c>
      <x:c r="L65" s="24" t="str">
        <x:v>Dermal fibrous insertion, no long tendon</x:v>
      </x:c>
      <x:c r="M65" s="24" t="str">
        <x:v>Flexor retinaculum direct origin</x:v>
      </x:c>
      <x:c r="N65" s="30" t="str">
        <x:v>Not established</x:v>
      </x:c>
      <x:c r="O65" s="30" t="str">
        <x:v>Not established</x:v>
      </x:c>
      <x:c r="P65" s="30" t="str">
        <x:v>Mixed Type I and Type II; ratio unverified</x:v>
      </x:c>
      <x:c r="Q65" s="24" t="str">
        <x:v>Published biopsies insufficient to state a reliable per-muscle percentage; no inference from function</x:v>
      </x:c>
      <x:c r="R65" s="32" t="str">
        <x:v>https://www.kenhub.com/en/library/anatomy/upper-limb-muscles-and-movements</x:v>
      </x:c>
      <x:c r="S65" s="32" t="str">
        <x:v>https://pubmed.ncbi.nlm.nih.gov/39359186/</x:v>
      </x:c>
    </x:row>
    <x:row r="66" ht="53" customHeight="1">
      <x:c r="A66" s="24" t="str">
        <x:v>Palmar interosseous 1 (index)</x:v>
      </x:c>
      <x:c r="B66" s="24" t="str">
        <x:v>Palmar intermetacarpal</x:v>
      </x:c>
      <x:c r="C66" s="24" t="str">
        <x:v>Flexor; Extensor; Stabilizer</x:v>
      </x:c>
      <x:c r="D66" s="28" t="str">
        <x:v>Yes</x:v>
      </x:c>
      <x:c r="E66" s="28" t="str">
        <x:v>Yes</x:v>
      </x:c>
      <x:c r="F66" s="28" t="str">
        <x:v>Yes</x:v>
      </x:c>
      <x:c r="G66" s="24" t="str">
        <x:v>Adducts index toward digit 3; MCP flexion/IP extension</x:v>
      </x:c>
      <x:c r="H66" s="24" t="str">
        <x:v>Ulnar palmar metacarpal 2</x:v>
      </x:c>
      <x:c r="I66" s="24" t="str">
        <x:v>Ulnar proximal phalanx/extensor hood index</x:v>
      </x:c>
      <x:c r="J66" s="24" t="str">
        <x:v>Deep branch ulnar nerve</x:v>
      </x:c>
      <x:c r="K66" s="24" t="str">
        <x:v>C8-T1</x:v>
      </x:c>
      <x:c r="L66" s="24" t="str">
        <x:v>Tendon to extensor hood</x:v>
      </x:c>
      <x:c r="M66" s="24" t="str">
        <x:v>Deep transverse metacarpal ligament adjacent</x:v>
      </x:c>
      <x:c r="N66" s="30" t="str">
        <x:v>Not established</x:v>
      </x:c>
      <x:c r="O66" s="30" t="str">
        <x:v>Not established</x:v>
      </x:c>
      <x:c r="P66" s="30" t="str">
        <x:v>Mixed Type I and Type II; ratio unverified</x:v>
      </x:c>
      <x:c r="Q66" s="24" t="str">
        <x:v>Published biopsies insufficient to state a reliable per-muscle percentage; no inference from function</x:v>
      </x:c>
      <x:c r="R66" s="32" t="str">
        <x:v>https://www.kenhub.com/en/library/anatomy/upper-limb-muscles-and-movements</x:v>
      </x:c>
      <x:c r="S66" s="32" t="str">
        <x:v>https://pubmed.ncbi.nlm.nih.gov/39359186/</x:v>
      </x:c>
    </x:row>
    <x:row r="67" ht="53" customHeight="1">
      <x:c r="A67" s="24" t="str">
        <x:v>Palmar interosseous 2 (ring)</x:v>
      </x:c>
      <x:c r="B67" s="24" t="str">
        <x:v>Palmar intermetacarpal</x:v>
      </x:c>
      <x:c r="C67" s="24" t="str">
        <x:v>Flexor; Extensor; Stabilizer</x:v>
      </x:c>
      <x:c r="D67" s="28" t="str">
        <x:v>Yes</x:v>
      </x:c>
      <x:c r="E67" s="28" t="str">
        <x:v>Yes</x:v>
      </x:c>
      <x:c r="F67" s="28" t="str">
        <x:v>Yes</x:v>
      </x:c>
      <x:c r="G67" s="24" t="str">
        <x:v>Adducts ring toward digit 3; MCP flexion/IP extension</x:v>
      </x:c>
      <x:c r="H67" s="24" t="str">
        <x:v>Radial palmar metacarpal 4</x:v>
      </x:c>
      <x:c r="I67" s="24" t="str">
        <x:v>Radial proximal phalanx/extensor hood ring</x:v>
      </x:c>
      <x:c r="J67" s="24" t="str">
        <x:v>Deep branch ulnar nerve</x:v>
      </x:c>
      <x:c r="K67" s="24" t="str">
        <x:v>C8-T1</x:v>
      </x:c>
      <x:c r="L67" s="24" t="str">
        <x:v>Tendon to extensor hood</x:v>
      </x:c>
      <x:c r="M67" s="24" t="str">
        <x:v>Deep transverse metacarpal ligament adjacent</x:v>
      </x:c>
      <x:c r="N67" s="30" t="str">
        <x:v>Not established</x:v>
      </x:c>
      <x:c r="O67" s="30" t="str">
        <x:v>Not established</x:v>
      </x:c>
      <x:c r="P67" s="30" t="str">
        <x:v>Mixed Type I and Type II; ratio unverified</x:v>
      </x:c>
      <x:c r="Q67" s="24" t="str">
        <x:v>Published biopsies insufficient to state a reliable per-muscle percentage; no inference from function</x:v>
      </x:c>
      <x:c r="R67" s="32" t="str">
        <x:v>https://www.kenhub.com/en/library/anatomy/upper-limb-muscles-and-movements</x:v>
      </x:c>
      <x:c r="S67" s="32" t="str">
        <x:v>https://pubmed.ncbi.nlm.nih.gov/39359186/</x:v>
      </x:c>
    </x:row>
    <x:row r="68" ht="53" customHeight="1">
      <x:c r="A68" s="24" t="str">
        <x:v>Palmar interosseous 3 (little)</x:v>
      </x:c>
      <x:c r="B68" s="24" t="str">
        <x:v>Palmar intermetacarpal</x:v>
      </x:c>
      <x:c r="C68" s="24" t="str">
        <x:v>Flexor; Extensor; Stabilizer</x:v>
      </x:c>
      <x:c r="D68" s="28" t="str">
        <x:v>Yes</x:v>
      </x:c>
      <x:c r="E68" s="28" t="str">
        <x:v>Yes</x:v>
      </x:c>
      <x:c r="F68" s="28" t="str">
        <x:v>Yes</x:v>
      </x:c>
      <x:c r="G68" s="24" t="str">
        <x:v>Adducts little finger; MCP flexion/IP extension</x:v>
      </x:c>
      <x:c r="H68" s="24" t="str">
        <x:v>Radial palmar metacarpal 5</x:v>
      </x:c>
      <x:c r="I68" s="24" t="str">
        <x:v>Radial proximal phalanx/extensor hood digit 5</x:v>
      </x:c>
      <x:c r="J68" s="24" t="str">
        <x:v>Deep branch ulnar nerve</x:v>
      </x:c>
      <x:c r="K68" s="24" t="str">
        <x:v>C8-T1</x:v>
      </x:c>
      <x:c r="L68" s="24" t="str">
        <x:v>Tendon to extensor hood</x:v>
      </x:c>
      <x:c r="M68" s="24" t="str">
        <x:v>Deep transverse metacarpal ligament adjacent</x:v>
      </x:c>
      <x:c r="N68" s="30" t="str">
        <x:v>Not established</x:v>
      </x:c>
      <x:c r="O68" s="30" t="str">
        <x:v>Not established</x:v>
      </x:c>
      <x:c r="P68" s="30" t="str">
        <x:v>Mixed Type I and Type II; ratio unverified</x:v>
      </x:c>
      <x:c r="Q68" s="24" t="str">
        <x:v>Published biopsies insufficient to state a reliable per-muscle percentage; no inference from function</x:v>
      </x:c>
      <x:c r="R68" s="32" t="str">
        <x:v>https://www.kenhub.com/en/library/anatomy/upper-limb-muscles-and-movements</x:v>
      </x:c>
      <x:c r="S68" s="32" t="str">
        <x:v>https://pubmed.ncbi.nlm.nih.gov/39359186/</x:v>
      </x:c>
    </x:row>
    <x:row r="69" ht="53" customHeight="1">
      <x:c r="A69" s="24" t="str">
        <x:v>Abductor pollicis brevis</x:v>
      </x:c>
      <x:c r="B69" s="24" t="str">
        <x:v>Thenar</x:v>
      </x:c>
      <x:c r="C69" s="24" t="str">
        <x:v>Stabilizer</x:v>
      </x:c>
      <x:c r="D69" s="28" t="str">
        <x:v>No</x:v>
      </x:c>
      <x:c r="E69" s="28" t="str">
        <x:v>No</x:v>
      </x:c>
      <x:c r="F69" s="28" t="str">
        <x:v>Yes</x:v>
      </x:c>
      <x:c r="G69" s="24" t="str">
        <x:v>Abducts thumb perpendicular to palm; assists opposition</x:v>
      </x:c>
      <x:c r="H69" s="24" t="str">
        <x:v>Scaphoid tubercle; trapezium; flexor retinaculum</x:v>
      </x:c>
      <x:c r="I69" s="24" t="str">
        <x:v>Lateral base proximal phalanx thumb/extensor expansion</x:v>
      </x:c>
      <x:c r="J69" s="24" t="str">
        <x:v>Recurrent branch median nerve</x:v>
      </x:c>
      <x:c r="K69" s="24" t="str">
        <x:v>C8-T1</x:v>
      </x:c>
      <x:c r="L69" s="24" t="str">
        <x:v>Thenar aponeurotic insertion</x:v>
      </x:c>
      <x:c r="M69" s="24" t="str">
        <x:v>Flexor retinaculum direct origin</x:v>
      </x:c>
      <x:c r="N69" s="30" t="str">
        <x:v>Not established</x:v>
      </x:c>
      <x:c r="O69" s="30" t="str">
        <x:v>Not established</x:v>
      </x:c>
      <x:c r="P69" s="30" t="str">
        <x:v>Mixed Type I and Type II; ratio unverified</x:v>
      </x:c>
      <x:c r="Q69" s="24" t="str">
        <x:v>Published biopsies insufficient to state a reliable per-muscle percentage; no inference from function</x:v>
      </x:c>
      <x:c r="R69" s="32" t="str">
        <x:v>https://www.kenhub.com/en/library/anatomy/upper-limb-muscles-and-movements</x:v>
      </x:c>
      <x:c r="S69" s="32" t="str">
        <x:v>https://pubmed.ncbi.nlm.nih.gov/39359186/</x:v>
      </x:c>
    </x:row>
    <x:row r="70" ht="53" customHeight="1">
      <x:c r="A70" s="24" t="str">
        <x:v>Flexor pollicis brevis deep head</x:v>
      </x:c>
      <x:c r="B70" s="24" t="str">
        <x:v>Thenar</x:v>
      </x:c>
      <x:c r="C70" s="24" t="str">
        <x:v>Flexor</x:v>
      </x:c>
      <x:c r="D70" s="28" t="str">
        <x:v>Yes</x:v>
      </x:c>
      <x:c r="E70" s="28" t="str">
        <x:v>No</x:v>
      </x:c>
      <x:c r="F70" s="28" t="str">
        <x:v>No</x:v>
      </x:c>
      <x:c r="G70" s="24" t="str">
        <x:v>Flexes thumb MCP</x:v>
      </x:c>
      <x:c r="H70" s="24" t="str">
        <x:v>Trapezoid and capitate</x:v>
      </x:c>
      <x:c r="I70" s="24" t="str">
        <x:v>Lateral base proximal phalanx thumb via sesamoid</x:v>
      </x:c>
      <x:c r="J70" s="24" t="str">
        <x:v>Deep branch ulnar nerve (variable median contribution)</x:v>
      </x:c>
      <x:c r="K70" s="24" t="str">
        <x:v>C8-T1</x:v>
      </x:c>
      <x:c r="L70" s="24" t="str">
        <x:v>Thenar tendon via sesamoid</x:v>
      </x:c>
      <x:c r="M70" s="24" t="str">
        <x:v>Deep transverse metacarpal ligament nearby, no direct attachment</x:v>
      </x:c>
      <x:c r="N70" s="30" t="str">
        <x:v>Not established</x:v>
      </x:c>
      <x:c r="O70" s="30" t="str">
        <x:v>Not established</x:v>
      </x:c>
      <x:c r="P70" s="30" t="str">
        <x:v>Mixed Type I and Type II; ratio unverified</x:v>
      </x:c>
      <x:c r="Q70" s="24" t="str">
        <x:v>Published biopsies insufficient to state a reliable per-muscle percentage; no inference from function</x:v>
      </x:c>
      <x:c r="R70" s="32" t="str">
        <x:v>https://www.kenhub.com/en/library/anatomy/upper-limb-muscles-and-movements</x:v>
      </x:c>
      <x:c r="S70" s="32" t="str">
        <x:v>https://pubmed.ncbi.nlm.nih.gov/39359186/</x:v>
      </x:c>
    </x:row>
    <x:row r="71" ht="53" customHeight="1">
      <x:c r="A71" s="24" t="str">
        <x:v>Flexor pollicis brevis superficial head</x:v>
      </x:c>
      <x:c r="B71" s="24" t="str">
        <x:v>Thenar</x:v>
      </x:c>
      <x:c r="C71" s="24" t="str">
        <x:v>Flexor</x:v>
      </x:c>
      <x:c r="D71" s="28" t="str">
        <x:v>Yes</x:v>
      </x:c>
      <x:c r="E71" s="28" t="str">
        <x:v>No</x:v>
      </x:c>
      <x:c r="F71" s="28" t="str">
        <x:v>No</x:v>
      </x:c>
      <x:c r="G71" s="24" t="str">
        <x:v>Flexes thumb MCP</x:v>
      </x:c>
      <x:c r="H71" s="24" t="str">
        <x:v>Flexor retinaculum and trapezium</x:v>
      </x:c>
      <x:c r="I71" s="24" t="str">
        <x:v>Lateral base proximal phalanx thumb via sesamoid</x:v>
      </x:c>
      <x:c r="J71" s="24" t="str">
        <x:v>Recurrent branch median nerve</x:v>
      </x:c>
      <x:c r="K71" s="24" t="str">
        <x:v>C8-T1</x:v>
      </x:c>
      <x:c r="L71" s="24" t="str">
        <x:v>Insertion via radial sesamoid tendon</x:v>
      </x:c>
      <x:c r="M71" s="24" t="str">
        <x:v>Flexor retinaculum direct origin</x:v>
      </x:c>
      <x:c r="N71" s="30" t="str">
        <x:v>Not established</x:v>
      </x:c>
      <x:c r="O71" s="30" t="str">
        <x:v>Not established</x:v>
      </x:c>
      <x:c r="P71" s="30" t="str">
        <x:v>Mixed Type I and Type II; ratio unverified</x:v>
      </x:c>
      <x:c r="Q71" s="24" t="str">
        <x:v>Published biopsies insufficient to state a reliable per-muscle percentage; no inference from function</x:v>
      </x:c>
      <x:c r="R71" s="32" t="str">
        <x:v>https://www.kenhub.com/en/library/anatomy/upper-limb-muscles-and-movements</x:v>
      </x:c>
      <x:c r="S71" s="32" t="str">
        <x:v>https://pubmed.ncbi.nlm.nih.gov/39359186/</x:v>
      </x:c>
    </x:row>
    <x:row r="72" ht="53" customHeight="1">
      <x:c r="A72" s="24" t="str">
        <x:v>Opponens pollicis</x:v>
      </x:c>
      <x:c r="B72" s="24" t="str">
        <x:v>Thenar</x:v>
      </x:c>
      <x:c r="C72" s="24" t="str">
        <x:v>Flexor; Stabilizer</x:v>
      </x:c>
      <x:c r="D72" s="28" t="str">
        <x:v>Yes</x:v>
      </x:c>
      <x:c r="E72" s="28" t="str">
        <x:v>No</x:v>
      </x:c>
      <x:c r="F72" s="28" t="str">
        <x:v>Yes</x:v>
      </x:c>
      <x:c r="G72" s="24" t="str">
        <x:v>Opposes thumb by flexion and medial rotation at CMC</x:v>
      </x:c>
      <x:c r="H72" s="24" t="str">
        <x:v>Trapezium tubercle; flexor retinaculum</x:v>
      </x:c>
      <x:c r="I72" s="24" t="str">
        <x:v>Lateral shaft first metacarpal</x:v>
      </x:c>
      <x:c r="J72" s="24" t="str">
        <x:v>Recurrent branch median nerve</x:v>
      </x:c>
      <x:c r="K72" s="24" t="str">
        <x:v>C8-T1</x:v>
      </x:c>
      <x:c r="L72" s="24" t="str">
        <x:v>Broad muscular insertion</x:v>
      </x:c>
      <x:c r="M72" s="24" t="str">
        <x:v>Flexor retinaculum direct origin</x:v>
      </x:c>
      <x:c r="N72" s="30" t="str">
        <x:v>Not established</x:v>
      </x:c>
      <x:c r="O72" s="30" t="str">
        <x:v>Not established</x:v>
      </x:c>
      <x:c r="P72" s="30" t="str">
        <x:v>Mixed Type I and Type II; ratio unverified</x:v>
      </x:c>
      <x:c r="Q72" s="24" t="str">
        <x:v>Published biopsies insufficient to state a reliable per-muscle percentage; no inference from function</x:v>
      </x:c>
      <x:c r="R72" s="32" t="str">
        <x:v>https://www.kenhub.com/en/library/anatomy/upper-limb-muscles-and-movements</x:v>
      </x:c>
      <x:c r="S72" s="32" t="str">
        <x:v>https://pubmed.ncbi.nlm.nih.gov/39359186/</x:v>
      </x:c>
    </x:row>
    <x:row r="73" ht="53" customHeight="1">
      <x:c r="A73" s="24" t="str">
        <x:v>Gluteus minimus</x:v>
      </x:c>
      <x:c r="B73" s="24" t="str">
        <x:v>Deep gluteal</x:v>
      </x:c>
      <x:c r="C73" s="24" t="str">
        <x:v>Stabilizer</x:v>
      </x:c>
      <x:c r="D73" s="28" t="str">
        <x:v>No</x:v>
      </x:c>
      <x:c r="E73" s="28" t="str">
        <x:v>No</x:v>
      </x:c>
      <x:c r="F73" s="28" t="str">
        <x:v>Yes</x:v>
      </x:c>
      <x:c r="G73" s="24" t="str">
        <x:v>Abducts/medially rotates hip; stabilizes femoral head</x:v>
      </x:c>
      <x:c r="H73" s="24" t="str">
        <x:v>External ilium between anterior/inferior gluteal lines</x:v>
      </x:c>
      <x:c r="I73" s="24" t="str">
        <x:v>Anterior facet greater trochanter</x:v>
      </x:c>
      <x:c r="J73" s="24" t="str">
        <x:v>Superior gluteal nerve</x:v>
      </x:c>
      <x:c r="K73" s="24" t="str">
        <x:v>L4-S1</x:v>
      </x:c>
      <x:c r="L73" s="24" t="str">
        <x:v>Gluteus minimus tendon and joint-capsule expansions</x:v>
      </x:c>
      <x:c r="M73" s="24" t="str">
        <x:v>Iliofemoral ligament adjacent</x:v>
      </x:c>
      <x:c r="N73" s="30" t="str">
        <x:v>Not established</x:v>
      </x:c>
      <x:c r="O73" s="30" t="str">
        <x:v>Not established</x:v>
      </x:c>
      <x:c r="P73" s="30" t="str">
        <x:v>Mixed Type I and Type II; ratio unverified</x:v>
      </x:c>
      <x:c r="Q73" s="24" t="str">
        <x:v>Published biopsies insufficient to state a reliable per-muscle percentage; no inference from function</x:v>
      </x:c>
      <x:c r="R73" s="32" t="str">
        <x:v>https://www.kenhub.com/en/library/anatomy/lower-extremity-anatomy</x:v>
      </x:c>
      <x:c r="S73" s="32" t="str">
        <x:v>https://pubmed.ncbi.nlm.nih.gov/39359186/</x:v>
      </x:c>
    </x:row>
    <x:row r="74" ht="53" customHeight="1">
      <x:c r="A74" s="24" t="str">
        <x:v>Inferior gemellus</x:v>
      </x:c>
      <x:c r="B74" s="24" t="str">
        <x:v>Deep gluteal</x:v>
      </x:c>
      <x:c r="C74" s="24" t="str">
        <x:v>Stabilizer</x:v>
      </x:c>
      <x:c r="D74" s="28" t="str">
        <x:v>No</x:v>
      </x:c>
      <x:c r="E74" s="28" t="str">
        <x:v>No</x:v>
      </x:c>
      <x:c r="F74" s="28" t="str">
        <x:v>Yes</x:v>
      </x:c>
      <x:c r="G74" s="24" t="str">
        <x:v>Externally rotates extended hip; abducts flexed hip</x:v>
      </x:c>
      <x:c r="H74" s="24" t="str">
        <x:v>Ischial tuberosity</x:v>
      </x:c>
      <x:c r="I74" s="24" t="str">
        <x:v>Medial greater trochanter with obturator internus</x:v>
      </x:c>
      <x:c r="J74" s="24" t="str">
        <x:v>Nerve to quadratus femoris</x:v>
      </x:c>
      <x:c r="K74" s="24" t="str">
        <x:v>L4-S1</x:v>
      </x:c>
      <x:c r="L74" s="24" t="str">
        <x:v>Common tendon with obturator internus</x:v>
      </x:c>
      <x:c r="M74" s="24" t="str">
        <x:v>Sacrotuberous ligament shares ischial tuberosity vicinity</x:v>
      </x:c>
      <x:c r="N74" s="30" t="str">
        <x:v>Not established</x:v>
      </x:c>
      <x:c r="O74" s="30" t="str">
        <x:v>Not established</x:v>
      </x:c>
      <x:c r="P74" s="30" t="str">
        <x:v>Mixed Type I and Type II; ratio unverified</x:v>
      </x:c>
      <x:c r="Q74" s="24" t="str">
        <x:v>Published biopsies insufficient to state a reliable per-muscle percentage; no inference from function</x:v>
      </x:c>
      <x:c r="R74" s="32" t="str">
        <x:v>https://www.kenhub.com/en/library/anatomy/lower-extremity-anatomy</x:v>
      </x:c>
      <x:c r="S74" s="32" t="str">
        <x:v>https://pubmed.ncbi.nlm.nih.gov/39359186/</x:v>
      </x:c>
    </x:row>
    <x:row r="75" ht="53" customHeight="1">
      <x:c r="A75" s="24" t="str">
        <x:v>Obturator internus</x:v>
      </x:c>
      <x:c r="B75" s="24" t="str">
        <x:v>Deep gluteal</x:v>
      </x:c>
      <x:c r="C75" s="24" t="str">
        <x:v>Stabilizer</x:v>
      </x:c>
      <x:c r="D75" s="28" t="str">
        <x:v>No</x:v>
      </x:c>
      <x:c r="E75" s="28" t="str">
        <x:v>No</x:v>
      </x:c>
      <x:c r="F75" s="28" t="str">
        <x:v>Yes</x:v>
      </x:c>
      <x:c r="G75" s="24" t="str">
        <x:v>External hip rotation; abduction of flexed thigh</x:v>
      </x:c>
      <x:c r="H75" s="24" t="str">
        <x:v>Pelvic surface obturator membrane; adjacent pubis/ischium</x:v>
      </x:c>
      <x:c r="I75" s="24" t="str">
        <x:v>Medial surface greater trochanter</x:v>
      </x:c>
      <x:c r="J75" s="24" t="str">
        <x:v>Nerve to obturator internus</x:v>
      </x:c>
      <x:c r="K75" s="24" t="str">
        <x:v>L5-S2</x:v>
      </x:c>
      <x:c r="L75" s="24" t="str">
        <x:v>Tendon bends around lesser sciatic notch</x:v>
      </x:c>
      <x:c r="M75" s="24" t="str">
        <x:v>Obturator membrane (fibrous membrane); sacrospinous ligament nearby</x:v>
      </x:c>
      <x:c r="N75" s="30" t="str">
        <x:v>Not established</x:v>
      </x:c>
      <x:c r="O75" s="30" t="str">
        <x:v>Not established</x:v>
      </x:c>
      <x:c r="P75" s="30" t="str">
        <x:v>Mixed Type I and Type II; ratio unverified</x:v>
      </x:c>
      <x:c r="Q75" s="24" t="str">
        <x:v>Published biopsies insufficient to state a reliable per-muscle percentage; no inference from function</x:v>
      </x:c>
      <x:c r="R75" s="32" t="str">
        <x:v>https://www.kenhub.com/en/library/anatomy/lower-extremity-anatomy</x:v>
      </x:c>
      <x:c r="S75" s="32" t="str">
        <x:v>https://pubmed.ncbi.nlm.nih.gov/39359186/</x:v>
      </x:c>
    </x:row>
    <x:row r="76" ht="53" customHeight="1">
      <x:c r="A76" s="24" t="str">
        <x:v>Piriformis</x:v>
      </x:c>
      <x:c r="B76" s="24" t="str">
        <x:v>Deep gluteal</x:v>
      </x:c>
      <x:c r="C76" s="24" t="str">
        <x:v>Stabilizer</x:v>
      </x:c>
      <x:c r="D76" s="28" t="str">
        <x:v>No</x:v>
      </x:c>
      <x:c r="E76" s="28" t="str">
        <x:v>No</x:v>
      </x:c>
      <x:c r="F76" s="28" t="str">
        <x:v>Yes</x:v>
      </x:c>
      <x:c r="G76" s="24" t="str">
        <x:v>Externally rotates extended hip; abducts flexed hip; steadies joint</x:v>
      </x:c>
      <x:c r="H76" s="24" t="str">
        <x:v>Pelvic/anterior sacrum S2-S4; sacrotuberous ligament variable</x:v>
      </x:c>
      <x:c r="I76" s="24" t="str">
        <x:v>Superior border greater trochanter</x:v>
      </x:c>
      <x:c r="J76" s="24" t="str">
        <x:v>Nerve to piriformis</x:v>
      </x:c>
      <x:c r="K76" s="24" t="str">
        <x:v>S1-S2</x:v>
      </x:c>
      <x:c r="L76" s="24" t="str">
        <x:v>Piriformis insertion tendon</x:v>
      </x:c>
      <x:c r="M76" s="24" t="str">
        <x:v>Sacrotuberous ligament can contribute to origin</x:v>
      </x:c>
      <x:c r="N76" s="30" t="str">
        <x:v>Not established</x:v>
      </x:c>
      <x:c r="O76" s="30" t="str">
        <x:v>Not established</x:v>
      </x:c>
      <x:c r="P76" s="30" t="str">
        <x:v>Mixed Type I and Type II; ratio unverified</x:v>
      </x:c>
      <x:c r="Q76" s="24" t="str">
        <x:v>Published biopsies insufficient to state a reliable per-muscle percentage; no inference from function</x:v>
      </x:c>
      <x:c r="R76" s="32" t="str">
        <x:v>https://www.kenhub.com/en/library/anatomy/lower-extremity-anatomy</x:v>
      </x:c>
      <x:c r="S76" s="32" t="str">
        <x:v>https://pubmed.ncbi.nlm.nih.gov/39359186/</x:v>
      </x:c>
    </x:row>
    <x:row r="77" ht="53" customHeight="1">
      <x:c r="A77" s="24" t="str">
        <x:v>Quadratus femoris</x:v>
      </x:c>
      <x:c r="B77" s="24" t="str">
        <x:v>Deep gluteal</x:v>
      </x:c>
      <x:c r="C77" s="24" t="str">
        <x:v>Stabilizer</x:v>
      </x:c>
      <x:c r="D77" s="28" t="str">
        <x:v>No</x:v>
      </x:c>
      <x:c r="E77" s="28" t="str">
        <x:v>No</x:v>
      </x:c>
      <x:c r="F77" s="28" t="str">
        <x:v>Yes</x:v>
      </x:c>
      <x:c r="G77" s="24" t="str">
        <x:v>Externally rotates/adducts hip; stabilizes femoral head</x:v>
      </x:c>
      <x:c r="H77" s="24" t="str">
        <x:v>Lateral border ischial tuberosity</x:v>
      </x:c>
      <x:c r="I77" s="24" t="str">
        <x:v>Quadrate tubercle of intertrochanteric crest</x:v>
      </x:c>
      <x:c r="J77" s="24" t="str">
        <x:v>Nerve to quadratus femoris</x:v>
      </x:c>
      <x:c r="K77" s="24" t="str">
        <x:v>L4-S1</x:v>
      </x:c>
      <x:c r="L77" s="24" t="str">
        <x:v>Short femoral insertion tendon</x:v>
      </x:c>
      <x:c r="M77" s="24" t="str">
        <x:v>Ischiofemoral ligament posterior to hip joint nearby</x:v>
      </x:c>
      <x:c r="N77" s="30" t="str">
        <x:v>Not established</x:v>
      </x:c>
      <x:c r="O77" s="30" t="str">
        <x:v>Not established</x:v>
      </x:c>
      <x:c r="P77" s="30" t="str">
        <x:v>Mixed Type I and Type II; ratio unverified</x:v>
      </x:c>
      <x:c r="Q77" s="24" t="str">
        <x:v>Published biopsies insufficient to state a reliable per-muscle percentage; no inference from function</x:v>
      </x:c>
      <x:c r="R77" s="32" t="str">
        <x:v>https://www.kenhub.com/en/library/anatomy/lower-extremity-anatomy</x:v>
      </x:c>
      <x:c r="S77" s="32" t="str">
        <x:v>https://pubmed.ncbi.nlm.nih.gov/39359186/</x:v>
      </x:c>
    </x:row>
    <x:row r="78" ht="53" customHeight="1">
      <x:c r="A78" s="24" t="str">
        <x:v>Superior gemellus</x:v>
      </x:c>
      <x:c r="B78" s="24" t="str">
        <x:v>Deep gluteal</x:v>
      </x:c>
      <x:c r="C78" s="24" t="str">
        <x:v>Stabilizer</x:v>
      </x:c>
      <x:c r="D78" s="28" t="str">
        <x:v>No</x:v>
      </x:c>
      <x:c r="E78" s="28" t="str">
        <x:v>No</x:v>
      </x:c>
      <x:c r="F78" s="28" t="str">
        <x:v>Yes</x:v>
      </x:c>
      <x:c r="G78" s="24" t="str">
        <x:v>Externally rotates extended hip; abducts flexed hip</x:v>
      </x:c>
      <x:c r="H78" s="24" t="str">
        <x:v>Ischial spine</x:v>
      </x:c>
      <x:c r="I78" s="24" t="str">
        <x:v>Medial greater trochanter with obturator internus</x:v>
      </x:c>
      <x:c r="J78" s="24" t="str">
        <x:v>Nerve to obturator internus</x:v>
      </x:c>
      <x:c r="K78" s="24" t="str">
        <x:v>L5-S2</x:v>
      </x:c>
      <x:c r="L78" s="24" t="str">
        <x:v>Common tendon with obturator internus</x:v>
      </x:c>
      <x:c r="M78" s="24" t="str">
        <x:v>Sacrospinous ligament attached to ischial spine nearby</x:v>
      </x:c>
      <x:c r="N78" s="30" t="str">
        <x:v>Not established</x:v>
      </x:c>
      <x:c r="O78" s="30" t="str">
        <x:v>Not established</x:v>
      </x:c>
      <x:c r="P78" s="30" t="str">
        <x:v>Mixed Type I and Type II; ratio unverified</x:v>
      </x:c>
      <x:c r="Q78" s="24" t="str">
        <x:v>Published biopsies insufficient to state a reliable per-muscle percentage; no inference from function</x:v>
      </x:c>
      <x:c r="R78" s="32" t="str">
        <x:v>https://www.kenhub.com/en/library/anatomy/lower-extremity-anatomy</x:v>
      </x:c>
      <x:c r="S78" s="32" t="str">
        <x:v>https://pubmed.ncbi.nlm.nih.gov/39359186/</x:v>
      </x:c>
    </x:row>
    <x:row r="79" ht="53" customHeight="1">
      <x:c r="A79" s="24" t="str">
        <x:v>Obturator externus</x:v>
      </x:c>
      <x:c r="B79" s="24" t="str">
        <x:v>Deep hip</x:v>
      </x:c>
      <x:c r="C79" s="24" t="str">
        <x:v>Stabilizer</x:v>
      </x:c>
      <x:c r="D79" s="28" t="str">
        <x:v>No</x:v>
      </x:c>
      <x:c r="E79" s="28" t="str">
        <x:v>No</x:v>
      </x:c>
      <x:c r="F79" s="28" t="str">
        <x:v>Yes</x:v>
      </x:c>
      <x:c r="G79" s="24" t="str">
        <x:v>Externally rotates hip; supports femoral head</x:v>
      </x:c>
      <x:c r="H79" s="24" t="str">
        <x:v>External obturator membrane; adjacent pubis and ischium</x:v>
      </x:c>
      <x:c r="I79" s="24" t="str">
        <x:v>Trochanteric fossa femur</x:v>
      </x:c>
      <x:c r="J79" s="24" t="str">
        <x:v>Obturator nerve posterior division</x:v>
      </x:c>
      <x:c r="K79" s="24" t="str">
        <x:v>L3-L4</x:v>
      </x:c>
      <x:c r="L79" s="24" t="str">
        <x:v>Obturator externus tendon</x:v>
      </x:c>
      <x:c r="M79" s="24" t="str">
        <x:v>Obturator membrane direct origin</x:v>
      </x:c>
      <x:c r="N79" s="30" t="str">
        <x:v>Not established</x:v>
      </x:c>
      <x:c r="O79" s="30" t="str">
        <x:v>Not established</x:v>
      </x:c>
      <x:c r="P79" s="30" t="str">
        <x:v>Mixed Type I and Type II; ratio unverified</x:v>
      </x:c>
      <x:c r="Q79" s="24" t="str">
        <x:v>Published biopsies insufficient to state a reliable per-muscle percentage; no inference from function</x:v>
      </x:c>
      <x:c r="R79" s="32" t="str">
        <x:v>https://www.kenhub.com/en/library/anatomy/lower-extremity-anatomy</x:v>
      </x:c>
      <x:c r="S79" s="32" t="str">
        <x:v>https://pubmed.ncbi.nlm.nih.gov/39359186/</x:v>
      </x:c>
    </x:row>
    <x:row r="80" ht="53" customHeight="1">
      <x:c r="A80" s="24" t="str">
        <x:v>Iliacus</x:v>
      </x:c>
      <x:c r="B80" s="24" t="str">
        <x:v>Iliopsoas</x:v>
      </x:c>
      <x:c r="C80" s="24" t="str">
        <x:v>Flexor; Stabilizer</x:v>
      </x:c>
      <x:c r="D80" s="28" t="str">
        <x:v>Yes</x:v>
      </x:c>
      <x:c r="E80" s="28" t="str">
        <x:v>No</x:v>
      </x:c>
      <x:c r="F80" s="28" t="str">
        <x:v>Yes</x:v>
      </x:c>
      <x:c r="G80" s="24" t="str">
        <x:v>Hip flexion; pelvic/anterior hip stability</x:v>
      </x:c>
      <x:c r="H80" s="24" t="str">
        <x:v>Iliac fossa; iliac crest; ala sacrum</x:v>
      </x:c>
      <x:c r="I80" s="24" t="str">
        <x:v>Lesser trochanter with psoas major</x:v>
      </x:c>
      <x:c r="J80" s="24" t="str">
        <x:v>Femoral nerve</x:v>
      </x:c>
      <x:c r="K80" s="24" t="str">
        <x:v>L2-L3</x:v>
      </x:c>
      <x:c r="L80" s="24" t="str">
        <x:v>Iliopsoas shared tendon</x:v>
      </x:c>
      <x:c r="M80" s="24" t="str">
        <x:v>Inguinal ligament crosses tendon anteriorly (not attachment)</x:v>
      </x:c>
      <x:c r="N80" s="30" t="str">
        <x:v>Not established</x:v>
      </x:c>
      <x:c r="O80" s="30" t="str">
        <x:v>Not established</x:v>
      </x:c>
      <x:c r="P80" s="30" t="str">
        <x:v>Mixed Type I and Type II; ratio unverified</x:v>
      </x:c>
      <x:c r="Q80" s="24" t="str">
        <x:v>Published biopsies insufficient to state a reliable per-muscle percentage; no inference from function</x:v>
      </x:c>
      <x:c r="R80" s="32" t="str">
        <x:v>https://www.kenhub.com/en/library/anatomy/lower-extremity-anatomy</x:v>
      </x:c>
      <x:c r="S80" s="32" t="str">
        <x:v>https://pubmed.ncbi.nlm.nih.gov/39359186/</x:v>
      </x:c>
    </x:row>
    <x:row r="81" ht="53" customHeight="1">
      <x:c r="A81" s="24" t="str">
        <x:v>Psoas major</x:v>
      </x:c>
      <x:c r="B81" s="24" t="str">
        <x:v>Iliopsoas</x:v>
      </x:c>
      <x:c r="C81" s="24" t="str">
        <x:v>Flexor; Stabilizer</x:v>
      </x:c>
      <x:c r="D81" s="28" t="str">
        <x:v>Yes</x:v>
      </x:c>
      <x:c r="E81" s="28" t="str">
        <x:v>No</x:v>
      </x:c>
      <x:c r="F81" s="28" t="str">
        <x:v>Yes</x:v>
      </x:c>
      <x:c r="G81" s="24" t="str">
        <x:v>Hip flexion; trunk flexion when femur fixed; lumbar stabilization</x:v>
      </x:c>
      <x:c r="H81" s="24" t="str">
        <x:v>Vertebral bodies/discs T12-L5 and transverse processes L1-L5</x:v>
      </x:c>
      <x:c r="I81" s="24" t="str">
        <x:v>Lesser trochanter via iliopsoas tendon</x:v>
      </x:c>
      <x:c r="J81" s="24" t="str">
        <x:v>Direct anterior rami lumbar spinal nerves</x:v>
      </x:c>
      <x:c r="K81" s="24" t="str">
        <x:v>L1-L3 (often L1-L4)</x:v>
      </x:c>
      <x:c r="L81" s="24" t="str">
        <x:v>Iliopsoas shared tendon</x:v>
      </x:c>
      <x:c r="M81" s="24" t="str">
        <x:v>Iliolumbar ligament nearby; not a standard tendon attachment</x:v>
      </x:c>
      <x:c r="N81" s="30" t="str">
        <x:v>Not established</x:v>
      </x:c>
      <x:c r="O81" s="30" t="str">
        <x:v>Not established</x:v>
      </x:c>
      <x:c r="P81" s="30" t="str">
        <x:v>Mixed Type I and Type II; ratio unverified</x:v>
      </x:c>
      <x:c r="Q81" s="24" t="str">
        <x:v>Published biopsies insufficient to state a reliable per-muscle percentage; no inference from function</x:v>
      </x:c>
      <x:c r="R81" s="32" t="str">
        <x:v>https://www.kenhub.com/en/library/anatomy/lower-extremity-anatomy</x:v>
      </x:c>
      <x:c r="S81" s="32" t="str">
        <x:v>https://pubmed.ncbi.nlm.nih.gov/39359186/</x:v>
      </x:c>
    </x:row>
    <x:row r="82" ht="53" customHeight="1">
      <x:c r="A82" s="24" t="str">
        <x:v>Psoas minor (variable/absent)</x:v>
      </x:c>
      <x:c r="B82" s="24" t="str">
        <x:v>Iliopsoas accessory</x:v>
      </x:c>
      <x:c r="C82" s="24" t="str">
        <x:v>Flexor</x:v>
      </x:c>
      <x:c r="D82" s="28" t="str">
        <x:v>Yes</x:v>
      </x:c>
      <x:c r="E82" s="28" t="str">
        <x:v>No</x:v>
      </x:c>
      <x:c r="F82" s="28" t="str">
        <x:v>No</x:v>
      </x:c>
      <x:c r="G82" s="24" t="str">
        <x:v>Weak trunk flexion and tension of iliac fascia</x:v>
      </x:c>
      <x:c r="H82" s="24" t="str">
        <x:v>Bodies/disc T12-L1</x:v>
      </x:c>
      <x:c r="I82" s="24" t="str">
        <x:v>Iliopectineal eminence and iliac fascia</x:v>
      </x:c>
      <x:c r="J82" s="24" t="str">
        <x:v>Anterior ramus L1</x:v>
      </x:c>
      <x:c r="K82" s="24" t="str">
        <x:v>L1</x:v>
      </x:c>
      <x:c r="L82" s="24" t="str">
        <x:v>Long psoas minor tendon</x:v>
      </x:c>
      <x:c r="M82" s="24" t="str">
        <x:v>Iliopubic tract nearby, not direct insertion</x:v>
      </x:c>
      <x:c r="N82" s="30" t="str">
        <x:v>Not established</x:v>
      </x:c>
      <x:c r="O82" s="30" t="str">
        <x:v>Not established</x:v>
      </x:c>
      <x:c r="P82" s="30" t="str">
        <x:v>Mixed Type I and Type II; ratio unverified</x:v>
      </x:c>
      <x:c r="Q82" s="24" t="str">
        <x:v>Published biopsies insufficient to state a reliable per-muscle percentage; no inference from function</x:v>
      </x:c>
      <x:c r="R82" s="32" t="str">
        <x:v>https://www.kenhub.com/en/library/anatomy/lower-extremity-anatomy</x:v>
      </x:c>
      <x:c r="S82" s="32" t="str">
        <x:v>https://pubmed.ncbi.nlm.nih.gov/39359186/</x:v>
      </x:c>
    </x:row>
    <x:row r="83" ht="53" customHeight="1">
      <x:c r="A83" s="24" t="str">
        <x:v>Tensor fasciae latae</x:v>
      </x:c>
      <x:c r="B83" s="24" t="str">
        <x:v>Lateral hip</x:v>
      </x:c>
      <x:c r="C83" s="24" t="str">
        <x:v>Flexor; Stabilizer</x:v>
      </x:c>
      <x:c r="D83" s="28" t="str">
        <x:v>Yes</x:v>
      </x:c>
      <x:c r="E83" s="28" t="str">
        <x:v>No</x:v>
      </x:c>
      <x:c r="F83" s="28" t="str">
        <x:v>Yes</x:v>
      </x:c>
      <x:c r="G83" s="24" t="str">
        <x:v>Flexes/abducts/medially rotates hip; stabilizes knee/pelvis</x:v>
      </x:c>
      <x:c r="H83" s="24" t="str">
        <x:v>ASIS and anterior iliac crest</x:v>
      </x:c>
      <x:c r="I83" s="24" t="str">
        <x:v>Iliotibial tract (lateral tibial condyle)</x:v>
      </x:c>
      <x:c r="J83" s="24" t="str">
        <x:v>Superior gluteal nerve</x:v>
      </x:c>
      <x:c r="K83" s="24" t="str">
        <x:v>L4-S1</x:v>
      </x:c>
      <x:c r="L83" s="24" t="str">
        <x:v>Iliotibial tract (fascial thickening)</x:v>
      </x:c>
      <x:c r="M83" s="24" t="str">
        <x:v>IT tract is fascia, not a ligament; capsule nearby</x:v>
      </x:c>
      <x:c r="N83" s="30" t="str">
        <x:v>Not established</x:v>
      </x:c>
      <x:c r="O83" s="30" t="str">
        <x:v>Not established</x:v>
      </x:c>
      <x:c r="P83" s="30" t="str">
        <x:v>Mixed Type I and Type II; ratio unverified</x:v>
      </x:c>
      <x:c r="Q83" s="24" t="str">
        <x:v>Published biopsies insufficient to state a reliable per-muscle percentage; no inference from function</x:v>
      </x:c>
      <x:c r="R83" s="32" t="str">
        <x:v>https://www.kenhub.com/en/library/anatomy/lower-extremity-anatomy</x:v>
      </x:c>
      <x:c r="S83" s="32" t="str">
        <x:v>https://pubmed.ncbi.nlm.nih.gov/39359186/</x:v>
      </x:c>
    </x:row>
    <x:row r="84" ht="53" customHeight="1">
      <x:c r="A84" s="24" t="str">
        <x:v>Gluteus maximus</x:v>
      </x:c>
      <x:c r="B84" s="24" t="str">
        <x:v>Superficial gluteal</x:v>
      </x:c>
      <x:c r="C84" s="24" t="str">
        <x:v>Extensor; Stabilizer</x:v>
      </x:c>
      <x:c r="D84" s="28" t="str">
        <x:v>No</x:v>
      </x:c>
      <x:c r="E84" s="28" t="str">
        <x:v>Yes</x:v>
      </x:c>
      <x:c r="F84" s="28" t="str">
        <x:v>Yes</x:v>
      </x:c>
      <x:c r="G84" s="24" t="str">
        <x:v>Powerful hip extension and external rotation; steadies pelvis</x:v>
      </x:c>
      <x:c r="H84" s="24" t="str">
        <x:v>Posterior ilium; sacrum; coccyx; sacrotuberous ligament</x:v>
      </x:c>
      <x:c r="I84" s="24" t="str">
        <x:v>Iliotibial tract and gluteal tuberosity femur</x:v>
      </x:c>
      <x:c r="J84" s="24" t="str">
        <x:v>Inferior gluteal nerve</x:v>
      </x:c>
      <x:c r="K84" s="24" t="str">
        <x:v>L5-S2</x:v>
      </x:c>
      <x:c r="L84" s="24" t="str">
        <x:v>Iliotibial tract aponeurosis and gluteal tendon</x:v>
      </x:c>
      <x:c r="M84" s="24" t="str">
        <x:v>Sacrotuberous ligament direct origin; IT tract is fascia</x:v>
      </x:c>
      <x:c r="N84" s="30" t="str">
        <x:v>Not established</x:v>
      </x:c>
      <x:c r="O84" s="30" t="str">
        <x:v>Not established</x:v>
      </x:c>
      <x:c r="P84" s="30" t="str">
        <x:v>Mixed Type I and Type II; ratio unverified</x:v>
      </x:c>
      <x:c r="Q84" s="24" t="str">
        <x:v>Published biopsies insufficient to state a reliable per-muscle percentage; no inference from function</x:v>
      </x:c>
      <x:c r="R84" s="32" t="str">
        <x:v>https://www.kenhub.com/en/library/anatomy/lower-extremity-anatomy</x:v>
      </x:c>
      <x:c r="S84" s="32" t="str">
        <x:v>https://pubmed.ncbi.nlm.nih.gov/39359186/</x:v>
      </x:c>
    </x:row>
    <x:row r="85" ht="53" customHeight="1">
      <x:c r="A85" s="24" t="str">
        <x:v>Gluteus medius</x:v>
      </x:c>
      <x:c r="B85" s="24" t="str">
        <x:v>Superficial gluteal</x:v>
      </x:c>
      <x:c r="C85" s="24" t="str">
        <x:v>Stabilizer</x:v>
      </x:c>
      <x:c r="D85" s="28" t="str">
        <x:v>No</x:v>
      </x:c>
      <x:c r="E85" s="28" t="str">
        <x:v>No</x:v>
      </x:c>
      <x:c r="F85" s="28" t="str">
        <x:v>Yes</x:v>
      </x:c>
      <x:c r="G85" s="24" t="str">
        <x:v>Abducts hip; stabilizes pelvis in single-leg stance</x:v>
      </x:c>
      <x:c r="H85" s="24" t="str">
        <x:v>External ilium between anterior and posterior gluteal lines</x:v>
      </x:c>
      <x:c r="I85" s="24" t="str">
        <x:v>Lateral surface greater trochanter</x:v>
      </x:c>
      <x:c r="J85" s="24" t="str">
        <x:v>Superior gluteal nerve</x:v>
      </x:c>
      <x:c r="K85" s="24" t="str">
        <x:v>L4-S1</x:v>
      </x:c>
      <x:c r="L85" s="24" t="str">
        <x:v>Gluteus medius tendon</x:v>
      </x:c>
      <x:c r="M85" s="24" t="str">
        <x:v>Iliofemoral ligament adjacent to joint, not direct origin</x:v>
      </x:c>
      <x:c r="N85" s="30" t="str">
        <x:v>Not established</x:v>
      </x:c>
      <x:c r="O85" s="30" t="str">
        <x:v>Not established</x:v>
      </x:c>
      <x:c r="P85" s="30" t="str">
        <x:v>Mixed Type I and Type II; ratio unverified</x:v>
      </x:c>
      <x:c r="Q85" s="24" t="str">
        <x:v>Published biopsies insufficient to state a reliable per-muscle percentage; no inference from function</x:v>
      </x:c>
      <x:c r="R85" s="32" t="str">
        <x:v>https://www.kenhub.com/en/library/anatomy/lower-extremity-anatomy</x:v>
      </x:c>
      <x:c r="S85" s="32" t="str">
        <x:v>https://pubmed.ncbi.nlm.nih.gov/39359186/</x:v>
      </x:c>
    </x:row>
    <x:row r="86" ht="53" customHeight="1">
      <x:c r="A86" s="24" t="str">
        <x:v>Sartorius</x:v>
      </x:c>
      <x:c r="B86" s="24" t="str">
        <x:v>Anterior thigh</x:v>
      </x:c>
      <x:c r="C86" s="24" t="str">
        <x:v>Flexor; Stabilizer</x:v>
      </x:c>
      <x:c r="D86" s="28" t="str">
        <x:v>Yes</x:v>
      </x:c>
      <x:c r="E86" s="28" t="str">
        <x:v>No</x:v>
      </x:c>
      <x:c r="F86" s="28" t="str">
        <x:v>Yes</x:v>
      </x:c>
      <x:c r="G86" s="24" t="str">
        <x:v>Hip flexion/abduction/external rotation; knee flexion</x:v>
      </x:c>
      <x:c r="H86" s="24" t="str">
        <x:v>Anterior superior iliac spine</x:v>
      </x:c>
      <x:c r="I86" s="24" t="str">
        <x:v>Superomedial tibia via pes anserinus</x:v>
      </x:c>
      <x:c r="J86" s="24" t="str">
        <x:v>Femoral nerve</x:v>
      </x:c>
      <x:c r="K86" s="24" t="str">
        <x:v>L2-L3</x:v>
      </x:c>
      <x:c r="L86" s="24" t="str">
        <x:v>Pes anserinus superficial tendon</x:v>
      </x:c>
      <x:c r="M86" s="24" t="str">
        <x:v>Medial collateral ligament of knee lies deep to pes anserinus</x:v>
      </x:c>
      <x:c r="N86" s="30" t="str">
        <x:v>Not established</x:v>
      </x:c>
      <x:c r="O86" s="30" t="str">
        <x:v>Not established</x:v>
      </x:c>
      <x:c r="P86" s="30" t="str">
        <x:v>Mixed Type I and Type II; ratio unverified</x:v>
      </x:c>
      <x:c r="Q86" s="24" t="str">
        <x:v>Published biopsies insufficient to state a reliable per-muscle percentage; no inference from function</x:v>
      </x:c>
      <x:c r="R86" s="32" t="str">
        <x:v>https://www.kenhub.com/en/library/anatomy/lower-extremity-anatomy</x:v>
      </x:c>
      <x:c r="S86" s="32" t="str">
        <x:v>https://pubmed.ncbi.nlm.nih.gov/39359186/</x:v>
      </x:c>
    </x:row>
    <x:row r="87" ht="53" customHeight="1">
      <x:c r="A87" s="24" t="str">
        <x:v>Rectus femoris reflected head</x:v>
      </x:c>
      <x:c r="B87" s="24" t="str">
        <x:v>Anterior thigh quadriceps</x:v>
      </x:c>
      <x:c r="C87" s="24" t="str">
        <x:v>Flexor; Extensor</x:v>
      </x:c>
      <x:c r="D87" s="28" t="str">
        <x:v>Yes</x:v>
      </x:c>
      <x:c r="E87" s="28" t="str">
        <x:v>Yes</x:v>
      </x:c>
      <x:c r="F87" s="28" t="str">
        <x:v>No</x:v>
      </x:c>
      <x:c r="G87" s="24" t="str">
        <x:v>Knee extension; hip flexion</x:v>
      </x:c>
      <x:c r="H87" s="24" t="str">
        <x:v>Supra-acetabular groove and hip capsule</x:v>
      </x:c>
      <x:c r="I87" s="24" t="str">
        <x:v>Patella then tibial tuberosity via patellar ligament</x:v>
      </x:c>
      <x:c r="J87" s="24" t="str">
        <x:v>Femoral nerve</x:v>
      </x:c>
      <x:c r="K87" s="24" t="str">
        <x:v>L2-L4</x:v>
      </x:c>
      <x:c r="L87" s="24" t="str">
        <x:v>Reflected proximal tendon; quadriceps tendon</x:v>
      </x:c>
      <x:c r="M87" s="24" t="str">
        <x:v>Hip capsule origin and patellar ligament distal continuation</x:v>
      </x:c>
      <x:c r="N87" s="30" t="str">
        <x:v>Not established</x:v>
      </x:c>
      <x:c r="O87" s="30" t="str">
        <x:v>Not established</x:v>
      </x:c>
      <x:c r="P87" s="30" t="str">
        <x:v>Mixed Type I and Type II; ratio unverified</x:v>
      </x:c>
      <x:c r="Q87" s="24" t="str">
        <x:v>Published biopsies insufficient to state a reliable per-muscle percentage; no inference from function</x:v>
      </x:c>
      <x:c r="R87" s="32" t="str">
        <x:v>https://www.kenhub.com/en/library/anatomy/lower-extremity-anatomy</x:v>
      </x:c>
      <x:c r="S87" s="32" t="str">
        <x:v>https://pubmed.ncbi.nlm.nih.gov/39359186/</x:v>
      </x:c>
    </x:row>
    <x:row r="88" ht="53" customHeight="1">
      <x:c r="A88" s="24" t="str">
        <x:v>Rectus femoris straight head</x:v>
      </x:c>
      <x:c r="B88" s="24" t="str">
        <x:v>Anterior thigh quadriceps</x:v>
      </x:c>
      <x:c r="C88" s="24" t="str">
        <x:v>Flexor; Extensor</x:v>
      </x:c>
      <x:c r="D88" s="28" t="str">
        <x:v>Yes</x:v>
      </x:c>
      <x:c r="E88" s="28" t="str">
        <x:v>Yes</x:v>
      </x:c>
      <x:c r="F88" s="28" t="str">
        <x:v>No</x:v>
      </x:c>
      <x:c r="G88" s="24" t="str">
        <x:v>Extends knee and flexes hip</x:v>
      </x:c>
      <x:c r="H88" s="24" t="str">
        <x:v>Anterior inferior iliac spine</x:v>
      </x:c>
      <x:c r="I88" s="24" t="str">
        <x:v>Patella and tibial tuberosity via patellar ligament</x:v>
      </x:c>
      <x:c r="J88" s="24" t="str">
        <x:v>Femoral nerve</x:v>
      </x:c>
      <x:c r="K88" s="24" t="str">
        <x:v>L2-L4</x:v>
      </x:c>
      <x:c r="L88" s="24" t="str">
        <x:v>Quadriceps tendon; patellar ligament continuation</x:v>
      </x:c>
      <x:c r="M88" s="24" t="str">
        <x:v>Patellar ligament directly transmits quadriceps force</x:v>
      </x:c>
      <x:c r="N88" s="30" t="str">
        <x:v>Not established</x:v>
      </x:c>
      <x:c r="O88" s="30" t="str">
        <x:v>Not established</x:v>
      </x:c>
      <x:c r="P88" s="30" t="str">
        <x:v>Mixed Type I and Type II; ratio unverified</x:v>
      </x:c>
      <x:c r="Q88" s="24" t="str">
        <x:v>Published biopsies insufficient to state a reliable per-muscle percentage; no inference from function</x:v>
      </x:c>
      <x:c r="R88" s="32" t="str">
        <x:v>https://www.kenhub.com/en/library/anatomy/lower-extremity-anatomy</x:v>
      </x:c>
      <x:c r="S88" s="32" t="str">
        <x:v>https://pubmed.ncbi.nlm.nih.gov/39359186/</x:v>
      </x:c>
    </x:row>
    <x:row r="89" ht="53" customHeight="1">
      <x:c r="A89" s="24" t="str">
        <x:v>Vastus intermedius</x:v>
      </x:c>
      <x:c r="B89" s="24" t="str">
        <x:v>Anterior thigh quadriceps</x:v>
      </x:c>
      <x:c r="C89" s="24" t="str">
        <x:v>Extensor</x:v>
      </x:c>
      <x:c r="D89" s="28" t="str">
        <x:v>No</x:v>
      </x:c>
      <x:c r="E89" s="28" t="str">
        <x:v>Yes</x:v>
      </x:c>
      <x:c r="F89" s="28" t="str">
        <x:v>No</x:v>
      </x:c>
      <x:c r="G89" s="24" t="str">
        <x:v>Extends knee</x:v>
      </x:c>
      <x:c r="H89" s="24" t="str">
        <x:v>Anterior/lateral proximal two-thirds femoral shaft</x:v>
      </x:c>
      <x:c r="I89" s="24" t="str">
        <x:v>Patella via quadriceps tendon; tibial tuberosity via patellar ligament</x:v>
      </x:c>
      <x:c r="J89" s="24" t="str">
        <x:v>Femoral nerve</x:v>
      </x:c>
      <x:c r="K89" s="24" t="str">
        <x:v>L2-L4</x:v>
      </x:c>
      <x:c r="L89" s="24" t="str">
        <x:v>Deep quadriceps tendon</x:v>
      </x:c>
      <x:c r="M89" s="24" t="str">
        <x:v>Patellar ligament distal continuation</x:v>
      </x:c>
      <x:c r="N89" s="30" t="str">
        <x:v>Not established</x:v>
      </x:c>
      <x:c r="O89" s="30" t="str">
        <x:v>Not established</x:v>
      </x:c>
      <x:c r="P89" s="30" t="str">
        <x:v>Mixed Type I and Type II; ratio unverified</x:v>
      </x:c>
      <x:c r="Q89" s="24" t="str">
        <x:v>Published biopsies insufficient to state a reliable per-muscle percentage; no inference from function</x:v>
      </x:c>
      <x:c r="R89" s="32" t="str">
        <x:v>https://www.kenhub.com/en/library/anatomy/lower-extremity-anatomy</x:v>
      </x:c>
      <x:c r="S89" s="32" t="str">
        <x:v>https://pubmed.ncbi.nlm.nih.gov/39359186/</x:v>
      </x:c>
    </x:row>
    <x:row r="90" ht="53" customHeight="1">
      <x:c r="A90" s="24" t="str">
        <x:v>Vastus lateralis</x:v>
      </x:c>
      <x:c r="B90" s="24" t="str">
        <x:v>Anterior thigh quadriceps</x:v>
      </x:c>
      <x:c r="C90" s="24" t="str">
        <x:v>Extensor; Stabilizer</x:v>
      </x:c>
      <x:c r="D90" s="28" t="str">
        <x:v>No</x:v>
      </x:c>
      <x:c r="E90" s="28" t="str">
        <x:v>Yes</x:v>
      </x:c>
      <x:c r="F90" s="28" t="str">
        <x:v>Yes</x:v>
      </x:c>
      <x:c r="G90" s="24" t="str">
        <x:v>Extends knee; lateral patellar restraint</x:v>
      </x:c>
      <x:c r="H90" s="24" t="str">
        <x:v>Greater trochanter; lateral lip linea aspera</x:v>
      </x:c>
      <x:c r="I90" s="24" t="str">
        <x:v>Patella via quadriceps tendon; tibial tuberosity via patellar ligament</x:v>
      </x:c>
      <x:c r="J90" s="24" t="str">
        <x:v>Femoral nerve</x:v>
      </x:c>
      <x:c r="K90" s="24" t="str">
        <x:v>L2-L4</x:v>
      </x:c>
      <x:c r="L90" s="24" t="str">
        <x:v>Quadriceps tendon and lateral retinaculum</x:v>
      </x:c>
      <x:c r="M90" s="24" t="str">
        <x:v>Patellar ligament is distal continuation</x:v>
      </x:c>
      <x:c r="N90" s="30" t="str">
        <x:v>Not established</x:v>
      </x:c>
      <x:c r="O90" s="30" t="str">
        <x:v>Not established</x:v>
      </x:c>
      <x:c r="P90" s="30" t="str">
        <x:v>Mixed Type I and Type II; ratio unverified</x:v>
      </x:c>
      <x:c r="Q90" s="24" t="str">
        <x:v>Published biopsies insufficient to state a reliable per-muscle percentage; no inference from function</x:v>
      </x:c>
      <x:c r="R90" s="32" t="str">
        <x:v>https://www.kenhub.com/en/library/anatomy/lower-extremity-anatomy</x:v>
      </x:c>
      <x:c r="S90" s="32" t="str">
        <x:v>https://pubmed.ncbi.nlm.nih.gov/39359186/</x:v>
      </x:c>
    </x:row>
    <x:row r="91" ht="53" customHeight="1">
      <x:c r="A91" s="24" t="str">
        <x:v>Vastus medialis</x:v>
      </x:c>
      <x:c r="B91" s="24" t="str">
        <x:v>Anterior thigh quadriceps</x:v>
      </x:c>
      <x:c r="C91" s="24" t="str">
        <x:v>Extensor; Stabilizer</x:v>
      </x:c>
      <x:c r="D91" s="28" t="str">
        <x:v>No</x:v>
      </x:c>
      <x:c r="E91" s="28" t="str">
        <x:v>Yes</x:v>
      </x:c>
      <x:c r="F91" s="28" t="str">
        <x:v>Yes</x:v>
      </x:c>
      <x:c r="G91" s="24" t="str">
        <x:v>Knee extension; medial patellar stabilization</x:v>
      </x:c>
      <x:c r="H91" s="24" t="str">
        <x:v>Intertrochanteric line; medial lip linea aspera</x:v>
      </x:c>
      <x:c r="I91" s="24" t="str">
        <x:v>Patella via quadriceps tendon; tibial tuberosity via patellar ligament</x:v>
      </x:c>
      <x:c r="J91" s="24" t="str">
        <x:v>Femoral nerve</x:v>
      </x:c>
      <x:c r="K91" s="24" t="str">
        <x:v>L2-L4</x:v>
      </x:c>
      <x:c r="L91" s="24" t="str">
        <x:v>Quadriceps tendon; medial patellar retinaculum</x:v>
      </x:c>
      <x:c r="M91" s="24" t="str">
        <x:v>Medial patellofemoral ligament adjacent to VM oblique fibers</x:v>
      </x:c>
      <x:c r="N91" s="30" t="str">
        <x:v>Not established</x:v>
      </x:c>
      <x:c r="O91" s="30" t="str">
        <x:v>Not established</x:v>
      </x:c>
      <x:c r="P91" s="30" t="str">
        <x:v>Mixed Type I and Type II; ratio unverified</x:v>
      </x:c>
      <x:c r="Q91" s="24" t="str">
        <x:v>Published biopsies insufficient to state a reliable per-muscle percentage; no inference from function</x:v>
      </x:c>
      <x:c r="R91" s="32" t="str">
        <x:v>https://www.kenhub.com/en/library/anatomy/lower-extremity-anatomy</x:v>
      </x:c>
      <x:c r="S91" s="32" t="str">
        <x:v>https://pubmed.ncbi.nlm.nih.gov/39359186/</x:v>
      </x:c>
    </x:row>
    <x:row r="92" ht="53" customHeight="1">
      <x:c r="A92" s="24" t="str">
        <x:v>Articularis genus</x:v>
      </x:c>
      <x:c r="B92" s="24" t="str">
        <x:v>Deep anterior thigh</x:v>
      </x:c>
      <x:c r="C92" s="24" t="str">
        <x:v>Stabilizer</x:v>
      </x:c>
      <x:c r="D92" s="28" t="str">
        <x:v>No</x:v>
      </x:c>
      <x:c r="E92" s="28" t="str">
        <x:v>No</x:v>
      </x:c>
      <x:c r="F92" s="28" t="str">
        <x:v>Yes</x:v>
      </x:c>
      <x:c r="G92" s="24" t="str">
        <x:v>Pulls suprapatellar bursa/capsule superiorly during extension</x:v>
      </x:c>
      <x:c r="H92" s="24" t="str">
        <x:v>Distal anterior femoral shaft</x:v>
      </x:c>
      <x:c r="I92" s="24" t="str">
        <x:v>Suprapatellar bursa and knee joint capsule</x:v>
      </x:c>
      <x:c r="J92" s="24" t="str">
        <x:v>Femoral nerve</x:v>
      </x:c>
      <x:c r="K92" s="24" t="str">
        <x:v>L2-L4</x:v>
      </x:c>
      <x:c r="L92" s="24" t="str">
        <x:v>Short capsular insertion slips</x:v>
      </x:c>
      <x:c r="M92" s="24" t="str">
        <x:v>Suprapatellar joint capsule associated</x:v>
      </x:c>
      <x:c r="N92" s="30" t="str">
        <x:v>Not established</x:v>
      </x:c>
      <x:c r="O92" s="30" t="str">
        <x:v>Not established</x:v>
      </x:c>
      <x:c r="P92" s="30" t="str">
        <x:v>Mixed Type I and Type II; ratio unverified</x:v>
      </x:c>
      <x:c r="Q92" s="24" t="str">
        <x:v>Published biopsies insufficient to state a reliable per-muscle percentage; no inference from function</x:v>
      </x:c>
      <x:c r="R92" s="32" t="str">
        <x:v>https://www.kenhub.com/en/library/anatomy/lower-extremity-anatomy</x:v>
      </x:c>
      <x:c r="S92" s="32" t="str">
        <x:v>https://pubmed.ncbi.nlm.nih.gov/39359186/</x:v>
      </x:c>
    </x:row>
    <x:row r="93" ht="53" customHeight="1">
      <x:c r="A93" s="24" t="str">
        <x:v>Adductor minimus (proximal magnus subdivision)</x:v>
      </x:c>
      <x:c r="B93" s="24" t="str">
        <x:v>Deep medial thigh</x:v>
      </x:c>
      <x:c r="C93" s="24" t="str">
        <x:v>Stabilizer</x:v>
      </x:c>
      <x:c r="D93" s="28" t="str">
        <x:v>No</x:v>
      </x:c>
      <x:c r="E93" s="28" t="str">
        <x:v>No</x:v>
      </x:c>
      <x:c r="F93" s="28" t="str">
        <x:v>Yes</x:v>
      </x:c>
      <x:c r="G93" s="24" t="str">
        <x:v>Adducts and externally rotates hip</x:v>
      </x:c>
      <x:c r="H93" s="24" t="str">
        <x:v>Ischiopubic ramus</x:v>
      </x:c>
      <x:c r="I93" s="24" t="str">
        <x:v>Gluteal tuberosity and upper linea aspera</x:v>
      </x:c>
      <x:c r="J93" s="24" t="str">
        <x:v>Obturator nerve posterior division</x:v>
      </x:c>
      <x:c r="K93" s="24" t="str">
        <x:v>L2-L4</x:v>
      </x:c>
      <x:c r="L93" s="24" t="str">
        <x:v>Broad short insertion</x:v>
      </x:c>
      <x:c r="M93" s="24" t="str">
        <x:v>No specific direct ligament attachment</x:v>
      </x:c>
      <x:c r="N93" s="30" t="str">
        <x:v>Not established</x:v>
      </x:c>
      <x:c r="O93" s="30" t="str">
        <x:v>Not established</x:v>
      </x:c>
      <x:c r="P93" s="30" t="str">
        <x:v>Mixed Type I and Type II; ratio unverified</x:v>
      </x:c>
      <x:c r="Q93" s="24" t="str">
        <x:v>Published biopsies insufficient to state a reliable per-muscle percentage; no inference from function</x:v>
      </x:c>
      <x:c r="R93" s="32" t="str">
        <x:v>https://www.kenhub.com/en/library/anatomy/lower-extremity-anatomy</x:v>
      </x:c>
      <x:c r="S93" s="32" t="str">
        <x:v>https://pubmed.ncbi.nlm.nih.gov/39359186/</x:v>
      </x:c>
    </x:row>
    <x:row r="94" ht="53" customHeight="1">
      <x:c r="A94" s="24" t="str">
        <x:v>Adductor brevis</x:v>
      </x:c>
      <x:c r="B94" s="24" t="str">
        <x:v>Medial thigh</x:v>
      </x:c>
      <x:c r="C94" s="24" t="str">
        <x:v>Flexor; Stabilizer</x:v>
      </x:c>
      <x:c r="D94" s="28" t="str">
        <x:v>Yes</x:v>
      </x:c>
      <x:c r="E94" s="28" t="str">
        <x:v>No</x:v>
      </x:c>
      <x:c r="F94" s="28" t="str">
        <x:v>Yes</x:v>
      </x:c>
      <x:c r="G94" s="24" t="str">
        <x:v>Hip adduction, weak flexion</x:v>
      </x:c>
      <x:c r="H94" s="24" t="str">
        <x:v>Body/inferior ramus pubis</x:v>
      </x:c>
      <x:c r="I94" s="24" t="str">
        <x:v>Pectineal line and proximal linea aspera</x:v>
      </x:c>
      <x:c r="J94" s="24" t="str">
        <x:v>Obturator nerve</x:v>
      </x:c>
      <x:c r="K94" s="24" t="str">
        <x:v>L2-L4</x:v>
      </x:c>
      <x:c r="L94" s="24" t="str">
        <x:v>Short proximal tendon</x:v>
      </x:c>
      <x:c r="M94" s="24" t="str">
        <x:v>Pubic symphysis ligament region near origin</x:v>
      </x:c>
      <x:c r="N94" s="30" t="str">
        <x:v>Not established</x:v>
      </x:c>
      <x:c r="O94" s="30" t="str">
        <x:v>Not established</x:v>
      </x:c>
      <x:c r="P94" s="30" t="str">
        <x:v>Mixed Type I and Type II; ratio unverified</x:v>
      </x:c>
      <x:c r="Q94" s="24" t="str">
        <x:v>Published biopsies insufficient to state a reliable per-muscle percentage; no inference from function</x:v>
      </x:c>
      <x:c r="R94" s="32" t="str">
        <x:v>https://www.kenhub.com/en/library/anatomy/lower-extremity-anatomy</x:v>
      </x:c>
      <x:c r="S94" s="32" t="str">
        <x:v>https://pubmed.ncbi.nlm.nih.gov/39359186/</x:v>
      </x:c>
    </x:row>
    <x:row r="95" ht="53" customHeight="1">
      <x:c r="A95" s="24" t="str">
        <x:v>Adductor longus</x:v>
      </x:c>
      <x:c r="B95" s="24" t="str">
        <x:v>Medial thigh</x:v>
      </x:c>
      <x:c r="C95" s="24" t="str">
        <x:v>Flexor; Stabilizer</x:v>
      </x:c>
      <x:c r="D95" s="28" t="str">
        <x:v>Yes</x:v>
      </x:c>
      <x:c r="E95" s="28" t="str">
        <x:v>No</x:v>
      </x:c>
      <x:c r="F95" s="28" t="str">
        <x:v>Yes</x:v>
      </x:c>
      <x:c r="G95" s="24" t="str">
        <x:v>Hip adduction; assists hip flexion</x:v>
      </x:c>
      <x:c r="H95" s="24" t="str">
        <x:v>Body of pubis inferior to pubic crest</x:v>
      </x:c>
      <x:c r="I95" s="24" t="str">
        <x:v>Middle third linea aspera femur</x:v>
      </x:c>
      <x:c r="J95" s="24" t="str">
        <x:v>Obturator nerve anterior division</x:v>
      </x:c>
      <x:c r="K95" s="24" t="str">
        <x:v>L2-L4</x:v>
      </x:c>
      <x:c r="L95" s="24" t="str">
        <x:v>Strong proximal tendon; broad distal aponeurosis</x:v>
      </x:c>
      <x:c r="M95" s="24" t="str">
        <x:v>Pubic symphysis ligaments near origin</x:v>
      </x:c>
      <x:c r="N95" s="30" t="str">
        <x:v>Not established</x:v>
      </x:c>
      <x:c r="O95" s="30" t="str">
        <x:v>Not established</x:v>
      </x:c>
      <x:c r="P95" s="30" t="str">
        <x:v>Mixed Type I and Type II; ratio unverified</x:v>
      </x:c>
      <x:c r="Q95" s="24" t="str">
        <x:v>Published biopsies insufficient to state a reliable per-muscle percentage; no inference from function</x:v>
      </x:c>
      <x:c r="R95" s="32" t="str">
        <x:v>https://www.kenhub.com/en/library/anatomy/lower-extremity-anatomy</x:v>
      </x:c>
      <x:c r="S95" s="32" t="str">
        <x:v>https://pubmed.ncbi.nlm.nih.gov/39359186/</x:v>
      </x:c>
    </x:row>
    <x:row r="96" ht="53" customHeight="1">
      <x:c r="A96" s="24" t="str">
        <x:v>Adductor magnus adductor part</x:v>
      </x:c>
      <x:c r="B96" s="24" t="str">
        <x:v>Medial thigh</x:v>
      </x:c>
      <x:c r="C96" s="24" t="str">
        <x:v>Flexor; Stabilizer</x:v>
      </x:c>
      <x:c r="D96" s="28" t="str">
        <x:v>Yes</x:v>
      </x:c>
      <x:c r="E96" s="28" t="str">
        <x:v>No</x:v>
      </x:c>
      <x:c r="F96" s="28" t="str">
        <x:v>Yes</x:v>
      </x:c>
      <x:c r="G96" s="24" t="str">
        <x:v>Powerful hip adduction; assists hip flexion</x:v>
      </x:c>
      <x:c r="H96" s="24" t="str">
        <x:v>Inferior pubic ramus and ischial ramus</x:v>
      </x:c>
      <x:c r="I96" s="24" t="str">
        <x:v>Gluteal tuberosity, linea aspera, medial supracondylar line</x:v>
      </x:c>
      <x:c r="J96" s="24" t="str">
        <x:v>Obturator nerve posterior division</x:v>
      </x:c>
      <x:c r="K96" s="24" t="str">
        <x:v>L2-L4</x:v>
      </x:c>
      <x:c r="L96" s="24" t="str">
        <x:v>Broad aponeurotic femoral insertion</x:v>
      </x:c>
      <x:c r="M96" s="24" t="str">
        <x:v>No specific direct ligament attachment</x:v>
      </x:c>
      <x:c r="N96" s="30" t="str">
        <x:v>Not established</x:v>
      </x:c>
      <x:c r="O96" s="30" t="str">
        <x:v>Not established</x:v>
      </x:c>
      <x:c r="P96" s="30" t="str">
        <x:v>Mixed Type I and Type II; ratio unverified</x:v>
      </x:c>
      <x:c r="Q96" s="24" t="str">
        <x:v>Published biopsies insufficient to state a reliable per-muscle percentage; no inference from function</x:v>
      </x:c>
      <x:c r="R96" s="32" t="str">
        <x:v>https://www.kenhub.com/en/library/anatomy/lower-extremity-anatomy</x:v>
      </x:c>
      <x:c r="S96" s="32" t="str">
        <x:v>https://pubmed.ncbi.nlm.nih.gov/39359186/</x:v>
      </x:c>
    </x:row>
    <x:row r="97" ht="53" customHeight="1">
      <x:c r="A97" s="24" t="str">
        <x:v>Gracilis</x:v>
      </x:c>
      <x:c r="B97" s="24" t="str">
        <x:v>Medial thigh superficial</x:v>
      </x:c>
      <x:c r="C97" s="24" t="str">
        <x:v>Flexor; Stabilizer</x:v>
      </x:c>
      <x:c r="D97" s="28" t="str">
        <x:v>Yes</x:v>
      </x:c>
      <x:c r="E97" s="28" t="str">
        <x:v>No</x:v>
      </x:c>
      <x:c r="F97" s="28" t="str">
        <x:v>Yes</x:v>
      </x:c>
      <x:c r="G97" s="24" t="str">
        <x:v>Hip adduction; knee flexion; internal tibial rotation</x:v>
      </x:c>
      <x:c r="H97" s="24" t="str">
        <x:v>Body and inferior ramus pubis</x:v>
      </x:c>
      <x:c r="I97" s="24" t="str">
        <x:v>Superomedial tibia via pes anserinus</x:v>
      </x:c>
      <x:c r="J97" s="24" t="str">
        <x:v>Obturator nerve</x:v>
      </x:c>
      <x:c r="K97" s="24" t="str">
        <x:v>L2-L3</x:v>
      </x:c>
      <x:c r="L97" s="24" t="str">
        <x:v>Gracilis pes anserinus tendon</x:v>
      </x:c>
      <x:c r="M97" s="24" t="str">
        <x:v>Medial collateral ligament beneath pes anserinus</x:v>
      </x:c>
      <x:c r="N97" s="30" t="str">
        <x:v>Not established</x:v>
      </x:c>
      <x:c r="O97" s="30" t="str">
        <x:v>Not established</x:v>
      </x:c>
      <x:c r="P97" s="30" t="str">
        <x:v>Mixed Type I and Type II; ratio unverified</x:v>
      </x:c>
      <x:c r="Q97" s="24" t="str">
        <x:v>Published biopsies insufficient to state a reliable per-muscle percentage; no inference from function</x:v>
      </x:c>
      <x:c r="R97" s="32" t="str">
        <x:v>https://www.kenhub.com/en/library/anatomy/lower-extremity-anatomy</x:v>
      </x:c>
      <x:c r="S97" s="32" t="str">
        <x:v>https://pubmed.ncbi.nlm.nih.gov/39359186/</x:v>
      </x:c>
    </x:row>
    <x:row r="98" ht="53" customHeight="1">
      <x:c r="A98" s="24" t="str">
        <x:v>Pectineus</x:v>
      </x:c>
      <x:c r="B98" s="24" t="str">
        <x:v>Medial/anterior thigh</x:v>
      </x:c>
      <x:c r="C98" s="24" t="str">
        <x:v>Flexor; Stabilizer</x:v>
      </x:c>
      <x:c r="D98" s="28" t="str">
        <x:v>Yes</x:v>
      </x:c>
      <x:c r="E98" s="28" t="str">
        <x:v>No</x:v>
      </x:c>
      <x:c r="F98" s="28" t="str">
        <x:v>Yes</x:v>
      </x:c>
      <x:c r="G98" s="24" t="str">
        <x:v>Adducts and flexes hip</x:v>
      </x:c>
      <x:c r="H98" s="24" t="str">
        <x:v>Pecten pubis (superior pubic ramus)</x:v>
      </x:c>
      <x:c r="I98" s="24" t="str">
        <x:v>Pectineal line femur</x:v>
      </x:c>
      <x:c r="J98" s="24" t="str">
        <x:v>Femoral nerve (sometimes obturator)</x:v>
      </x:c>
      <x:c r="K98" s="24" t="str">
        <x:v>L2-L3</x:v>
      </x:c>
      <x:c r="L98" s="24" t="str">
        <x:v>Flat pectineus insertion</x:v>
      </x:c>
      <x:c r="M98" s="24" t="str">
        <x:v>Pubofemoral ligament near hip, not direct tendon attachment</x:v>
      </x:c>
      <x:c r="N98" s="30" t="str">
        <x:v>Not established</x:v>
      </x:c>
      <x:c r="O98" s="30" t="str">
        <x:v>Not established</x:v>
      </x:c>
      <x:c r="P98" s="30" t="str">
        <x:v>Mixed Type I and Type II; ratio unverified</x:v>
      </x:c>
      <x:c r="Q98" s="24" t="str">
        <x:v>Published biopsies insufficient to state a reliable per-muscle percentage; no inference from function</x:v>
      </x:c>
      <x:c r="R98" s="32" t="str">
        <x:v>https://www.kenhub.com/en/library/anatomy/lower-extremity-anatomy</x:v>
      </x:c>
      <x:c r="S98" s="32" t="str">
        <x:v>https://pubmed.ncbi.nlm.nih.gov/39359186/</x:v>
      </x:c>
    </x:row>
    <x:row r="99" ht="53" customHeight="1">
      <x:c r="A99" s="24" t="str">
        <x:v>Biceps femoris long head</x:v>
      </x:c>
      <x:c r="B99" s="24" t="str">
        <x:v>Posterior thigh hamstrings</x:v>
      </x:c>
      <x:c r="C99" s="24" t="str">
        <x:v>Flexor; Extensor</x:v>
      </x:c>
      <x:c r="D99" s="28" t="str">
        <x:v>Yes</x:v>
      </x:c>
      <x:c r="E99" s="28" t="str">
        <x:v>Yes</x:v>
      </x:c>
      <x:c r="F99" s="28" t="str">
        <x:v>No</x:v>
      </x:c>
      <x:c r="G99" s="24" t="str">
        <x:v>Extends hip; flexes knee; laterally rotates flexed knee</x:v>
      </x:c>
      <x:c r="H99" s="24" t="str">
        <x:v>Ischial tuberosity with semitendinosus</x:v>
      </x:c>
      <x:c r="I99" s="24" t="str">
        <x:v>Head of fibula</x:v>
      </x:c>
      <x:c r="J99" s="24" t="str">
        <x:v>Tibial division sciatic nerve</x:v>
      </x:c>
      <x:c r="K99" s="24" t="str">
        <x:v>L5-S2</x:v>
      </x:c>
      <x:c r="L99" s="24" t="str">
        <x:v>Common hamstring proximal tendon; distal biceps tendon</x:v>
      </x:c>
      <x:c r="M99" s="24" t="str">
        <x:v>Fibular collateral ligament adjacent to distal insertion</x:v>
      </x:c>
      <x:c r="N99" s="30" t="str">
        <x:v>Not established</x:v>
      </x:c>
      <x:c r="O99" s="30" t="str">
        <x:v>Not established</x:v>
      </x:c>
      <x:c r="P99" s="30" t="str">
        <x:v>Mixed Type I and Type II; ratio unverified</x:v>
      </x:c>
      <x:c r="Q99" s="24" t="str">
        <x:v>Published biopsies insufficient to state a reliable per-muscle percentage; no inference from function</x:v>
      </x:c>
      <x:c r="R99" s="32" t="str">
        <x:v>https://www.kenhub.com/en/library/anatomy/lower-extremity-anatomy</x:v>
      </x:c>
      <x:c r="S99" s="32" t="str">
        <x:v>https://pubmed.ncbi.nlm.nih.gov/39359186/</x:v>
      </x:c>
    </x:row>
    <x:row r="100" ht="53" customHeight="1">
      <x:c r="A100" s="24" t="str">
        <x:v>Biceps femoris short head</x:v>
      </x:c>
      <x:c r="B100" s="24" t="str">
        <x:v>Posterior thigh hamstrings</x:v>
      </x:c>
      <x:c r="C100" s="24" t="str">
        <x:v>Flexor</x:v>
      </x:c>
      <x:c r="D100" s="28" t="str">
        <x:v>Yes</x:v>
      </x:c>
      <x:c r="E100" s="28" t="str">
        <x:v>No</x:v>
      </x:c>
      <x:c r="F100" s="28" t="str">
        <x:v>No</x:v>
      </x:c>
      <x:c r="G100" s="24" t="str">
        <x:v>Flexes knee; laterally rotates flexed knee</x:v>
      </x:c>
      <x:c r="H100" s="24" t="str">
        <x:v>Lateral lip linea aspera and lateral supracondylar line</x:v>
      </x:c>
      <x:c r="I100" s="24" t="str">
        <x:v>Head of fibula</x:v>
      </x:c>
      <x:c r="J100" s="24" t="str">
        <x:v>Common fibular division sciatic nerve</x:v>
      </x:c>
      <x:c r="K100" s="24" t="str">
        <x:v>L5-S2</x:v>
      </x:c>
      <x:c r="L100" s="24" t="str">
        <x:v>Common biceps femoris distal tendon</x:v>
      </x:c>
      <x:c r="M100" s="24" t="str">
        <x:v>Fibular collateral ligament close to fibular attachment</x:v>
      </x:c>
      <x:c r="N100" s="30" t="str">
        <x:v>Not established</x:v>
      </x:c>
      <x:c r="O100" s="30" t="str">
        <x:v>Not established</x:v>
      </x:c>
      <x:c r="P100" s="30" t="str">
        <x:v>Mixed Type I and Type II; ratio unverified</x:v>
      </x:c>
      <x:c r="Q100" s="24" t="str">
        <x:v>Published biopsies insufficient to state a reliable per-muscle percentage; no inference from function</x:v>
      </x:c>
      <x:c r="R100" s="32" t="str">
        <x:v>https://www.kenhub.com/en/library/anatomy/lower-extremity-anatomy</x:v>
      </x:c>
      <x:c r="S100" s="32" t="str">
        <x:v>https://pubmed.ncbi.nlm.nih.gov/39359186/</x:v>
      </x:c>
    </x:row>
    <x:row r="101" ht="53" customHeight="1">
      <x:c r="A101" s="24" t="str">
        <x:v>Semimembranosus</x:v>
      </x:c>
      <x:c r="B101" s="24" t="str">
        <x:v>Posterior thigh hamstrings</x:v>
      </x:c>
      <x:c r="C101" s="24" t="str">
        <x:v>Flexor; Extensor; Stabilizer</x:v>
      </x:c>
      <x:c r="D101" s="28" t="str">
        <x:v>Yes</x:v>
      </x:c>
      <x:c r="E101" s="28" t="str">
        <x:v>Yes</x:v>
      </x:c>
      <x:c r="F101" s="28" t="str">
        <x:v>Yes</x:v>
      </x:c>
      <x:c r="G101" s="24" t="str">
        <x:v>Extends hip; flexes knee; medially rotates flexed tibia</x:v>
      </x:c>
      <x:c r="H101" s="24" t="str">
        <x:v>Ischial tuberosity</x:v>
      </x:c>
      <x:c r="I101" s="24" t="str">
        <x:v>Posteromedial tibial condyle</x:v>
      </x:c>
      <x:c r="J101" s="24" t="str">
        <x:v>Tibial division sciatic nerve</x:v>
      </x:c>
      <x:c r="K101" s="24" t="str">
        <x:v>L5-S2</x:v>
      </x:c>
      <x:c r="L101" s="24" t="str">
        <x:v>Broad proximal membrane; distal semimembranosus tendon</x:v>
      </x:c>
      <x:c r="M101" s="24" t="str">
        <x:v>Oblique popliteal ligament is tendon expansion; capsule and arcuate system nearby</x:v>
      </x:c>
      <x:c r="N101" s="30" t="str">
        <x:v>Not established</x:v>
      </x:c>
      <x:c r="O101" s="30" t="str">
        <x:v>Not established</x:v>
      </x:c>
      <x:c r="P101" s="30" t="str">
        <x:v>Mixed Type I and Type II; ratio unverified</x:v>
      </x:c>
      <x:c r="Q101" s="24" t="str">
        <x:v>Published biopsies insufficient to state a reliable per-muscle percentage; no inference from function</x:v>
      </x:c>
      <x:c r="R101" s="32" t="str">
        <x:v>https://www.kenhub.com/en/library/anatomy/lower-extremity-anatomy</x:v>
      </x:c>
      <x:c r="S101" s="32" t="str">
        <x:v>https://pubmed.ncbi.nlm.nih.gov/39359186/</x:v>
      </x:c>
    </x:row>
    <x:row r="102" ht="53" customHeight="1">
      <x:c r="A102" s="24" t="str">
        <x:v>Semitendinosus</x:v>
      </x:c>
      <x:c r="B102" s="24" t="str">
        <x:v>Posterior thigh hamstrings</x:v>
      </x:c>
      <x:c r="C102" s="24" t="str">
        <x:v>Flexor; Extensor</x:v>
      </x:c>
      <x:c r="D102" s="28" t="str">
        <x:v>Yes</x:v>
      </x:c>
      <x:c r="E102" s="28" t="str">
        <x:v>Yes</x:v>
      </x:c>
      <x:c r="F102" s="28" t="str">
        <x:v>No</x:v>
      </x:c>
      <x:c r="G102" s="24" t="str">
        <x:v>Extends hip; flexes knee; medially rotates flexed tibia</x:v>
      </x:c>
      <x:c r="H102" s="24" t="str">
        <x:v>Ischial tuberosity with biceps long head</x:v>
      </x:c>
      <x:c r="I102" s="24" t="str">
        <x:v>Superomedial tibia via pes anserinus</x:v>
      </x:c>
      <x:c r="J102" s="24" t="str">
        <x:v>Tibial division sciatic nerve</x:v>
      </x:c>
      <x:c r="K102" s="24" t="str">
        <x:v>L5-S2</x:v>
      </x:c>
      <x:c r="L102" s="24" t="str">
        <x:v>Long distal pes anserinus tendon</x:v>
      </x:c>
      <x:c r="M102" s="24" t="str">
        <x:v>Medial collateral ligament deep to pes anserinus</x:v>
      </x:c>
      <x:c r="N102" s="30" t="str">
        <x:v>Not established</x:v>
      </x:c>
      <x:c r="O102" s="30" t="str">
        <x:v>Not established</x:v>
      </x:c>
      <x:c r="P102" s="30" t="str">
        <x:v>Mixed Type I and Type II; ratio unverified</x:v>
      </x:c>
      <x:c r="Q102" s="24" t="str">
        <x:v>Published biopsies insufficient to state a reliable per-muscle percentage; no inference from function</x:v>
      </x:c>
      <x:c r="R102" s="32" t="str">
        <x:v>https://www.kenhub.com/en/library/anatomy/lower-extremity-anatomy</x:v>
      </x:c>
      <x:c r="S102" s="32" t="str">
        <x:v>https://pubmed.ncbi.nlm.nih.gov/39359186/</x:v>
      </x:c>
    </x:row>
    <x:row r="103" ht="53" customHeight="1">
      <x:c r="A103" s="24" t="str">
        <x:v>Adductor magnus hamstring part</x:v>
      </x:c>
      <x:c r="B103" s="24" t="str">
        <x:v>Posteromedial thigh</x:v>
      </x:c>
      <x:c r="C103" s="24" t="str">
        <x:v>Extensor; Stabilizer</x:v>
      </x:c>
      <x:c r="D103" s="28" t="str">
        <x:v>No</x:v>
      </x:c>
      <x:c r="E103" s="28" t="str">
        <x:v>Yes</x:v>
      </x:c>
      <x:c r="F103" s="28" t="str">
        <x:v>Yes</x:v>
      </x:c>
      <x:c r="G103" s="24" t="str">
        <x:v>Hip extension and adduction</x:v>
      </x:c>
      <x:c r="H103" s="24" t="str">
        <x:v>Ischial tuberosity</x:v>
      </x:c>
      <x:c r="I103" s="24" t="str">
        <x:v>Adductor tubercle medial femur</x:v>
      </x:c>
      <x:c r="J103" s="24" t="str">
        <x:v>Tibial division sciatic nerve</x:v>
      </x:c>
      <x:c r="K103" s="24" t="str">
        <x:v>L4 (often L4-L5)</x:v>
      </x:c>
      <x:c r="L103" s="24" t="str">
        <x:v>Thick adductor magnus hamstring tendon</x:v>
      </x:c>
      <x:c r="M103" s="24" t="str">
        <x:v>Sacrotuberous ligament shares ischial attachment area</x:v>
      </x:c>
      <x:c r="N103" s="30" t="str">
        <x:v>Not established</x:v>
      </x:c>
      <x:c r="O103" s="30" t="str">
        <x:v>Not established</x:v>
      </x:c>
      <x:c r="P103" s="30" t="str">
        <x:v>Mixed Type I and Type II; ratio unverified</x:v>
      </x:c>
      <x:c r="Q103" s="24" t="str">
        <x:v>Published biopsies insufficient to state a reliable per-muscle percentage; no inference from function</x:v>
      </x:c>
      <x:c r="R103" s="32" t="str">
        <x:v>https://www.kenhub.com/en/library/anatomy/lower-extremity-anatomy</x:v>
      </x:c>
      <x:c r="S103" s="32" t="str">
        <x:v>https://pubmed.ncbi.nlm.nih.gov/39359186/</x:v>
      </x:c>
    </x:row>
    <x:row r="104" ht="53" customHeight="1">
      <x:c r="A104" s="24" t="str">
        <x:v>Extensor digitorum longus</x:v>
      </x:c>
      <x:c r="B104" s="24" t="str">
        <x:v>Anterior leg</x:v>
      </x:c>
      <x:c r="C104" s="24" t="str">
        <x:v>Extensor</x:v>
      </x:c>
      <x:c r="D104" s="28" t="str">
        <x:v>No</x:v>
      </x:c>
      <x:c r="E104" s="28" t="str">
        <x:v>Yes</x:v>
      </x:c>
      <x:c r="F104" s="28" t="str">
        <x:v>No</x:v>
      </x:c>
      <x:c r="G104" s="24" t="str">
        <x:v>Extends toes 2-5; dorsiflexes ankle</x:v>
      </x:c>
      <x:c r="H104" s="24" t="str">
        <x:v>Lateral tibial condyle; anterior fibula; interosseous membrane</x:v>
      </x:c>
      <x:c r="I104" s="24" t="str">
        <x:v>Dorsal digital expansions toes 2-5</x:v>
      </x:c>
      <x:c r="J104" s="24" t="str">
        <x:v>Deep fibular nerve</x:v>
      </x:c>
      <x:c r="K104" s="24" t="str">
        <x:v>L5-S1</x:v>
      </x:c>
      <x:c r="L104" s="24" t="str">
        <x:v>Four extensor digitorum longus tendons</x:v>
      </x:c>
      <x:c r="M104" s="24" t="str">
        <x:v>Extensor retinacula restrain tendons</x:v>
      </x:c>
      <x:c r="N104" s="30" t="str">
        <x:v>Not established</x:v>
      </x:c>
      <x:c r="O104" s="30" t="str">
        <x:v>Not established</x:v>
      </x:c>
      <x:c r="P104" s="30" t="str">
        <x:v>Mixed Type I and Type II; ratio unverified</x:v>
      </x:c>
      <x:c r="Q104" s="24" t="str">
        <x:v>Published biopsies insufficient to state a reliable per-muscle percentage; no inference from function</x:v>
      </x:c>
      <x:c r="R104" s="32" t="str">
        <x:v>https://www.kenhub.com/en/library/anatomy/leg-muscles</x:v>
      </x:c>
      <x:c r="S104" s="32" t="str">
        <x:v>https://pubmed.ncbi.nlm.nih.gov/39359186/</x:v>
      </x:c>
    </x:row>
    <x:row r="105" ht="53" customHeight="1">
      <x:c r="A105" s="24" t="str">
        <x:v>Extensor hallucis longus</x:v>
      </x:c>
      <x:c r="B105" s="24" t="str">
        <x:v>Anterior leg</x:v>
      </x:c>
      <x:c r="C105" s="24" t="str">
        <x:v>Extensor</x:v>
      </x:c>
      <x:c r="D105" s="28" t="str">
        <x:v>No</x:v>
      </x:c>
      <x:c r="E105" s="28" t="str">
        <x:v>Yes</x:v>
      </x:c>
      <x:c r="F105" s="28" t="str">
        <x:v>No</x:v>
      </x:c>
      <x:c r="G105" s="24" t="str">
        <x:v>Extends hallux; dorsiflexes ankle</x:v>
      </x:c>
      <x:c r="H105" s="24" t="str">
        <x:v>Middle anterior fibula; interosseous membrane</x:v>
      </x:c>
      <x:c r="I105" s="24" t="str">
        <x:v>Dorsal base distal phalanx hallux</x:v>
      </x:c>
      <x:c r="J105" s="24" t="str">
        <x:v>Deep fibular nerve</x:v>
      </x:c>
      <x:c r="K105" s="24" t="str">
        <x:v>L5-S1</x:v>
      </x:c>
      <x:c r="L105" s="24" t="str">
        <x:v>EHL tendon</x:v>
      </x:c>
      <x:c r="M105" s="24" t="str">
        <x:v>Extensor retinacula restrain tendon</x:v>
      </x:c>
      <x:c r="N105" s="30" t="str">
        <x:v>Not established</x:v>
      </x:c>
      <x:c r="O105" s="30" t="str">
        <x:v>Not established</x:v>
      </x:c>
      <x:c r="P105" s="30" t="str">
        <x:v>Mixed Type I and Type II; ratio unverified</x:v>
      </x:c>
      <x:c r="Q105" s="24" t="str">
        <x:v>Published biopsies insufficient to state a reliable per-muscle percentage; no inference from function</x:v>
      </x:c>
      <x:c r="R105" s="32" t="str">
        <x:v>https://www.kenhub.com/en/library/anatomy/leg-muscles</x:v>
      </x:c>
      <x:c r="S105" s="32" t="str">
        <x:v>https://pubmed.ncbi.nlm.nih.gov/39359186/</x:v>
      </x:c>
    </x:row>
    <x:row r="106" ht="53" customHeight="1">
      <x:c r="A106" s="24" t="str">
        <x:v>Fibularis tertius</x:v>
      </x:c>
      <x:c r="B106" s="24" t="str">
        <x:v>Anterior leg</x:v>
      </x:c>
      <x:c r="C106" s="24" t="str">
        <x:v>Flexor; Stabilizer</x:v>
      </x:c>
      <x:c r="D106" s="28" t="str">
        <x:v>Yes</x:v>
      </x:c>
      <x:c r="E106" s="28" t="str">
        <x:v>No</x:v>
      </x:c>
      <x:c r="F106" s="28" t="str">
        <x:v>Yes</x:v>
      </x:c>
      <x:c r="G106" s="24" t="str">
        <x:v>Dorsiflexes and everts foot</x:v>
      </x:c>
      <x:c r="H106" s="24" t="str">
        <x:v>Distal anterior fibula and interosseous membrane</x:v>
      </x:c>
      <x:c r="I106" s="24" t="str">
        <x:v>Dorsal base metatarsal 5</x:v>
      </x:c>
      <x:c r="J106" s="24" t="str">
        <x:v>Deep fibular nerve</x:v>
      </x:c>
      <x:c r="K106" s="24" t="str">
        <x:v>L5-S1</x:v>
      </x:c>
      <x:c r="L106" s="24" t="str">
        <x:v>Fibularis tertius tendon</x:v>
      </x:c>
      <x:c r="M106" s="24" t="str">
        <x:v>Inferior extensor retinaculum retains tendon</x:v>
      </x:c>
      <x:c r="N106" s="30" t="str">
        <x:v>Not established</x:v>
      </x:c>
      <x:c r="O106" s="30" t="str">
        <x:v>Not established</x:v>
      </x:c>
      <x:c r="P106" s="30" t="str">
        <x:v>Mixed Type I and Type II; ratio unverified</x:v>
      </x:c>
      <x:c r="Q106" s="24" t="str">
        <x:v>Published biopsies insufficient to state a reliable per-muscle percentage; no inference from function</x:v>
      </x:c>
      <x:c r="R106" s="32" t="str">
        <x:v>https://www.kenhub.com/en/library/anatomy/leg-muscles</x:v>
      </x:c>
      <x:c r="S106" s="32" t="str">
        <x:v>https://pubmed.ncbi.nlm.nih.gov/39359186/</x:v>
      </x:c>
    </x:row>
    <x:row r="107" ht="53" customHeight="1">
      <x:c r="A107" s="24" t="str">
        <x:v>Tibialis anterior</x:v>
      </x:c>
      <x:c r="B107" s="24" t="str">
        <x:v>Anterior leg</x:v>
      </x:c>
      <x:c r="C107" s="24" t="str">
        <x:v>Flexor; Stabilizer</x:v>
      </x:c>
      <x:c r="D107" s="28" t="str">
        <x:v>Yes</x:v>
      </x:c>
      <x:c r="E107" s="28" t="str">
        <x:v>No</x:v>
      </x:c>
      <x:c r="F107" s="28" t="str">
        <x:v>Yes</x:v>
      </x:c>
      <x:c r="G107" s="24" t="str">
        <x:v>Ankle dorsiflexion and inversion; medial arch support</x:v>
      </x:c>
      <x:c r="H107" s="24" t="str">
        <x:v>Lateral tibial condyle; proximal lateral tibia; interosseous membrane</x:v>
      </x:c>
      <x:c r="I107" s="24" t="str">
        <x:v>Medial cuneiform and base metatarsal 1</x:v>
      </x:c>
      <x:c r="J107" s="24" t="str">
        <x:v>Deep fibular nerve</x:v>
      </x:c>
      <x:c r="K107" s="24" t="str">
        <x:v>L4-L5</x:v>
      </x:c>
      <x:c r="L107" s="24" t="str">
        <x:v>Tibialis anterior tendon</x:v>
      </x:c>
      <x:c r="M107" s="24" t="str">
        <x:v>Superior/inferior extensor retinacula hold tendon (retinacula)</x:v>
      </x:c>
      <x:c r="N107" s="30" t="str">
        <x:v>Not established</x:v>
      </x:c>
      <x:c r="O107" s="30" t="str">
        <x:v>Not established</x:v>
      </x:c>
      <x:c r="P107" s="30" t="str">
        <x:v>Mixed Type I and Type II; ratio unverified</x:v>
      </x:c>
      <x:c r="Q107" s="24" t="str">
        <x:v>Published biopsies insufficient to state a reliable per-muscle percentage; no inference from function</x:v>
      </x:c>
      <x:c r="R107" s="32" t="str">
        <x:v>https://www.kenhub.com/en/library/anatomy/leg-muscles</x:v>
      </x:c>
      <x:c r="S107" s="32" t="str">
        <x:v>https://pubmed.ncbi.nlm.nih.gov/39359186/</x:v>
      </x:c>
    </x:row>
    <x:row r="108" ht="53" customHeight="1">
      <x:c r="A108" s="24" t="str">
        <x:v>Fibularis brevis</x:v>
      </x:c>
      <x:c r="B108" s="24" t="str">
        <x:v>Lateral leg</x:v>
      </x:c>
      <x:c r="C108" s="24" t="str">
        <x:v>Stabilizer</x:v>
      </x:c>
      <x:c r="D108" s="28" t="str">
        <x:v>No</x:v>
      </x:c>
      <x:c r="E108" s="28" t="str">
        <x:v>No</x:v>
      </x:c>
      <x:c r="F108" s="28" t="str">
        <x:v>Yes</x:v>
      </x:c>
      <x:c r="G108" s="24" t="str">
        <x:v>Everts and plantarflexes foot</x:v>
      </x:c>
      <x:c r="H108" s="24" t="str">
        <x:v>Distal two-thirds lateral fibula</x:v>
      </x:c>
      <x:c r="I108" s="24" t="str">
        <x:v>Tuberosity base metatarsal 5</x:v>
      </x:c>
      <x:c r="J108" s="24" t="str">
        <x:v>Superficial fibular nerve</x:v>
      </x:c>
      <x:c r="K108" s="24" t="str">
        <x:v>L5-S2</x:v>
      </x:c>
      <x:c r="L108" s="24" t="str">
        <x:v>Fibularis brevis tendon</x:v>
      </x:c>
      <x:c r="M108" s="24" t="str">
        <x:v>Superior/inferior fibular retinacula retain tendon</x:v>
      </x:c>
      <x:c r="N108" s="30" t="str">
        <x:v>Not established</x:v>
      </x:c>
      <x:c r="O108" s="30" t="str">
        <x:v>Not established</x:v>
      </x:c>
      <x:c r="P108" s="30" t="str">
        <x:v>Mixed Type I and Type II; ratio unverified</x:v>
      </x:c>
      <x:c r="Q108" s="24" t="str">
        <x:v>Published biopsies insufficient to state a reliable per-muscle percentage; no inference from function</x:v>
      </x:c>
      <x:c r="R108" s="32" t="str">
        <x:v>https://www.kenhub.com/en/library/anatomy/leg-muscles</x:v>
      </x:c>
      <x:c r="S108" s="32" t="str">
        <x:v>https://pubmed.ncbi.nlm.nih.gov/39359186/</x:v>
      </x:c>
    </x:row>
    <x:row r="109" ht="53" customHeight="1">
      <x:c r="A109" s="24" t="str">
        <x:v>Fibularis longus</x:v>
      </x:c>
      <x:c r="B109" s="24" t="str">
        <x:v>Lateral leg</x:v>
      </x:c>
      <x:c r="C109" s="24" t="str">
        <x:v>Stabilizer</x:v>
      </x:c>
      <x:c r="D109" s="28" t="str">
        <x:v>No</x:v>
      </x:c>
      <x:c r="E109" s="28" t="str">
        <x:v>No</x:v>
      </x:c>
      <x:c r="F109" s="28" t="str">
        <x:v>Yes</x:v>
      </x:c>
      <x:c r="G109" s="24" t="str">
        <x:v>Everts/plantarflexes foot; supports transverse arch</x:v>
      </x:c>
      <x:c r="H109" s="24" t="str">
        <x:v>Fibular head and proximal lateral fibula</x:v>
      </x:c>
      <x:c r="I109" s="24" t="str">
        <x:v>Plantar medial cuneiform and base metatarsal 1</x:v>
      </x:c>
      <x:c r="J109" s="24" t="str">
        <x:v>Superficial fibular nerve</x:v>
      </x:c>
      <x:c r="K109" s="24" t="str">
        <x:v>L5-S2</x:v>
      </x:c>
      <x:c r="L109" s="24" t="str">
        <x:v>Fibularis longus tendon runs beneath cuboid</x:v>
      </x:c>
      <x:c r="M109" s="24" t="str">
        <x:v>Superior/inferior fibular retinacula retain tendon; long plantar ligament forms tunnel region</x:v>
      </x:c>
      <x:c r="N109" s="30" t="str">
        <x:v>Not established</x:v>
      </x:c>
      <x:c r="O109" s="30" t="str">
        <x:v>Not established</x:v>
      </x:c>
      <x:c r="P109" s="30" t="str">
        <x:v>Mixed Type I and Type II; ratio unverified</x:v>
      </x:c>
      <x:c r="Q109" s="24" t="str">
        <x:v>Published biopsies insufficient to state a reliable per-muscle percentage; no inference from function</x:v>
      </x:c>
      <x:c r="R109" s="32" t="str">
        <x:v>https://www.kenhub.com/en/library/anatomy/leg-muscles</x:v>
      </x:c>
      <x:c r="S109" s="32" t="str">
        <x:v>https://pubmed.ncbi.nlm.nih.gov/39359186/</x:v>
      </x:c>
    </x:row>
    <x:row r="110" ht="53" customHeight="1">
      <x:c r="A110" s="24" t="str">
        <x:v>Flexor digitorum longus</x:v>
      </x:c>
      <x:c r="B110" s="24" t="str">
        <x:v>Posterior leg deep</x:v>
      </x:c>
      <x:c r="C110" s="24" t="str">
        <x:v>Flexor; Stabilizer</x:v>
      </x:c>
      <x:c r="D110" s="28" t="str">
        <x:v>Yes</x:v>
      </x:c>
      <x:c r="E110" s="28" t="str">
        <x:v>No</x:v>
      </x:c>
      <x:c r="F110" s="28" t="str">
        <x:v>Yes</x:v>
      </x:c>
      <x:c r="G110" s="24" t="str">
        <x:v>Flexes toes 2-5; plantarflexes; supports arch</x:v>
      </x:c>
      <x:c r="H110" s="24" t="str">
        <x:v>Posterior tibia inferior to soleal line</x:v>
      </x:c>
      <x:c r="I110" s="24" t="str">
        <x:v>Plantar bases distal phalanges toes 2-5</x:v>
      </x:c>
      <x:c r="J110" s="24" t="str">
        <x:v>Tibial nerve</x:v>
      </x:c>
      <x:c r="K110" s="24" t="str">
        <x:v>L5-S2</x:v>
      </x:c>
      <x:c r="L110" s="24" t="str">
        <x:v>Four FDL toe tendons; knot of Henry crossover with FHL</x:v>
      </x:c>
      <x:c r="M110" s="24" t="str">
        <x:v>Flexor retinaculum at ankle; plantar ligament complex supports arches</x:v>
      </x:c>
      <x:c r="N110" s="30" t="str">
        <x:v>Not established</x:v>
      </x:c>
      <x:c r="O110" s="30" t="str">
        <x:v>Not established</x:v>
      </x:c>
      <x:c r="P110" s="30" t="str">
        <x:v>Mixed Type I and Type II; ratio unverified</x:v>
      </x:c>
      <x:c r="Q110" s="24" t="str">
        <x:v>Published biopsies insufficient to state a reliable per-muscle percentage; no inference from function</x:v>
      </x:c>
      <x:c r="R110" s="32" t="str">
        <x:v>https://www.kenhub.com/en/library/anatomy/leg-muscles</x:v>
      </x:c>
      <x:c r="S110" s="32" t="str">
        <x:v>https://pubmed.ncbi.nlm.nih.gov/39359186/</x:v>
      </x:c>
    </x:row>
    <x:row r="111" ht="53" customHeight="1">
      <x:c r="A111" s="24" t="str">
        <x:v>Flexor hallucis longus</x:v>
      </x:c>
      <x:c r="B111" s="24" t="str">
        <x:v>Posterior leg deep</x:v>
      </x:c>
      <x:c r="C111" s="24" t="str">
        <x:v>Flexor; Stabilizer</x:v>
      </x:c>
      <x:c r="D111" s="28" t="str">
        <x:v>Yes</x:v>
      </x:c>
      <x:c r="E111" s="28" t="str">
        <x:v>No</x:v>
      </x:c>
      <x:c r="F111" s="28" t="str">
        <x:v>Yes</x:v>
      </x:c>
      <x:c r="G111" s="24" t="str">
        <x:v>Flexes hallux; plantarflexes ankle; supports medial arch</x:v>
      </x:c>
      <x:c r="H111" s="24" t="str">
        <x:v>Distal posterior fibula and interosseous membrane</x:v>
      </x:c>
      <x:c r="I111" s="24" t="str">
        <x:v>Plantar base distal phalanx hallux</x:v>
      </x:c>
      <x:c r="J111" s="24" t="str">
        <x:v>Tibial nerve</x:v>
      </x:c>
      <x:c r="K111" s="24" t="str">
        <x:v>S2-S3 (also S1)</x:v>
      </x:c>
      <x:c r="L111" s="24" t="str">
        <x:v>FHL long tendon</x:v>
      </x:c>
      <x:c r="M111" s="24" t="str">
        <x:v>Flexor retinaculum retains tendon; spring ligament supported indirectly</x:v>
      </x:c>
      <x:c r="N111" s="30" t="str">
        <x:v>Not established</x:v>
      </x:c>
      <x:c r="O111" s="30" t="str">
        <x:v>Not established</x:v>
      </x:c>
      <x:c r="P111" s="30" t="str">
        <x:v>Mixed Type I and Type II; ratio unverified</x:v>
      </x:c>
      <x:c r="Q111" s="24" t="str">
        <x:v>Published biopsies insufficient to state a reliable per-muscle percentage; no inference from function</x:v>
      </x:c>
      <x:c r="R111" s="32" t="str">
        <x:v>https://www.kenhub.com/en/library/anatomy/leg-muscles</x:v>
      </x:c>
      <x:c r="S111" s="32" t="str">
        <x:v>https://pubmed.ncbi.nlm.nih.gov/39359186/</x:v>
      </x:c>
    </x:row>
    <x:row r="112" ht="53" customHeight="1">
      <x:c r="A112" s="24" t="str">
        <x:v>Popliteus</x:v>
      </x:c>
      <x:c r="B112" s="24" t="str">
        <x:v>Posterior leg deep</x:v>
      </x:c>
      <x:c r="C112" s="24" t="str">
        <x:v>Stabilizer</x:v>
      </x:c>
      <x:c r="D112" s="28" t="str">
        <x:v>No</x:v>
      </x:c>
      <x:c r="E112" s="28" t="str">
        <x:v>No</x:v>
      </x:c>
      <x:c r="F112" s="28" t="str">
        <x:v>Yes</x:v>
      </x:c>
      <x:c r="G112" s="24" t="str">
        <x:v>Unlocks knee by medial rotation of tibia; posterior knee stabilization</x:v>
      </x:c>
      <x:c r="H112" s="24" t="str">
        <x:v>Lateral femoral condyle; posterior horn lateral meniscus</x:v>
      </x:c>
      <x:c r="I112" s="24" t="str">
        <x:v>Posterior tibia above soleal line</x:v>
      </x:c>
      <x:c r="J112" s="24" t="str">
        <x:v>Tibial nerve</x:v>
      </x:c>
      <x:c r="K112" s="24" t="str">
        <x:v>L4-S1</x:v>
      </x:c>
      <x:c r="L112" s="24" t="str">
        <x:v>Popliteus proximal tendon</x:v>
      </x:c>
      <x:c r="M112" s="24" t="str">
        <x:v>Arcuate popliteal ligament arches over tendon; popliteofibular ligament may connect</x:v>
      </x:c>
      <x:c r="N112" s="30" t="str">
        <x:v>Not established</x:v>
      </x:c>
      <x:c r="O112" s="30" t="str">
        <x:v>Not established</x:v>
      </x:c>
      <x:c r="P112" s="30" t="str">
        <x:v>Mixed Type I and Type II; ratio unverified</x:v>
      </x:c>
      <x:c r="Q112" s="24" t="str">
        <x:v>Published biopsies insufficient to state a reliable per-muscle percentage; no inference from function</x:v>
      </x:c>
      <x:c r="R112" s="32" t="str">
        <x:v>https://www.kenhub.com/en/library/anatomy/leg-muscles</x:v>
      </x:c>
      <x:c r="S112" s="32" t="str">
        <x:v>https://pubmed.ncbi.nlm.nih.gov/39359186/</x:v>
      </x:c>
    </x:row>
    <x:row r="113" ht="53" customHeight="1">
      <x:c r="A113" s="24" t="str">
        <x:v>Tibialis posterior</x:v>
      </x:c>
      <x:c r="B113" s="24" t="str">
        <x:v>Posterior leg deep</x:v>
      </x:c>
      <x:c r="C113" s="24" t="str">
        <x:v>Stabilizer</x:v>
      </x:c>
      <x:c r="D113" s="28" t="str">
        <x:v>No</x:v>
      </x:c>
      <x:c r="E113" s="28" t="str">
        <x:v>No</x:v>
      </x:c>
      <x:c r="F113" s="28" t="str">
        <x:v>Yes</x:v>
      </x:c>
      <x:c r="G113" s="24" t="str">
        <x:v>Inverts/plantarflexes foot; supports medial longitudinal arch</x:v>
      </x:c>
      <x:c r="H113" s="24" t="str">
        <x:v>Posterior tibia/fibula and interosseous membrane</x:v>
      </x:c>
      <x:c r="I113" s="24" t="str">
        <x:v>Navicular tuberosity; cuneiforms; cuboid and metatarsal bases</x:v>
      </x:c>
      <x:c r="J113" s="24" t="str">
        <x:v>Tibial nerve</x:v>
      </x:c>
      <x:c r="K113" s="24" t="str">
        <x:v>L4-L5</x:v>
      </x:c>
      <x:c r="L113" s="24" t="str">
        <x:v>Tibialis posterior multi-slip tendon</x:v>
      </x:c>
      <x:c r="M113" s="24" t="str">
        <x:v>Flexor retinaculum covers tendon; spring ligament supported by tendon</x:v>
      </x:c>
      <x:c r="N113" s="30" t="str">
        <x:v>Not established</x:v>
      </x:c>
      <x:c r="O113" s="30" t="str">
        <x:v>Not established</x:v>
      </x:c>
      <x:c r="P113" s="30" t="str">
        <x:v>Mixed Type I and Type II; ratio unverified</x:v>
      </x:c>
      <x:c r="Q113" s="24" t="str">
        <x:v>Published biopsies insufficient to state a reliable per-muscle percentage; no inference from function</x:v>
      </x:c>
      <x:c r="R113" s="32" t="str">
        <x:v>https://www.kenhub.com/en/library/anatomy/leg-muscles</x:v>
      </x:c>
      <x:c r="S113" s="32" t="str">
        <x:v>https://pubmed.ncbi.nlm.nih.gov/39359186/</x:v>
      </x:c>
    </x:row>
    <x:row r="114" ht="53" customHeight="1">
      <x:c r="A114" s="24" t="str">
        <x:v>Gastrocnemius lateral head</x:v>
      </x:c>
      <x:c r="B114" s="24" t="str">
        <x:v>Posterior leg superficial</x:v>
      </x:c>
      <x:c r="C114" s="24" t="str">
        <x:v>Flexor; Stabilizer</x:v>
      </x:c>
      <x:c r="D114" s="28" t="str">
        <x:v>Yes</x:v>
      </x:c>
      <x:c r="E114" s="28" t="str">
        <x:v>No</x:v>
      </x:c>
      <x:c r="F114" s="28" t="str">
        <x:v>Yes</x:v>
      </x:c>
      <x:c r="G114" s="24" t="str">
        <x:v>Plantarflexes ankle; flexes knee</x:v>
      </x:c>
      <x:c r="H114" s="24" t="str">
        <x:v>Lateral femoral condyle and adjacent capsule</x:v>
      </x:c>
      <x:c r="I114" s="24" t="str">
        <x:v>Posterior calcaneus via calcaneal (Achilles) tendon</x:v>
      </x:c>
      <x:c r="J114" s="24" t="str">
        <x:v>Tibial nerve</x:v>
      </x:c>
      <x:c r="K114" s="24" t="str">
        <x:v>S1-S2</x:v>
      </x:c>
      <x:c r="L114" s="24" t="str">
        <x:v>Calcaneal (Achilles) tendon</x:v>
      </x:c>
      <x:c r="M114" s="24" t="str">
        <x:v>Arcuate popliteal complex near origin</x:v>
      </x:c>
      <x:c r="N114" s="30" t="str">
        <x:v>Not established</x:v>
      </x:c>
      <x:c r="O114" s="30" t="str">
        <x:v>Not established</x:v>
      </x:c>
      <x:c r="P114" s="30" t="str">
        <x:v>Mixed Type I and Type II; ratio unverified</x:v>
      </x:c>
      <x:c r="Q114" s="24" t="str">
        <x:v>Published biopsies insufficient to state a reliable per-muscle percentage; no inference from function</x:v>
      </x:c>
      <x:c r="R114" s="32" t="str">
        <x:v>https://www.kenhub.com/en/library/anatomy/leg-muscles</x:v>
      </x:c>
      <x:c r="S114" s="32" t="str">
        <x:v>https://pubmed.ncbi.nlm.nih.gov/39359186/</x:v>
      </x:c>
    </x:row>
    <x:row r="115" ht="53" customHeight="1">
      <x:c r="A115" s="24" t="str">
        <x:v>Gastrocnemius medial head</x:v>
      </x:c>
      <x:c r="B115" s="24" t="str">
        <x:v>Posterior leg superficial</x:v>
      </x:c>
      <x:c r="C115" s="24" t="str">
        <x:v>Flexor; Stabilizer</x:v>
      </x:c>
      <x:c r="D115" s="28" t="str">
        <x:v>Yes</x:v>
      </x:c>
      <x:c r="E115" s="28" t="str">
        <x:v>No</x:v>
      </x:c>
      <x:c r="F115" s="28" t="str">
        <x:v>Yes</x:v>
      </x:c>
      <x:c r="G115" s="24" t="str">
        <x:v>Plantarflexes ankle; flexes knee</x:v>
      </x:c>
      <x:c r="H115" s="24" t="str">
        <x:v>Posterior medial femoral condyle and adjacent capsule</x:v>
      </x:c>
      <x:c r="I115" s="24" t="str">
        <x:v>Posterior calcaneus via calcaneal (Achilles) tendon</x:v>
      </x:c>
      <x:c r="J115" s="24" t="str">
        <x:v>Tibial nerve</x:v>
      </x:c>
      <x:c r="K115" s="24" t="str">
        <x:v>S1-S2</x:v>
      </x:c>
      <x:c r="L115" s="24" t="str">
        <x:v>Calcaneal (Achilles) tendon</x:v>
      </x:c>
      <x:c r="M115" s="24" t="str">
        <x:v>Posterior capsule/oblique popliteal ligament near origin</x:v>
      </x:c>
      <x:c r="N115" s="30" t="str">
        <x:v>64.7% (sample mean, 40 individuals)</x:v>
      </x:c>
      <x:c r="O115" s="30" t="str">
        <x:v>35.3% (mean remainder, not a normative cutoff)</x:v>
      </x:c>
      <x:c r="P115" s="30" t="str">
        <x:v>Mixed; Type I-enriched in cited sample</x:v>
      </x:c>
      <x:c r="Q115" s="24" t="str">
        <x:v>Study mean measured in gastrocnemius medialis; site-to-site variability considerable</x:v>
      </x:c>
      <x:c r="R115" s="32" t="str">
        <x:v>https://www.kenhub.com/en/library/anatomy/leg-muscles</x:v>
      </x:c>
      <x:c r="S115" s="32" t="str">
        <x:v>https://pubmed.ncbi.nlm.nih.gov/39359186/</x:v>
      </x:c>
    </x:row>
    <x:row r="116" ht="53" customHeight="1">
      <x:c r="A116" s="24" t="str">
        <x:v>Plantaris</x:v>
      </x:c>
      <x:c r="B116" s="24" t="str">
        <x:v>Posterior leg superficial</x:v>
      </x:c>
      <x:c r="C116" s="24" t="str">
        <x:v>Flexor</x:v>
      </x:c>
      <x:c r="D116" s="28" t="str">
        <x:v>Yes</x:v>
      </x:c>
      <x:c r="E116" s="28" t="str">
        <x:v>No</x:v>
      </x:c>
      <x:c r="F116" s="28" t="str">
        <x:v>No</x:v>
      </x:c>
      <x:c r="G116" s="24" t="str">
        <x:v>Weak ankle plantarflexion and knee flexion</x:v>
      </x:c>
      <x:c r="H116" s="24" t="str">
        <x:v>Lateral supracondylar femoral line; oblique popliteal ligament</x:v>
      </x:c>
      <x:c r="I116" s="24" t="str">
        <x:v>Posterior calcaneus or Achilles tendon</x:v>
      </x:c>
      <x:c r="J116" s="24" t="str">
        <x:v>Tibial nerve</x:v>
      </x:c>
      <x:c r="K116" s="24" t="str">
        <x:v>S1-S2</x:v>
      </x:c>
      <x:c r="L116" s="24" t="str">
        <x:v>Long thin plantaris tendon</x:v>
      </x:c>
      <x:c r="M116" s="24" t="str">
        <x:v>Oblique popliteal ligament contributes to origin</x:v>
      </x:c>
      <x:c r="N116" s="30" t="str">
        <x:v>Not established</x:v>
      </x:c>
      <x:c r="O116" s="30" t="str">
        <x:v>Not established</x:v>
      </x:c>
      <x:c r="P116" s="30" t="str">
        <x:v>Mixed Type I and Type II; ratio unverified</x:v>
      </x:c>
      <x:c r="Q116" s="24" t="str">
        <x:v>Published biopsies insufficient to state a reliable per-muscle percentage; no inference from function</x:v>
      </x:c>
      <x:c r="R116" s="32" t="str">
        <x:v>https://www.kenhub.com/en/library/anatomy/leg-muscles</x:v>
      </x:c>
      <x:c r="S116" s="32" t="str">
        <x:v>https://pubmed.ncbi.nlm.nih.gov/39359186/</x:v>
      </x:c>
    </x:row>
    <x:row r="117" ht="53" customHeight="1">
      <x:c r="A117" s="24" t="str">
        <x:v>Soleus</x:v>
      </x:c>
      <x:c r="B117" s="24" t="str">
        <x:v>Posterior leg superficial</x:v>
      </x:c>
      <x:c r="C117" s="24" t="str">
        <x:v>Stabilizer</x:v>
      </x:c>
      <x:c r="D117" s="28" t="str">
        <x:v>No</x:v>
      </x:c>
      <x:c r="E117" s="28" t="str">
        <x:v>No</x:v>
      </x:c>
      <x:c r="F117" s="28" t="str">
        <x:v>Yes</x:v>
      </x:c>
      <x:c r="G117" s="24" t="str">
        <x:v>Plantarflexes ankle; tonic postural sway control</x:v>
      </x:c>
      <x:c r="H117" s="24" t="str">
        <x:v>Soleal line and medial tibial border; fibular head; tendinous soleal arch</x:v>
      </x:c>
      <x:c r="I117" s="24" t="str">
        <x:v>Posterior calcaneus via calcaneal tendon</x:v>
      </x:c>
      <x:c r="J117" s="24" t="str">
        <x:v>Tibial nerve</x:v>
      </x:c>
      <x:c r="K117" s="24" t="str">
        <x:v>S1-S2</x:v>
      </x:c>
      <x:c r="L117" s="24" t="str">
        <x:v>Broad soleus aponeurosis joining Achilles tendon</x:v>
      </x:c>
      <x:c r="M117" s="24" t="str">
        <x:v>Soleal tendinous arch is tendon/aponeurosis, not ligament</x:v>
      </x:c>
      <x:c r="N117" s="30" t="str">
        <x:v>70–80% (reported typical range)</x:v>
      </x:c>
      <x:c r="O117" s="30" t="str">
        <x:v>20–30% (complement; method dependent)</x:v>
      </x:c>
      <x:c r="P117" s="30" t="str">
        <x:v>Slow / Type I-rich</x:v>
      </x:c>
      <x:c r="Q117" s="24" t="str">
        <x:v>Literature estimate; varies by person/region; not patient-specific</x:v>
      </x:c>
      <x:c r="R117" s="32" t="str">
        <x:v>https://www.kenhub.com/en/library/anatomy/leg-muscles</x:v>
      </x:c>
      <x:c r="S117" s="32" t="str">
        <x:v>https://journals.physiology.org/doi/full/10.1152/japplphysiol.00394.2024</x:v>
      </x:c>
    </x:row>
    <x:row r="118" ht="53" customHeight="1">
      <x:c r="A118" s="24" t="str">
        <x:v>Extensor digitorum brevis</x:v>
      </x:c>
      <x:c r="B118" s="24" t="str">
        <x:v>Dorsal foot</x:v>
      </x:c>
      <x:c r="C118" s="24" t="str">
        <x:v>Extensor</x:v>
      </x:c>
      <x:c r="D118" s="28" t="str">
        <x:v>No</x:v>
      </x:c>
      <x:c r="E118" s="28" t="str">
        <x:v>Yes</x:v>
      </x:c>
      <x:c r="F118" s="28" t="str">
        <x:v>No</x:v>
      </x:c>
      <x:c r="G118" s="24" t="str">
        <x:v>Extends toes 2-4</x:v>
      </x:c>
      <x:c r="H118" s="24" t="str">
        <x:v>Superolateral/dorsal calcaneus; inferior extensor retinaculum</x:v>
      </x:c>
      <x:c r="I118" s="24" t="str">
        <x:v>Tendons to dorsal digital expansions toes 2-4</x:v>
      </x:c>
      <x:c r="J118" s="24" t="str">
        <x:v>Deep fibular nerve</x:v>
      </x:c>
      <x:c r="K118" s="24" t="str">
        <x:v>L5-S1</x:v>
      </x:c>
      <x:c r="L118" s="24" t="str">
        <x:v>Three EDB tendons blending with long extensor tendons</x:v>
      </x:c>
      <x:c r="M118" s="24" t="str">
        <x:v>Inferior extensor retinaculum direct proximal relationship</x:v>
      </x:c>
      <x:c r="N118" s="30" t="str">
        <x:v>Not established</x:v>
      </x:c>
      <x:c r="O118" s="30" t="str">
        <x:v>Not established</x:v>
      </x:c>
      <x:c r="P118" s="30" t="str">
        <x:v>Mixed Type I and Type II; ratio unverified</x:v>
      </x:c>
      <x:c r="Q118" s="24" t="str">
        <x:v>Published biopsies insufficient to state a reliable per-muscle percentage; no inference from function</x:v>
      </x:c>
      <x:c r="R118" s="32" t="str">
        <x:v>https://www.kenhub.com/en/library/anatomy/ankle-and-foot-anatomy</x:v>
      </x:c>
      <x:c r="S118" s="32" t="str">
        <x:v>https://pubmed.ncbi.nlm.nih.gov/39359186/</x:v>
      </x:c>
    </x:row>
    <x:row r="119" ht="53" customHeight="1">
      <x:c r="A119" s="24" t="str">
        <x:v>Extensor hallucis brevis</x:v>
      </x:c>
      <x:c r="B119" s="24" t="str">
        <x:v>Dorsal foot</x:v>
      </x:c>
      <x:c r="C119" s="24" t="str">
        <x:v>Extensor</x:v>
      </x:c>
      <x:c r="D119" s="28" t="str">
        <x:v>No</x:v>
      </x:c>
      <x:c r="E119" s="28" t="str">
        <x:v>Yes</x:v>
      </x:c>
      <x:c r="F119" s="28" t="str">
        <x:v>No</x:v>
      </x:c>
      <x:c r="G119" s="24" t="str">
        <x:v>Extends hallux MCP joint</x:v>
      </x:c>
      <x:c r="H119" s="24" t="str">
        <x:v>Superolateral calcaneus</x:v>
      </x:c>
      <x:c r="I119" s="24" t="str">
        <x:v>Dorsal base proximal phalanx hallux</x:v>
      </x:c>
      <x:c r="J119" s="24" t="str">
        <x:v>Deep fibular nerve</x:v>
      </x:c>
      <x:c r="K119" s="24" t="str">
        <x:v>L5-S1</x:v>
      </x:c>
      <x:c r="L119" s="24" t="str">
        <x:v>EHB tendon</x:v>
      </x:c>
      <x:c r="M119" s="24" t="str">
        <x:v>Inferior extensor retinaculum adjacent at origin</x:v>
      </x:c>
      <x:c r="N119" s="30" t="str">
        <x:v>Not established</x:v>
      </x:c>
      <x:c r="O119" s="30" t="str">
        <x:v>Not established</x:v>
      </x:c>
      <x:c r="P119" s="30" t="str">
        <x:v>Mixed Type I and Type II; ratio unverified</x:v>
      </x:c>
      <x:c r="Q119" s="24" t="str">
        <x:v>Published biopsies insufficient to state a reliable per-muscle percentage; no inference from function</x:v>
      </x:c>
      <x:c r="R119" s="32" t="str">
        <x:v>https://www.kenhub.com/en/library/anatomy/ankle-and-foot-anatomy</x:v>
      </x:c>
      <x:c r="S119" s="32" t="str">
        <x:v>https://pubmed.ncbi.nlm.nih.gov/39359186/</x:v>
      </x:c>
    </x:row>
    <x:row r="120" ht="53" customHeight="1">
      <x:c r="A120" s="24" t="str">
        <x:v>Abductor digiti minimi (foot)</x:v>
      </x:c>
      <x:c r="B120" s="24" t="str">
        <x:v>Plantar layer 1</x:v>
      </x:c>
      <x:c r="C120" s="24" t="str">
        <x:v>Flexor; Stabilizer</x:v>
      </x:c>
      <x:c r="D120" s="28" t="str">
        <x:v>Yes</x:v>
      </x:c>
      <x:c r="E120" s="28" t="str">
        <x:v>No</x:v>
      </x:c>
      <x:c r="F120" s="28" t="str">
        <x:v>Yes</x:v>
      </x:c>
      <x:c r="G120" s="24" t="str">
        <x:v>Abducts/flexes fifth toe; supports lateral arch</x:v>
      </x:c>
      <x:c r="H120" s="24" t="str">
        <x:v>Medial/lateral calcaneal tubercles; plantar aponeurosis</x:v>
      </x:c>
      <x:c r="I120" s="24" t="str">
        <x:v>Lateral base proximal phalanx fifth toe</x:v>
      </x:c>
      <x:c r="J120" s="24" t="str">
        <x:v>Lateral plantar nerve</x:v>
      </x:c>
      <x:c r="K120" s="24" t="str">
        <x:v>S1-S3</x:v>
      </x:c>
      <x:c r="L120" s="24" t="str">
        <x:v>Distal insertion tendon</x:v>
      </x:c>
      <x:c r="M120" s="24" t="str">
        <x:v>Plantar aponeurosis direct origin</x:v>
      </x:c>
      <x:c r="N120" s="30" t="str">
        <x:v>Not established</x:v>
      </x:c>
      <x:c r="O120" s="30" t="str">
        <x:v>Not established</x:v>
      </x:c>
      <x:c r="P120" s="30" t="str">
        <x:v>Mixed Type I and Type II; ratio unverified</x:v>
      </x:c>
      <x:c r="Q120" s="24" t="str">
        <x:v>Published biopsies insufficient to state a reliable per-muscle percentage; no inference from function</x:v>
      </x:c>
      <x:c r="R120" s="32" t="str">
        <x:v>https://www.kenhub.com/en/library/anatomy/ankle-and-foot-anatomy</x:v>
      </x:c>
      <x:c r="S120" s="32" t="str">
        <x:v>https://pubmed.ncbi.nlm.nih.gov/39359186/</x:v>
      </x:c>
    </x:row>
    <x:row r="121" ht="53" customHeight="1">
      <x:c r="A121" s="24" t="str">
        <x:v>Abductor hallucis</x:v>
      </x:c>
      <x:c r="B121" s="24" t="str">
        <x:v>Plantar layer 1</x:v>
      </x:c>
      <x:c r="C121" s="24" t="str">
        <x:v>Flexor; Stabilizer</x:v>
      </x:c>
      <x:c r="D121" s="28" t="str">
        <x:v>Yes</x:v>
      </x:c>
      <x:c r="E121" s="28" t="str">
        <x:v>No</x:v>
      </x:c>
      <x:c r="F121" s="28" t="str">
        <x:v>Yes</x:v>
      </x:c>
      <x:c r="G121" s="24" t="str">
        <x:v>Abducts/flexes hallux; stabilizes medial arch</x:v>
      </x:c>
      <x:c r="H121" s="24" t="str">
        <x:v>Medial calcaneal tubercle; plantar aponeurosis; flexor retinaculum</x:v>
      </x:c>
      <x:c r="I121" s="24" t="str">
        <x:v>Medial base proximal phalanx hallux via sesamoid</x:v>
      </x:c>
      <x:c r="J121" s="24" t="str">
        <x:v>Medial plantar nerve</x:v>
      </x:c>
      <x:c r="K121" s="24" t="str">
        <x:v>S1-S2</x:v>
      </x:c>
      <x:c r="L121" s="24" t="str">
        <x:v>Medial hallucal sesamoid insertion tendon</x:v>
      </x:c>
      <x:c r="M121" s="24" t="str">
        <x:v>Flexor retinaculum direct origin; plantar aponeurosis attachment</x:v>
      </x:c>
      <x:c r="N121" s="30" t="str">
        <x:v>Not established</x:v>
      </x:c>
      <x:c r="O121" s="30" t="str">
        <x:v>Not established</x:v>
      </x:c>
      <x:c r="P121" s="30" t="str">
        <x:v>Mixed Type I and Type II; ratio unverified</x:v>
      </x:c>
      <x:c r="Q121" s="24" t="str">
        <x:v>Published biopsies insufficient to state a reliable per-muscle percentage; no inference from function</x:v>
      </x:c>
      <x:c r="R121" s="32" t="str">
        <x:v>https://www.kenhub.com/en/library/anatomy/ankle-and-foot-anatomy</x:v>
      </x:c>
      <x:c r="S121" s="32" t="str">
        <x:v>https://pubmed.ncbi.nlm.nih.gov/39359186/</x:v>
      </x:c>
    </x:row>
    <x:row r="122" ht="53" customHeight="1">
      <x:c r="A122" s="24" t="str">
        <x:v>Flexor digitorum brevis</x:v>
      </x:c>
      <x:c r="B122" s="24" t="str">
        <x:v>Plantar layer 1</x:v>
      </x:c>
      <x:c r="C122" s="24" t="str">
        <x:v>Flexor</x:v>
      </x:c>
      <x:c r="D122" s="28" t="str">
        <x:v>Yes</x:v>
      </x:c>
      <x:c r="E122" s="28" t="str">
        <x:v>No</x:v>
      </x:c>
      <x:c r="F122" s="28" t="str">
        <x:v>No</x:v>
      </x:c>
      <x:c r="G122" s="24" t="str">
        <x:v>Flexes PIP joints toes 2-5</x:v>
      </x:c>
      <x:c r="H122" s="24" t="str">
        <x:v>Medial calcaneal tubercle; plantar aponeurosis</x:v>
      </x:c>
      <x:c r="I122" s="24" t="str">
        <x:v>Sides middle phalanges toes 2-5</x:v>
      </x:c>
      <x:c r="J122" s="24" t="str">
        <x:v>Medial plantar nerve</x:v>
      </x:c>
      <x:c r="K122" s="24" t="str">
        <x:v>S1-S2</x:v>
      </x:c>
      <x:c r="L122" s="24" t="str">
        <x:v>Four bifurcating digital tendons</x:v>
      </x:c>
      <x:c r="M122" s="24" t="str">
        <x:v>Plantar aponeurosis direct origin; digital fibrous sheaths</x:v>
      </x:c>
      <x:c r="N122" s="30" t="str">
        <x:v>Not established</x:v>
      </x:c>
      <x:c r="O122" s="30" t="str">
        <x:v>Not established</x:v>
      </x:c>
      <x:c r="P122" s="30" t="str">
        <x:v>Mixed Type I and Type II; ratio unverified</x:v>
      </x:c>
      <x:c r="Q122" s="24" t="str">
        <x:v>Published biopsies insufficient to state a reliable per-muscle percentage; no inference from function</x:v>
      </x:c>
      <x:c r="R122" s="32" t="str">
        <x:v>https://www.kenhub.com/en/library/anatomy/ankle-and-foot-anatomy</x:v>
      </x:c>
      <x:c r="S122" s="32" t="str">
        <x:v>https://pubmed.ncbi.nlm.nih.gov/39359186/</x:v>
      </x:c>
    </x:row>
    <x:row r="123" ht="53" customHeight="1">
      <x:c r="A123" s="24" t="str">
        <x:v>Lumbrical 1 (foot)</x:v>
      </x:c>
      <x:c r="B123" s="24" t="str">
        <x:v>Plantar layer 2</x:v>
      </x:c>
      <x:c r="C123" s="24" t="str">
        <x:v>Flexor; Extensor</x:v>
      </x:c>
      <x:c r="D123" s="28" t="str">
        <x:v>Yes</x:v>
      </x:c>
      <x:c r="E123" s="28" t="str">
        <x:v>Yes</x:v>
      </x:c>
      <x:c r="F123" s="28" t="str">
        <x:v>No</x:v>
      </x:c>
      <x:c r="G123" s="24" t="str">
        <x:v>Flexes MTP and extends IP toe 2</x:v>
      </x:c>
      <x:c r="H123" s="24" t="str">
        <x:v>Medial side first FDL tendon</x:v>
      </x:c>
      <x:c r="I123" s="24" t="str">
        <x:v>Medial extensor expansion and proximal phalanx toe 2</x:v>
      </x:c>
      <x:c r="J123" s="24" t="str">
        <x:v>Medial plantar nerve</x:v>
      </x:c>
      <x:c r="K123" s="24" t="str">
        <x:v>S2-S3 (variable S1)</x:v>
      </x:c>
      <x:c r="L123" s="24" t="str">
        <x:v>FDL tendon origin; extensor hood insertion</x:v>
      </x:c>
      <x:c r="M123" s="24" t="str">
        <x:v>Plantar plates of MTP joints adjacent</x:v>
      </x:c>
      <x:c r="N123" s="30" t="str">
        <x:v>Not established</x:v>
      </x:c>
      <x:c r="O123" s="30" t="str">
        <x:v>Not established</x:v>
      </x:c>
      <x:c r="P123" s="30" t="str">
        <x:v>Mixed Type I and Type II; ratio unverified</x:v>
      </x:c>
      <x:c r="Q123" s="24" t="str">
        <x:v>Published biopsies insufficient to state a reliable per-muscle percentage; no inference from function</x:v>
      </x:c>
      <x:c r="R123" s="32" t="str">
        <x:v>https://www.kenhub.com/en/library/anatomy/ankle-and-foot-anatomy</x:v>
      </x:c>
      <x:c r="S123" s="32" t="str">
        <x:v>https://pubmed.ncbi.nlm.nih.gov/39359186/</x:v>
      </x:c>
    </x:row>
    <x:row r="124" ht="53" customHeight="1">
      <x:c r="A124" s="24" t="str">
        <x:v>Lumbrical 2 (foot)</x:v>
      </x:c>
      <x:c r="B124" s="24" t="str">
        <x:v>Plantar layer 2</x:v>
      </x:c>
      <x:c r="C124" s="24" t="str">
        <x:v>Flexor; Extensor</x:v>
      </x:c>
      <x:c r="D124" s="28" t="str">
        <x:v>Yes</x:v>
      </x:c>
      <x:c r="E124" s="28" t="str">
        <x:v>Yes</x:v>
      </x:c>
      <x:c r="F124" s="28" t="str">
        <x:v>No</x:v>
      </x:c>
      <x:c r="G124" s="24" t="str">
        <x:v>Flexes MTP and extends IP toe 3</x:v>
      </x:c>
      <x:c r="H124" s="24" t="str">
        <x:v>Adjacent FDL tendons to toes 2 and 3</x:v>
      </x:c>
      <x:c r="I124" s="24" t="str">
        <x:v>Medial extensor expansion toe 3</x:v>
      </x:c>
      <x:c r="J124" s="24" t="str">
        <x:v>Lateral plantar nerve</x:v>
      </x:c>
      <x:c r="K124" s="24" t="str">
        <x:v>S2-S3</x:v>
      </x:c>
      <x:c r="L124" s="24" t="str">
        <x:v>FDL tendon origin; extensor expansion</x:v>
      </x:c>
      <x:c r="M124" s="24" t="str">
        <x:v>MTP plantar plate nearby</x:v>
      </x:c>
      <x:c r="N124" s="30" t="str">
        <x:v>Not established</x:v>
      </x:c>
      <x:c r="O124" s="30" t="str">
        <x:v>Not established</x:v>
      </x:c>
      <x:c r="P124" s="30" t="str">
        <x:v>Mixed Type I and Type II; ratio unverified</x:v>
      </x:c>
      <x:c r="Q124" s="24" t="str">
        <x:v>Published biopsies insufficient to state a reliable per-muscle percentage; no inference from function</x:v>
      </x:c>
      <x:c r="R124" s="32" t="str">
        <x:v>https://www.kenhub.com/en/library/anatomy/ankle-and-foot-anatomy</x:v>
      </x:c>
      <x:c r="S124" s="32" t="str">
        <x:v>https://pubmed.ncbi.nlm.nih.gov/39359186/</x:v>
      </x:c>
    </x:row>
    <x:row r="125" ht="53" customHeight="1">
      <x:c r="A125" s="24" t="str">
        <x:v>Lumbrical 3 (foot)</x:v>
      </x:c>
      <x:c r="B125" s="24" t="str">
        <x:v>Plantar layer 2</x:v>
      </x:c>
      <x:c r="C125" s="24" t="str">
        <x:v>Flexor; Extensor</x:v>
      </x:c>
      <x:c r="D125" s="28" t="str">
        <x:v>Yes</x:v>
      </x:c>
      <x:c r="E125" s="28" t="str">
        <x:v>Yes</x:v>
      </x:c>
      <x:c r="F125" s="28" t="str">
        <x:v>No</x:v>
      </x:c>
      <x:c r="G125" s="24" t="str">
        <x:v>Flexes MTP and extends IP toe 4</x:v>
      </x:c>
      <x:c r="H125" s="24" t="str">
        <x:v>Adjacent FDL tendons toes 3 and 4</x:v>
      </x:c>
      <x:c r="I125" s="24" t="str">
        <x:v>Medial extensor expansion toe 4</x:v>
      </x:c>
      <x:c r="J125" s="24" t="str">
        <x:v>Lateral plantar nerve</x:v>
      </x:c>
      <x:c r="K125" s="24" t="str">
        <x:v>S2-S3</x:v>
      </x:c>
      <x:c r="L125" s="24" t="str">
        <x:v>FDL tendon origin; extensor expansion</x:v>
      </x:c>
      <x:c r="M125" s="24" t="str">
        <x:v>MTP plantar plate nearby</x:v>
      </x:c>
      <x:c r="N125" s="30" t="str">
        <x:v>Not established</x:v>
      </x:c>
      <x:c r="O125" s="30" t="str">
        <x:v>Not established</x:v>
      </x:c>
      <x:c r="P125" s="30" t="str">
        <x:v>Mixed Type I and Type II; ratio unverified</x:v>
      </x:c>
      <x:c r="Q125" s="24" t="str">
        <x:v>Published biopsies insufficient to state a reliable per-muscle percentage; no inference from function</x:v>
      </x:c>
      <x:c r="R125" s="32" t="str">
        <x:v>https://www.kenhub.com/en/library/anatomy/ankle-and-foot-anatomy</x:v>
      </x:c>
      <x:c r="S125" s="32" t="str">
        <x:v>https://pubmed.ncbi.nlm.nih.gov/39359186/</x:v>
      </x:c>
    </x:row>
    <x:row r="126" ht="53" customHeight="1">
      <x:c r="A126" s="24" t="str">
        <x:v>Lumbrical 4 (foot)</x:v>
      </x:c>
      <x:c r="B126" s="24" t="str">
        <x:v>Plantar layer 2</x:v>
      </x:c>
      <x:c r="C126" s="24" t="str">
        <x:v>Flexor; Extensor</x:v>
      </x:c>
      <x:c r="D126" s="28" t="str">
        <x:v>Yes</x:v>
      </x:c>
      <x:c r="E126" s="28" t="str">
        <x:v>Yes</x:v>
      </x:c>
      <x:c r="F126" s="28" t="str">
        <x:v>No</x:v>
      </x:c>
      <x:c r="G126" s="24" t="str">
        <x:v>Flexes MTP and extends IP toe 5</x:v>
      </x:c>
      <x:c r="H126" s="24" t="str">
        <x:v>Adjacent FDL tendons toes 4 and 5</x:v>
      </x:c>
      <x:c r="I126" s="24" t="str">
        <x:v>Medial extensor expansion toe 5</x:v>
      </x:c>
      <x:c r="J126" s="24" t="str">
        <x:v>Lateral plantar nerve</x:v>
      </x:c>
      <x:c r="K126" s="24" t="str">
        <x:v>S2-S3</x:v>
      </x:c>
      <x:c r="L126" s="24" t="str">
        <x:v>FDL tendon origin; extensor expansion</x:v>
      </x:c>
      <x:c r="M126" s="24" t="str">
        <x:v>MTP plantar plate nearby</x:v>
      </x:c>
      <x:c r="N126" s="30" t="str">
        <x:v>Not established</x:v>
      </x:c>
      <x:c r="O126" s="30" t="str">
        <x:v>Not established</x:v>
      </x:c>
      <x:c r="P126" s="30" t="str">
        <x:v>Mixed Type I and Type II; ratio unverified</x:v>
      </x:c>
      <x:c r="Q126" s="24" t="str">
        <x:v>Published biopsies insufficient to state a reliable per-muscle percentage; no inference from function</x:v>
      </x:c>
      <x:c r="R126" s="32" t="str">
        <x:v>https://www.kenhub.com/en/library/anatomy/ankle-and-foot-anatomy</x:v>
      </x:c>
      <x:c r="S126" s="32" t="str">
        <x:v>https://pubmed.ncbi.nlm.nih.gov/39359186/</x:v>
      </x:c>
    </x:row>
    <x:row r="127" ht="53" customHeight="1">
      <x:c r="A127" s="24" t="str">
        <x:v>Quadratus plantae lateral head</x:v>
      </x:c>
      <x:c r="B127" s="24" t="str">
        <x:v>Plantar layer 2</x:v>
      </x:c>
      <x:c r="C127" s="24" t="str">
        <x:v>Flexor; Stabilizer</x:v>
      </x:c>
      <x:c r="D127" s="28" t="str">
        <x:v>Yes</x:v>
      </x:c>
      <x:c r="E127" s="28" t="str">
        <x:v>No</x:v>
      </x:c>
      <x:c r="F127" s="28" t="str">
        <x:v>Yes</x:v>
      </x:c>
      <x:c r="G127" s="24" t="str">
        <x:v>Redirects FDL pull; assists toe flexion</x:v>
      </x:c>
      <x:c r="H127" s="24" t="str">
        <x:v>Lateral calcaneal tubercle and long plantar ligament</x:v>
      </x:c>
      <x:c r="I127" s="24" t="str">
        <x:v>Lateral edge FDL tendon</x:v>
      </x:c>
      <x:c r="J127" s="24" t="str">
        <x:v>Lateral plantar nerve</x:v>
      </x:c>
      <x:c r="K127" s="24" t="str">
        <x:v>S1-S3</x:v>
      </x:c>
      <x:c r="L127" s="24" t="str">
        <x:v>Insertion to FDL tendon</x:v>
      </x:c>
      <x:c r="M127" s="24" t="str">
        <x:v>Long plantar ligament may contribute to origin</x:v>
      </x:c>
      <x:c r="N127" s="30" t="str">
        <x:v>Not established</x:v>
      </x:c>
      <x:c r="O127" s="30" t="str">
        <x:v>Not established</x:v>
      </x:c>
      <x:c r="P127" s="30" t="str">
        <x:v>Mixed Type I and Type II; ratio unverified</x:v>
      </x:c>
      <x:c r="Q127" s="24" t="str">
        <x:v>Published biopsies insufficient to state a reliable per-muscle percentage; no inference from function</x:v>
      </x:c>
      <x:c r="R127" s="32" t="str">
        <x:v>https://www.kenhub.com/en/library/anatomy/ankle-and-foot-anatomy</x:v>
      </x:c>
      <x:c r="S127" s="32" t="str">
        <x:v>https://pubmed.ncbi.nlm.nih.gov/39359186/</x:v>
      </x:c>
    </x:row>
    <x:row r="128" ht="53" customHeight="1">
      <x:c r="A128" s="24" t="str">
        <x:v>Quadratus plantae medial head</x:v>
      </x:c>
      <x:c r="B128" s="24" t="str">
        <x:v>Plantar layer 2</x:v>
      </x:c>
      <x:c r="C128" s="24" t="str">
        <x:v>Flexor; Stabilizer</x:v>
      </x:c>
      <x:c r="D128" s="28" t="str">
        <x:v>Yes</x:v>
      </x:c>
      <x:c r="E128" s="28" t="str">
        <x:v>No</x:v>
      </x:c>
      <x:c r="F128" s="28" t="str">
        <x:v>Yes</x:v>
      </x:c>
      <x:c r="G128" s="24" t="str">
        <x:v>Redirects FDL pull to flex toes 2-5</x:v>
      </x:c>
      <x:c r="H128" s="24" t="str">
        <x:v>Medial surface calcaneus</x:v>
      </x:c>
      <x:c r="I128" s="24" t="str">
        <x:v>Posterolateral edge flexor digitorum longus tendon</x:v>
      </x:c>
      <x:c r="J128" s="24" t="str">
        <x:v>Lateral plantar nerve</x:v>
      </x:c>
      <x:c r="K128" s="24" t="str">
        <x:v>S1-S3</x:v>
      </x:c>
      <x:c r="L128" s="24" t="str">
        <x:v>Attaches directly to FDL tendon</x:v>
      </x:c>
      <x:c r="M128" s="24" t="str">
        <x:v>Long plantar ligament nearby (no direct ligament insertion)</x:v>
      </x:c>
      <x:c r="N128" s="30" t="str">
        <x:v>Not established</x:v>
      </x:c>
      <x:c r="O128" s="30" t="str">
        <x:v>Not established</x:v>
      </x:c>
      <x:c r="P128" s="30" t="str">
        <x:v>Mixed Type I and Type II; ratio unverified</x:v>
      </x:c>
      <x:c r="Q128" s="24" t="str">
        <x:v>Published biopsies insufficient to state a reliable per-muscle percentage; no inference from function</x:v>
      </x:c>
      <x:c r="R128" s="32" t="str">
        <x:v>https://www.kenhub.com/en/library/anatomy/ankle-and-foot-anatomy</x:v>
      </x:c>
      <x:c r="S128" s="32" t="str">
        <x:v>https://pubmed.ncbi.nlm.nih.gov/39359186/</x:v>
      </x:c>
    </x:row>
    <x:row r="129" ht="53" customHeight="1">
      <x:c r="A129" s="24" t="str">
        <x:v>Adductor hallucis oblique head</x:v>
      </x:c>
      <x:c r="B129" s="24" t="str">
        <x:v>Plantar layer 3</x:v>
      </x:c>
      <x:c r="C129" s="24" t="str">
        <x:v>Stabilizer</x:v>
      </x:c>
      <x:c r="D129" s="28" t="str">
        <x:v>No</x:v>
      </x:c>
      <x:c r="E129" s="28" t="str">
        <x:v>No</x:v>
      </x:c>
      <x:c r="F129" s="28" t="str">
        <x:v>Yes</x:v>
      </x:c>
      <x:c r="G129" s="24" t="str">
        <x:v>Adducts hallux; supports transverse arch</x:v>
      </x:c>
      <x:c r="H129" s="24" t="str">
        <x:v>Bases metatarsals 2-4; long plantar ligament; fibularis longus tendon sheath</x:v>
      </x:c>
      <x:c r="I129" s="24" t="str">
        <x:v>Lateral base proximal phalanx hallux with sesamoid</x:v>
      </x:c>
      <x:c r="J129" s="24" t="str">
        <x:v>Deep branch lateral plantar nerve</x:v>
      </x:c>
      <x:c r="K129" s="24" t="str">
        <x:v>S2-S3</x:v>
      </x:c>
      <x:c r="L129" s="24" t="str">
        <x:v>Tendon via lateral sesamoid</x:v>
      </x:c>
      <x:c r="M129" s="24" t="str">
        <x:v>Long plantar ligament contributes origin</x:v>
      </x:c>
      <x:c r="N129" s="30" t="str">
        <x:v>Not established</x:v>
      </x:c>
      <x:c r="O129" s="30" t="str">
        <x:v>Not established</x:v>
      </x:c>
      <x:c r="P129" s="30" t="str">
        <x:v>Mixed Type I and Type II; ratio unverified</x:v>
      </x:c>
      <x:c r="Q129" s="24" t="str">
        <x:v>Published biopsies insufficient to state a reliable per-muscle percentage; no inference from function</x:v>
      </x:c>
      <x:c r="R129" s="32" t="str">
        <x:v>https://www.kenhub.com/en/library/anatomy/ankle-and-foot-anatomy</x:v>
      </x:c>
      <x:c r="S129" s="32" t="str">
        <x:v>https://pubmed.ncbi.nlm.nih.gov/39359186/</x:v>
      </x:c>
    </x:row>
    <x:row r="130" ht="53" customHeight="1">
      <x:c r="A130" s="24" t="str">
        <x:v>Adductor hallucis transverse head</x:v>
      </x:c>
      <x:c r="B130" s="24" t="str">
        <x:v>Plantar layer 3</x:v>
      </x:c>
      <x:c r="C130" s="24" t="str">
        <x:v>Stabilizer</x:v>
      </x:c>
      <x:c r="D130" s="28" t="str">
        <x:v>No</x:v>
      </x:c>
      <x:c r="E130" s="28" t="str">
        <x:v>No</x:v>
      </x:c>
      <x:c r="F130" s="28" t="str">
        <x:v>Yes</x:v>
      </x:c>
      <x:c r="G130" s="24" t="str">
        <x:v>Adducts hallux; supports transverse arch</x:v>
      </x:c>
      <x:c r="H130" s="24" t="str">
        <x:v>Plantar plates of MTP joints toes 3-5; deep transverse metatarsal ligaments</x:v>
      </x:c>
      <x:c r="I130" s="24" t="str">
        <x:v>Lateral base proximal phalanx hallux</x:v>
      </x:c>
      <x:c r="J130" s="24" t="str">
        <x:v>Deep branch lateral plantar nerve</x:v>
      </x:c>
      <x:c r="K130" s="24" t="str">
        <x:v>S2-S3</x:v>
      </x:c>
      <x:c r="L130" s="24" t="str">
        <x:v>Common adductor tendon</x:v>
      </x:c>
      <x:c r="M130" s="24" t="str">
        <x:v>Deep transverse metatarsal ligaments direct origins</x:v>
      </x:c>
      <x:c r="N130" s="30" t="str">
        <x:v>Not established</x:v>
      </x:c>
      <x:c r="O130" s="30" t="str">
        <x:v>Not established</x:v>
      </x:c>
      <x:c r="P130" s="30" t="str">
        <x:v>Mixed Type I and Type II; ratio unverified</x:v>
      </x:c>
      <x:c r="Q130" s="24" t="str">
        <x:v>Published biopsies insufficient to state a reliable per-muscle percentage; no inference from function</x:v>
      </x:c>
      <x:c r="R130" s="32" t="str">
        <x:v>https://www.kenhub.com/en/library/anatomy/ankle-and-foot-anatomy</x:v>
      </x:c>
      <x:c r="S130" s="32" t="str">
        <x:v>https://pubmed.ncbi.nlm.nih.gov/39359186/</x:v>
      </x:c>
    </x:row>
    <x:row r="131" ht="53" customHeight="1">
      <x:c r="A131" s="24" t="str">
        <x:v>Flexor digiti minimi brevis (foot)</x:v>
      </x:c>
      <x:c r="B131" s="24" t="str">
        <x:v>Plantar layer 3</x:v>
      </x:c>
      <x:c r="C131" s="24" t="str">
        <x:v>Flexor</x:v>
      </x:c>
      <x:c r="D131" s="28" t="str">
        <x:v>Yes</x:v>
      </x:c>
      <x:c r="E131" s="28" t="str">
        <x:v>No</x:v>
      </x:c>
      <x:c r="F131" s="28" t="str">
        <x:v>No</x:v>
      </x:c>
      <x:c r="G131" s="24" t="str">
        <x:v>Flexes fifth MTP joint</x:v>
      </x:c>
      <x:c r="H131" s="24" t="str">
        <x:v>Base metatarsal 5; long plantar ligament</x:v>
      </x:c>
      <x:c r="I131" s="24" t="str">
        <x:v>Base proximal phalanx fifth toe</x:v>
      </x:c>
      <x:c r="J131" s="24" t="str">
        <x:v>Superficial branch lateral plantar nerve</x:v>
      </x:c>
      <x:c r="K131" s="24" t="str">
        <x:v>S2-S3</x:v>
      </x:c>
      <x:c r="L131" s="24" t="str">
        <x:v>Distal tendon to fifth toe</x:v>
      </x:c>
      <x:c r="M131" s="24" t="str">
        <x:v>Long plantar ligament contributes to origin</x:v>
      </x:c>
      <x:c r="N131" s="30" t="str">
        <x:v>Not established</x:v>
      </x:c>
      <x:c r="O131" s="30" t="str">
        <x:v>Not established</x:v>
      </x:c>
      <x:c r="P131" s="30" t="str">
        <x:v>Mixed Type I and Type II; ratio unverified</x:v>
      </x:c>
      <x:c r="Q131" s="24" t="str">
        <x:v>Published biopsies insufficient to state a reliable per-muscle percentage; no inference from function</x:v>
      </x:c>
      <x:c r="R131" s="32" t="str">
        <x:v>https://www.kenhub.com/en/library/anatomy/ankle-and-foot-anatomy</x:v>
      </x:c>
      <x:c r="S131" s="32" t="str">
        <x:v>https://pubmed.ncbi.nlm.nih.gov/39359186/</x:v>
      </x:c>
    </x:row>
    <x:row r="132" ht="53" customHeight="1">
      <x:c r="A132" s="24" t="str">
        <x:v>Flexor hallucis brevis lateral head</x:v>
      </x:c>
      <x:c r="B132" s="24" t="str">
        <x:v>Plantar layer 3</x:v>
      </x:c>
      <x:c r="C132" s="24" t="str">
        <x:v>Flexor</x:v>
      </x:c>
      <x:c r="D132" s="28" t="str">
        <x:v>Yes</x:v>
      </x:c>
      <x:c r="E132" s="28" t="str">
        <x:v>No</x:v>
      </x:c>
      <x:c r="F132" s="28" t="str">
        <x:v>No</x:v>
      </x:c>
      <x:c r="G132" s="24" t="str">
        <x:v>Flexes hallux MTP</x:v>
      </x:c>
      <x:c r="H132" s="24" t="str">
        <x:v>Cuboid/lateral cuneiform; tibialis posterior tendon</x:v>
      </x:c>
      <x:c r="I132" s="24" t="str">
        <x:v>Lateral sesamoid and base proximal hallux phalanx</x:v>
      </x:c>
      <x:c r="J132" s="24" t="str">
        <x:v>Medial plantar nerve (variable deep lateral plantar contribution)</x:v>
      </x:c>
      <x:c r="K132" s="24" t="str">
        <x:v>S1-S2</x:v>
      </x:c>
      <x:c r="L132" s="24" t="str">
        <x:v>Tendon via lateral hallucal sesamoid</x:v>
      </x:c>
      <x:c r="M132" s="24" t="str">
        <x:v>Plantar plate and collateral ligaments at MTP nearby</x:v>
      </x:c>
      <x:c r="N132" s="30" t="str">
        <x:v>Not established</x:v>
      </x:c>
      <x:c r="O132" s="30" t="str">
        <x:v>Not established</x:v>
      </x:c>
      <x:c r="P132" s="30" t="str">
        <x:v>Mixed Type I and Type II; ratio unverified</x:v>
      </x:c>
      <x:c r="Q132" s="24" t="str">
        <x:v>Published biopsies insufficient to state a reliable per-muscle percentage; no inference from function</x:v>
      </x:c>
      <x:c r="R132" s="32" t="str">
        <x:v>https://www.kenhub.com/en/library/anatomy/ankle-and-foot-anatomy</x:v>
      </x:c>
      <x:c r="S132" s="32" t="str">
        <x:v>https://pubmed.ncbi.nlm.nih.gov/39359186/</x:v>
      </x:c>
    </x:row>
    <x:row r="133" ht="53" customHeight="1">
      <x:c r="A133" s="24" t="str">
        <x:v>Flexor hallucis brevis medial head</x:v>
      </x:c>
      <x:c r="B133" s="24" t="str">
        <x:v>Plantar layer 3</x:v>
      </x:c>
      <x:c r="C133" s="24" t="str">
        <x:v>Flexor; Stabilizer</x:v>
      </x:c>
      <x:c r="D133" s="28" t="str">
        <x:v>Yes</x:v>
      </x:c>
      <x:c r="E133" s="28" t="str">
        <x:v>No</x:v>
      </x:c>
      <x:c r="F133" s="28" t="str">
        <x:v>Yes</x:v>
      </x:c>
      <x:c r="G133" s="24" t="str">
        <x:v>Flexes hallux MTP; supports medial arch</x:v>
      </x:c>
      <x:c r="H133" s="24" t="str">
        <x:v>Medial cuneiform; cuboid region; tibialis posterior tendon fibers</x:v>
      </x:c>
      <x:c r="I133" s="24" t="str">
        <x:v>Medial sesamoid and base proximal hallux phalanx</x:v>
      </x:c>
      <x:c r="J133" s="24" t="str">
        <x:v>Medial plantar nerve</x:v>
      </x:c>
      <x:c r="K133" s="24" t="str">
        <x:v>S1-S2</x:v>
      </x:c>
      <x:c r="L133" s="24" t="str">
        <x:v>Short tendon via medial hallucal sesamoid</x:v>
      </x:c>
      <x:c r="M133" s="24" t="str">
        <x:v>Plantar plate/medial collateral ligament at MTP nearby</x:v>
      </x:c>
      <x:c r="N133" s="30" t="str">
        <x:v>Not established</x:v>
      </x:c>
      <x:c r="O133" s="30" t="str">
        <x:v>Not established</x:v>
      </x:c>
      <x:c r="P133" s="30" t="str">
        <x:v>Mixed Type I and Type II; ratio unverified</x:v>
      </x:c>
      <x:c r="Q133" s="24" t="str">
        <x:v>Published biopsies insufficient to state a reliable per-muscle percentage; no inference from function</x:v>
      </x:c>
      <x:c r="R133" s="32" t="str">
        <x:v>https://www.kenhub.com/en/library/anatomy/ankle-and-foot-anatomy</x:v>
      </x:c>
      <x:c r="S133" s="32" t="str">
        <x:v>https://pubmed.ncbi.nlm.nih.gov/39359186/</x:v>
      </x:c>
    </x:row>
    <x:row r="134" ht="53" customHeight="1">
      <x:c r="A134" s="24" t="str">
        <x:v>Opponens digiti minimi (foot, variable)</x:v>
      </x:c>
      <x:c r="B134" s="24" t="str">
        <x:v>Plantar layer 3</x:v>
      </x:c>
      <x:c r="C134" s="24" t="str">
        <x:v>Stabilizer</x:v>
      </x:c>
      <x:c r="D134" s="28" t="str">
        <x:v>No</x:v>
      </x:c>
      <x:c r="E134" s="28" t="str">
        <x:v>No</x:v>
      </x:c>
      <x:c r="F134" s="28" t="str">
        <x:v>Yes</x:v>
      </x:c>
      <x:c r="G134" s="24" t="str">
        <x:v>Draws fifth metatarsal plantarly; supports lateral arch</x:v>
      </x:c>
      <x:c r="H134" s="24" t="str">
        <x:v>Long plantar ligament and cuboid/fifth metatarsal base</x:v>
      </x:c>
      <x:c r="I134" s="24" t="str">
        <x:v>Lateral shaft fifth metatarsal</x:v>
      </x:c>
      <x:c r="J134" s="24" t="str">
        <x:v>Lateral plantar nerve</x:v>
      </x:c>
      <x:c r="K134" s="24" t="str">
        <x:v>S2-S3</x:v>
      </x:c>
      <x:c r="L134" s="24" t="str">
        <x:v>Small insertion tendinous fibers</x:v>
      </x:c>
      <x:c r="M134" s="24" t="str">
        <x:v>Long plantar ligament origin; muscle absent in some individuals</x:v>
      </x:c>
      <x:c r="N134" s="30" t="str">
        <x:v>Not established</x:v>
      </x:c>
      <x:c r="O134" s="30" t="str">
        <x:v>Not established</x:v>
      </x:c>
      <x:c r="P134" s="30" t="str">
        <x:v>Mixed Type I and Type II; ratio unverified</x:v>
      </x:c>
      <x:c r="Q134" s="24" t="str">
        <x:v>Published biopsies insufficient to state a reliable per-muscle percentage; no inference from function</x:v>
      </x:c>
      <x:c r="R134" s="32" t="str">
        <x:v>https://www.kenhub.com/en/library/anatomy/ankle-and-foot-anatomy</x:v>
      </x:c>
      <x:c r="S134" s="32" t="str">
        <x:v>https://pubmed.ncbi.nlm.nih.gov/39359186/</x:v>
      </x:c>
    </x:row>
    <x:row r="135" ht="53" customHeight="1">
      <x:c r="A135" s="24" t="str">
        <x:v>Dorsal interosseous 1 (foot)</x:v>
      </x:c>
      <x:c r="B135" s="24" t="str">
        <x:v>Plantar layer 4</x:v>
      </x:c>
      <x:c r="C135" s="24" t="str">
        <x:v>Flexor; Extensor; Stabilizer</x:v>
      </x:c>
      <x:c r="D135" s="28" t="str">
        <x:v>Yes</x:v>
      </x:c>
      <x:c r="E135" s="28" t="str">
        <x:v>Yes</x:v>
      </x:c>
      <x:c r="F135" s="28" t="str">
        <x:v>Yes</x:v>
      </x:c>
      <x:c r="G135" s="24" t="str">
        <x:v>Abducts second toe medially; MTP flexion/IP extension</x:v>
      </x:c>
      <x:c r="H135" s="24" t="str">
        <x:v>Facing shafts metatarsals 1-2</x:v>
      </x:c>
      <x:c r="I135" s="24" t="str">
        <x:v>Medial base proximal phalanx toe 2</x:v>
      </x:c>
      <x:c r="J135" s="24" t="str">
        <x:v>Deep branch lateral plantar nerve</x:v>
      </x:c>
      <x:c r="K135" s="24" t="str">
        <x:v>S2-S3</x:v>
      </x:c>
      <x:c r="L135" s="24" t="str">
        <x:v>Distal interosseous tendon</x:v>
      </x:c>
      <x:c r="M135" s="24" t="str">
        <x:v>Deep transverse metatarsal ligament adjacent</x:v>
      </x:c>
      <x:c r="N135" s="30" t="str">
        <x:v>Not established</x:v>
      </x:c>
      <x:c r="O135" s="30" t="str">
        <x:v>Not established</x:v>
      </x:c>
      <x:c r="P135" s="30" t="str">
        <x:v>Mixed Type I and Type II; ratio unverified</x:v>
      </x:c>
      <x:c r="Q135" s="24" t="str">
        <x:v>Published biopsies insufficient to state a reliable per-muscle percentage; no inference from function</x:v>
      </x:c>
      <x:c r="R135" s="32" t="str">
        <x:v>https://www.kenhub.com/en/library/anatomy/ankle-and-foot-anatomy</x:v>
      </x:c>
      <x:c r="S135" s="32" t="str">
        <x:v>https://pubmed.ncbi.nlm.nih.gov/39359186/</x:v>
      </x:c>
    </x:row>
    <x:row r="136" ht="53" customHeight="1">
      <x:c r="A136" s="24" t="str">
        <x:v>Dorsal interosseous 2 (foot)</x:v>
      </x:c>
      <x:c r="B136" s="24" t="str">
        <x:v>Plantar layer 4</x:v>
      </x:c>
      <x:c r="C136" s="24" t="str">
        <x:v>Flexor; Extensor; Stabilizer</x:v>
      </x:c>
      <x:c r="D136" s="28" t="str">
        <x:v>Yes</x:v>
      </x:c>
      <x:c r="E136" s="28" t="str">
        <x:v>Yes</x:v>
      </x:c>
      <x:c r="F136" s="28" t="str">
        <x:v>Yes</x:v>
      </x:c>
      <x:c r="G136" s="24" t="str">
        <x:v>Abducts second toe laterally; MTP flexion/IP extension</x:v>
      </x:c>
      <x:c r="H136" s="24" t="str">
        <x:v>Facing shafts metatarsals 2-3</x:v>
      </x:c>
      <x:c r="I136" s="24" t="str">
        <x:v>Lateral base proximal phalanx toe 2</x:v>
      </x:c>
      <x:c r="J136" s="24" t="str">
        <x:v>Deep branch lateral plantar nerve</x:v>
      </x:c>
      <x:c r="K136" s="24" t="str">
        <x:v>S2-S3</x:v>
      </x:c>
      <x:c r="L136" s="24" t="str">
        <x:v>Distal interosseous tendon</x:v>
      </x:c>
      <x:c r="M136" s="24" t="str">
        <x:v>Deep transverse metatarsal ligament adjacent</x:v>
      </x:c>
      <x:c r="N136" s="30" t="str">
        <x:v>Not established</x:v>
      </x:c>
      <x:c r="O136" s="30" t="str">
        <x:v>Not established</x:v>
      </x:c>
      <x:c r="P136" s="30" t="str">
        <x:v>Mixed Type I and Type II; ratio unverified</x:v>
      </x:c>
      <x:c r="Q136" s="24" t="str">
        <x:v>Published biopsies insufficient to state a reliable per-muscle percentage; no inference from function</x:v>
      </x:c>
      <x:c r="R136" s="32" t="str">
        <x:v>https://www.kenhub.com/en/library/anatomy/ankle-and-foot-anatomy</x:v>
      </x:c>
      <x:c r="S136" s="32" t="str">
        <x:v>https://pubmed.ncbi.nlm.nih.gov/39359186/</x:v>
      </x:c>
    </x:row>
    <x:row r="137" ht="53" customHeight="1">
      <x:c r="A137" s="24" t="str">
        <x:v>Dorsal interosseous 3 (foot)</x:v>
      </x:c>
      <x:c r="B137" s="24" t="str">
        <x:v>Plantar layer 4</x:v>
      </x:c>
      <x:c r="C137" s="24" t="str">
        <x:v>Flexor; Extensor; Stabilizer</x:v>
      </x:c>
      <x:c r="D137" s="28" t="str">
        <x:v>Yes</x:v>
      </x:c>
      <x:c r="E137" s="28" t="str">
        <x:v>Yes</x:v>
      </x:c>
      <x:c r="F137" s="28" t="str">
        <x:v>Yes</x:v>
      </x:c>
      <x:c r="G137" s="24" t="str">
        <x:v>Abducts third toe; assists MTP flexion/IP extension</x:v>
      </x:c>
      <x:c r="H137" s="24" t="str">
        <x:v>Facing shafts metatarsals 3-4</x:v>
      </x:c>
      <x:c r="I137" s="24" t="str">
        <x:v>Lateral base proximal phalanx toe 3</x:v>
      </x:c>
      <x:c r="J137" s="24" t="str">
        <x:v>Deep branch lateral plantar nerve</x:v>
      </x:c>
      <x:c r="K137" s="24" t="str">
        <x:v>S2-S3</x:v>
      </x:c>
      <x:c r="L137" s="24" t="str">
        <x:v>Distal interosseous tendon</x:v>
      </x:c>
      <x:c r="M137" s="24" t="str">
        <x:v>Deep transverse metatarsal ligament adjacent</x:v>
      </x:c>
      <x:c r="N137" s="30" t="str">
        <x:v>Not established</x:v>
      </x:c>
      <x:c r="O137" s="30" t="str">
        <x:v>Not established</x:v>
      </x:c>
      <x:c r="P137" s="30" t="str">
        <x:v>Mixed Type I and Type II; ratio unverified</x:v>
      </x:c>
      <x:c r="Q137" s="24" t="str">
        <x:v>Published biopsies insufficient to state a reliable per-muscle percentage; no inference from function</x:v>
      </x:c>
      <x:c r="R137" s="32" t="str">
        <x:v>https://www.kenhub.com/en/library/anatomy/ankle-and-foot-anatomy</x:v>
      </x:c>
      <x:c r="S137" s="32" t="str">
        <x:v>https://pubmed.ncbi.nlm.nih.gov/39359186/</x:v>
      </x:c>
    </x:row>
    <x:row r="138" ht="53" customHeight="1">
      <x:c r="A138" s="24" t="str">
        <x:v>Dorsal interosseous 4 (foot)</x:v>
      </x:c>
      <x:c r="B138" s="24" t="str">
        <x:v>Plantar layer 4</x:v>
      </x:c>
      <x:c r="C138" s="24" t="str">
        <x:v>Flexor; Extensor; Stabilizer</x:v>
      </x:c>
      <x:c r="D138" s="28" t="str">
        <x:v>Yes</x:v>
      </x:c>
      <x:c r="E138" s="28" t="str">
        <x:v>Yes</x:v>
      </x:c>
      <x:c r="F138" s="28" t="str">
        <x:v>Yes</x:v>
      </x:c>
      <x:c r="G138" s="24" t="str">
        <x:v>Abducts fourth toe; assists MTP flexion/IP extension</x:v>
      </x:c>
      <x:c r="H138" s="24" t="str">
        <x:v>Facing shafts metatarsals 4-5</x:v>
      </x:c>
      <x:c r="I138" s="24" t="str">
        <x:v>Lateral base proximal phalanx toe 4</x:v>
      </x:c>
      <x:c r="J138" s="24" t="str">
        <x:v>Deep branch lateral plantar nerve</x:v>
      </x:c>
      <x:c r="K138" s="24" t="str">
        <x:v>S2-S3</x:v>
      </x:c>
      <x:c r="L138" s="24" t="str">
        <x:v>Distal interosseous tendon</x:v>
      </x:c>
      <x:c r="M138" s="24" t="str">
        <x:v>Deep transverse metatarsal ligament adjacent</x:v>
      </x:c>
      <x:c r="N138" s="30" t="str">
        <x:v>Not established</x:v>
      </x:c>
      <x:c r="O138" s="30" t="str">
        <x:v>Not established</x:v>
      </x:c>
      <x:c r="P138" s="30" t="str">
        <x:v>Mixed Type I and Type II; ratio unverified</x:v>
      </x:c>
      <x:c r="Q138" s="24" t="str">
        <x:v>Published biopsies insufficient to state a reliable per-muscle percentage; no inference from function</x:v>
      </x:c>
      <x:c r="R138" s="32" t="str">
        <x:v>https://www.kenhub.com/en/library/anatomy/ankle-and-foot-anatomy</x:v>
      </x:c>
      <x:c r="S138" s="32" t="str">
        <x:v>https://pubmed.ncbi.nlm.nih.gov/39359186/</x:v>
      </x:c>
    </x:row>
    <x:row r="139" ht="53" customHeight="1">
      <x:c r="A139" s="24" t="str">
        <x:v>Plantar interosseous 1 (third toe)</x:v>
      </x:c>
      <x:c r="B139" s="24" t="str">
        <x:v>Plantar layer 4</x:v>
      </x:c>
      <x:c r="C139" s="24" t="str">
        <x:v>Flexor; Extensor; Stabilizer</x:v>
      </x:c>
      <x:c r="D139" s="28" t="str">
        <x:v>Yes</x:v>
      </x:c>
      <x:c r="E139" s="28" t="str">
        <x:v>Yes</x:v>
      </x:c>
      <x:c r="F139" s="28" t="str">
        <x:v>Yes</x:v>
      </x:c>
      <x:c r="G139" s="24" t="str">
        <x:v>Adducts third toe toward second; assists MTP flexion/IP extension</x:v>
      </x:c>
      <x:c r="H139" s="24" t="str">
        <x:v>Medial side metatarsal 3</x:v>
      </x:c>
      <x:c r="I139" s="24" t="str">
        <x:v>Medial proximal phalanx and extensor hood toe 3</x:v>
      </x:c>
      <x:c r="J139" s="24" t="str">
        <x:v>Deep branch lateral plantar nerve</x:v>
      </x:c>
      <x:c r="K139" s="24" t="str">
        <x:v>S2-S3</x:v>
      </x:c>
      <x:c r="L139" s="24" t="str">
        <x:v>Interosseous tendon to extensor hood</x:v>
      </x:c>
      <x:c r="M139" s="24" t="str">
        <x:v>Deep transverse metatarsal ligament nearby</x:v>
      </x:c>
      <x:c r="N139" s="30" t="str">
        <x:v>Not established</x:v>
      </x:c>
      <x:c r="O139" s="30" t="str">
        <x:v>Not established</x:v>
      </x:c>
      <x:c r="P139" s="30" t="str">
        <x:v>Mixed Type I and Type II; ratio unverified</x:v>
      </x:c>
      <x:c r="Q139" s="24" t="str">
        <x:v>Published biopsies insufficient to state a reliable per-muscle percentage; no inference from function</x:v>
      </x:c>
      <x:c r="R139" s="32" t="str">
        <x:v>https://www.kenhub.com/en/library/anatomy/ankle-and-foot-anatomy</x:v>
      </x:c>
      <x:c r="S139" s="32" t="str">
        <x:v>https://pubmed.ncbi.nlm.nih.gov/39359186/</x:v>
      </x:c>
    </x:row>
    <x:row r="140" ht="53" customHeight="1">
      <x:c r="A140" s="24" t="str">
        <x:v>Plantar interosseous 2 (fourth toe)</x:v>
      </x:c>
      <x:c r="B140" s="24" t="str">
        <x:v>Plantar layer 4</x:v>
      </x:c>
      <x:c r="C140" s="24" t="str">
        <x:v>Flexor; Extensor; Stabilizer</x:v>
      </x:c>
      <x:c r="D140" s="28" t="str">
        <x:v>Yes</x:v>
      </x:c>
      <x:c r="E140" s="28" t="str">
        <x:v>Yes</x:v>
      </x:c>
      <x:c r="F140" s="28" t="str">
        <x:v>Yes</x:v>
      </x:c>
      <x:c r="G140" s="24" t="str">
        <x:v>Adducts fourth toe; assists MTP flexion/IP extension</x:v>
      </x:c>
      <x:c r="H140" s="24" t="str">
        <x:v>Medial side metatarsal 4</x:v>
      </x:c>
      <x:c r="I140" s="24" t="str">
        <x:v>Medial proximal phalanx/extensor hood toe 4</x:v>
      </x:c>
      <x:c r="J140" s="24" t="str">
        <x:v>Deep branch lateral plantar nerve</x:v>
      </x:c>
      <x:c r="K140" s="24" t="str">
        <x:v>S2-S3</x:v>
      </x:c>
      <x:c r="L140" s="24" t="str">
        <x:v>Interosseous tendon to extensor hood</x:v>
      </x:c>
      <x:c r="M140" s="24" t="str">
        <x:v>Deep transverse metatarsal ligament nearby</x:v>
      </x:c>
      <x:c r="N140" s="30" t="str">
        <x:v>Not established</x:v>
      </x:c>
      <x:c r="O140" s="30" t="str">
        <x:v>Not established</x:v>
      </x:c>
      <x:c r="P140" s="30" t="str">
        <x:v>Mixed Type I and Type II; ratio unverified</x:v>
      </x:c>
      <x:c r="Q140" s="24" t="str">
        <x:v>Published biopsies insufficient to state a reliable per-muscle percentage; no inference from function</x:v>
      </x:c>
      <x:c r="R140" s="32" t="str">
        <x:v>https://www.kenhub.com/en/library/anatomy/ankle-and-foot-anatomy</x:v>
      </x:c>
      <x:c r="S140" s="32" t="str">
        <x:v>https://pubmed.ncbi.nlm.nih.gov/39359186/</x:v>
      </x:c>
    </x:row>
    <x:row r="141" ht="53" customHeight="1">
      <x:c r="A141" s="24" t="str">
        <x:v>Plantar interosseous 3 (fifth toe)</x:v>
      </x:c>
      <x:c r="B141" s="24" t="str">
        <x:v>Plantar layer 4</x:v>
      </x:c>
      <x:c r="C141" s="24" t="str">
        <x:v>Flexor; Extensor; Stabilizer</x:v>
      </x:c>
      <x:c r="D141" s="28" t="str">
        <x:v>Yes</x:v>
      </x:c>
      <x:c r="E141" s="28" t="str">
        <x:v>Yes</x:v>
      </x:c>
      <x:c r="F141" s="28" t="str">
        <x:v>Yes</x:v>
      </x:c>
      <x:c r="G141" s="24" t="str">
        <x:v>Adducts fifth toe; assists MTP flexion/IP extension</x:v>
      </x:c>
      <x:c r="H141" s="24" t="str">
        <x:v>Medial side metatarsal 5</x:v>
      </x:c>
      <x:c r="I141" s="24" t="str">
        <x:v>Medial proximal phalanx/extensor hood toe 5</x:v>
      </x:c>
      <x:c r="J141" s="24" t="str">
        <x:v>Deep branch lateral plantar nerve</x:v>
      </x:c>
      <x:c r="K141" s="24" t="str">
        <x:v>S2-S3</x:v>
      </x:c>
      <x:c r="L141" s="24" t="str">
        <x:v>Interosseous tendon to extensor hood</x:v>
      </x:c>
      <x:c r="M141" s="24" t="str">
        <x:v>Deep transverse metatarsal ligament nearby</x:v>
      </x:c>
      <x:c r="N141" s="30" t="str">
        <x:v>Not established</x:v>
      </x:c>
      <x:c r="O141" s="30" t="str">
        <x:v>Not established</x:v>
      </x:c>
      <x:c r="P141" s="30" t="str">
        <x:v>Mixed Type I and Type II; ratio unverified</x:v>
      </x:c>
      <x:c r="Q141" s="24" t="str">
        <x:v>Published biopsies insufficient to state a reliable per-muscle percentage; no inference from function</x:v>
      </x:c>
      <x:c r="R141" s="32" t="str">
        <x:v>https://www.kenhub.com/en/library/anatomy/ankle-and-foot-anatomy</x:v>
      </x:c>
      <x:c r="S141" s="32" t="str">
        <x:v>https://pubmed.ncbi.nlm.nih.gov/39359186/</x:v>
      </x:c>
    </x:row>
    <x:row r="142" ht="53" customHeight="1">
      <x:c r="A142" s="24" t="str">
        <x:v>Rectus abdominis</x:v>
      </x:c>
      <x:c r="B142" s="24" t="str">
        <x:v>Anterior abdominal wall</x:v>
      </x:c>
      <x:c r="C142" s="24" t="str">
        <x:v>Flexor; Stabilizer</x:v>
      </x:c>
      <x:c r="D142" s="28" t="str">
        <x:v>Yes</x:v>
      </x:c>
      <x:c r="E142" s="28" t="str">
        <x:v>No</x:v>
      </x:c>
      <x:c r="F142" s="28" t="str">
        <x:v>Yes</x:v>
      </x:c>
      <x:c r="G142" s="24" t="str">
        <x:v>Flexes trunk; compresses abdominal viscera; posterior pelvic tilt</x:v>
      </x:c>
      <x:c r="H142" s="24" t="str">
        <x:v>Pubic crest and pubic symphysis</x:v>
      </x:c>
      <x:c r="I142" s="24" t="str">
        <x:v>Xiphoid process and costal cartilages ribs 5-7</x:v>
      </x:c>
      <x:c r="J142" s="24" t="str">
        <x:v>Thoracoabdominal nerves</x:v>
      </x:c>
      <x:c r="K142" s="24" t="str">
        <x:v>T6-T12</x:v>
      </x:c>
      <x:c r="L142" s="24" t="str">
        <x:v>Tendinous intersections and rectus sheath insertion</x:v>
      </x:c>
      <x:c r="M142" s="24" t="str">
        <x:v>Linea alba and rectus sheath are aponeurotic, not ligament</x:v>
      </x:c>
      <x:c r="N142" s="30" t="str">
        <x:v>Not established</x:v>
      </x:c>
      <x:c r="O142" s="30" t="str">
        <x:v>Not established</x:v>
      </x:c>
      <x:c r="P142" s="30" t="str">
        <x:v>Mixed Type I and Type II; ratio unverified</x:v>
      </x:c>
      <x:c r="Q142" s="24" t="str">
        <x:v>Published biopsies insufficient to state a reliable per-muscle percentage; no inference from function</x:v>
      </x:c>
      <x:c r="R142" s="32" t="str">
        <x:v>https://www.kenhub.com/en/library/anatomy/anterior-abdominal-wall</x:v>
      </x:c>
      <x:c r="S142" s="32" t="str">
        <x:v>https://pubmed.ncbi.nlm.nih.gov/39359186/</x:v>
      </x:c>
    </x:row>
    <x:row r="143" ht="53" customHeight="1">
      <x:c r="A143" s="24" t="str">
        <x:v>Pyramidalis</x:v>
      </x:c>
      <x:c r="B143" s="24" t="str">
        <x:v>Anterior abdominal wall (variable)</x:v>
      </x:c>
      <x:c r="C143" s="24" t="str">
        <x:v>Stabilizer</x:v>
      </x:c>
      <x:c r="D143" s="28" t="str">
        <x:v>No</x:v>
      </x:c>
      <x:c r="E143" s="28" t="str">
        <x:v>No</x:v>
      </x:c>
      <x:c r="F143" s="28" t="str">
        <x:v>Yes</x:v>
      </x:c>
      <x:c r="G143" s="24" t="str">
        <x:v>Tenses linea alba</x:v>
      </x:c>
      <x:c r="H143" s="24" t="str">
        <x:v>Anterior pubis and pubic symphysis</x:v>
      </x:c>
      <x:c r="I143" s="24" t="str">
        <x:v>Inferior linea alba</x:v>
      </x:c>
      <x:c r="J143" s="24" t="str">
        <x:v>Subcostal nerve</x:v>
      </x:c>
      <x:c r="K143" s="24" t="str">
        <x:v>T12</x:v>
      </x:c>
      <x:c r="L143" s="24" t="str">
        <x:v>Small aponeurotic insertion to linea alba</x:v>
      </x:c>
      <x:c r="M143" s="24" t="str">
        <x:v>No specific direct ligament attachment</x:v>
      </x:c>
      <x:c r="N143" s="30" t="str">
        <x:v>Not established</x:v>
      </x:c>
      <x:c r="O143" s="30" t="str">
        <x:v>Not established</x:v>
      </x:c>
      <x:c r="P143" s="30" t="str">
        <x:v>Mixed Type I and Type II; ratio unverified</x:v>
      </x:c>
      <x:c r="Q143" s="24" t="str">
        <x:v>Published biopsies insufficient to state a reliable per-muscle percentage; no inference from function</x:v>
      </x:c>
      <x:c r="R143" s="32" t="str">
        <x:v>https://www.kenhub.com/en/library/anatomy/anterior-abdominal-wall</x:v>
      </x:c>
      <x:c r="S143" s="32" t="str">
        <x:v>https://pubmed.ncbi.nlm.nih.gov/39359186/</x:v>
      </x:c>
    </x:row>
    <x:row r="144" ht="53" customHeight="1">
      <x:c r="A144" s="24" t="str">
        <x:v>Transversus abdominis</x:v>
      </x:c>
      <x:c r="B144" s="24" t="str">
        <x:v>Deep abdominal wall</x:v>
      </x:c>
      <x:c r="C144" s="24" t="str">
        <x:v>Stabilizer</x:v>
      </x:c>
      <x:c r="D144" s="28" t="str">
        <x:v>No</x:v>
      </x:c>
      <x:c r="E144" s="28" t="str">
        <x:v>No</x:v>
      </x:c>
      <x:c r="F144" s="28" t="str">
        <x:v>Yes</x:v>
      </x:c>
      <x:c r="G144" s="24" t="str">
        <x:v>Abdominal compression; anticipatory lumbar stabilization</x:v>
      </x:c>
      <x:c r="H144" s="24" t="str">
        <x:v>Internal lower six costal cartilages; thoracolumbar fascia; iliac crest; lateral inguinal ligament</x:v>
      </x:c>
      <x:c r="I144" s="24" t="str">
        <x:v>Linea alba; pubic crest/pecten via conjoint tendon</x:v>
      </x:c>
      <x:c r="J144" s="24" t="str">
        <x:v>Thoracoabdominal/subcostal and L1 branches</x:v>
      </x:c>
      <x:c r="K144" s="24" t="str">
        <x:v>T6-L1</x:v>
      </x:c>
      <x:c r="L144" s="24" t="str">
        <x:v>Transversus aponeurosis; conjoint tendon</x:v>
      </x:c>
      <x:c r="M144" s="24" t="str">
        <x:v>Inguinal ligament direct origin of lower fibers</x:v>
      </x:c>
      <x:c r="N144" s="30" t="str">
        <x:v>Not established</x:v>
      </x:c>
      <x:c r="O144" s="30" t="str">
        <x:v>Not established</x:v>
      </x:c>
      <x:c r="P144" s="30" t="str">
        <x:v>Mixed Type I and Type II; ratio unverified</x:v>
      </x:c>
      <x:c r="Q144" s="24" t="str">
        <x:v>Published biopsies insufficient to state a reliable per-muscle percentage; no inference from function</x:v>
      </x:c>
      <x:c r="R144" s="32" t="str">
        <x:v>https://www.kenhub.com/en/library/anatomy/anterior-abdominal-wall</x:v>
      </x:c>
      <x:c r="S144" s="32" t="str">
        <x:v>https://pubmed.ncbi.nlm.nih.gov/39359186/</x:v>
      </x:c>
    </x:row>
    <x:row r="145" ht="53" customHeight="1">
      <x:c r="A145" s="24" t="str">
        <x:v>Cremaster</x:v>
      </x:c>
      <x:c r="B145" s="24" t="str">
        <x:v>Inguinal canal / male anatomy</x:v>
      </x:c>
      <x:c r="C145" s="24" t="str">
        <x:v>Stabilizer</x:v>
      </x:c>
      <x:c r="D145" s="28" t="str">
        <x:v>No</x:v>
      </x:c>
      <x:c r="E145" s="28" t="str">
        <x:v>No</x:v>
      </x:c>
      <x:c r="F145" s="28" t="str">
        <x:v>Yes</x:v>
      </x:c>
      <x:c r="G145" s="24" t="str">
        <x:v>Elevates testis</x:v>
      </x:c>
      <x:c r="H145" s="24" t="str">
        <x:v>Internal oblique fibers and inguinal ligament region</x:v>
      </x:c>
      <x:c r="I145" s="24" t="str">
        <x:v>Spermatic cord and testis coverings</x:v>
      </x:c>
      <x:c r="J145" s="24" t="str">
        <x:v>Genital branch genitofemoral nerve</x:v>
      </x:c>
      <x:c r="K145" s="24" t="str">
        <x:v>L1-L2</x:v>
      </x:c>
      <x:c r="L145" s="24" t="str">
        <x:v>Cremasteric fascial fibers</x:v>
      </x:c>
      <x:c r="M145" s="24" t="str">
        <x:v>Inguinal ligament region near origin</x:v>
      </x:c>
      <x:c r="N145" s="30" t="str">
        <x:v>Not established</x:v>
      </x:c>
      <x:c r="O145" s="30" t="str">
        <x:v>Not established</x:v>
      </x:c>
      <x:c r="P145" s="30" t="str">
        <x:v>Mixed Type I and Type II; ratio unverified</x:v>
      </x:c>
      <x:c r="Q145" s="24" t="str">
        <x:v>Published biopsies insufficient to state a reliable per-muscle percentage; no inference from function</x:v>
      </x:c>
      <x:c r="R145" s="32" t="str">
        <x:v>https://www.kenhub.com/en/library/anatomy/anterior-abdominal-wall</x:v>
      </x:c>
      <x:c r="S145" s="32" t="str">
        <x:v>https://pubmed.ncbi.nlm.nih.gov/39359186/</x:v>
      </x:c>
    </x:row>
    <x:row r="146" ht="53" customHeight="1">
      <x:c r="A146" s="24" t="str">
        <x:v>External oblique</x:v>
      </x:c>
      <x:c r="B146" s="24" t="str">
        <x:v>Lateral abdominal wall</x:v>
      </x:c>
      <x:c r="C146" s="24" t="str">
        <x:v>Flexor; Stabilizer</x:v>
      </x:c>
      <x:c r="D146" s="28" t="str">
        <x:v>Yes</x:v>
      </x:c>
      <x:c r="E146" s="28" t="str">
        <x:v>No</x:v>
      </x:c>
      <x:c r="F146" s="28" t="str">
        <x:v>Yes</x:v>
      </x:c>
      <x:c r="G146" s="24" t="str">
        <x:v>Contralateral trunk rotation; trunk flexion; abdominal compression</x:v>
      </x:c>
      <x:c r="H146" s="24" t="str">
        <x:v>External surfaces ribs 5-12</x:v>
      </x:c>
      <x:c r="I146" s="24" t="str">
        <x:v>Linea alba; pubic tubercle; anterior iliac crest</x:v>
      </x:c>
      <x:c r="J146" s="24" t="str">
        <x:v>Thoracoabdominal and subcostal nerves</x:v>
      </x:c>
      <x:c r="K146" s="24" t="str">
        <x:v>T7-T12</x:v>
      </x:c>
      <x:c r="L146" s="24" t="str">
        <x:v>Broad external oblique aponeurosis</x:v>
      </x:c>
      <x:c r="M146" s="24" t="str">
        <x:v>Inferior rolled aponeurosis forms inguinal ligament</x:v>
      </x:c>
      <x:c r="N146" s="30" t="str">
        <x:v>Not established</x:v>
      </x:c>
      <x:c r="O146" s="30" t="str">
        <x:v>Not established</x:v>
      </x:c>
      <x:c r="P146" s="30" t="str">
        <x:v>Mixed Type I and Type II; ratio unverified</x:v>
      </x:c>
      <x:c r="Q146" s="24" t="str">
        <x:v>Published biopsies insufficient to state a reliable per-muscle percentage; no inference from function</x:v>
      </x:c>
      <x:c r="R146" s="32" t="str">
        <x:v>https://www.kenhub.com/en/library/anatomy/anterior-abdominal-wall</x:v>
      </x:c>
      <x:c r="S146" s="32" t="str">
        <x:v>https://pubmed.ncbi.nlm.nih.gov/39359186/</x:v>
      </x:c>
    </x:row>
    <x:row r="147" ht="53" customHeight="1">
      <x:c r="A147" s="24" t="str">
        <x:v>Internal oblique</x:v>
      </x:c>
      <x:c r="B147" s="24" t="str">
        <x:v>Lateral abdominal wall</x:v>
      </x:c>
      <x:c r="C147" s="24" t="str">
        <x:v>Flexor; Stabilizer</x:v>
      </x:c>
      <x:c r="D147" s="28" t="str">
        <x:v>Yes</x:v>
      </x:c>
      <x:c r="E147" s="28" t="str">
        <x:v>No</x:v>
      </x:c>
      <x:c r="F147" s="28" t="str">
        <x:v>Yes</x:v>
      </x:c>
      <x:c r="G147" s="24" t="str">
        <x:v>Ipsilateral trunk rotation; flexion; abdominal compression</x:v>
      </x:c>
      <x:c r="H147" s="24" t="str">
        <x:v>Thoracolumbar fascia; anterior iliac crest; lateral inguinal ligament</x:v>
      </x:c>
      <x:c r="I147" s="24" t="str">
        <x:v>Inferior ribs 10-12; linea alba; pubis via conjoint tendon</x:v>
      </x:c>
      <x:c r="J147" s="24" t="str">
        <x:v>Thoracoabdominal, subcostal; iliohypogastric and ilioinguinal nerves</x:v>
      </x:c>
      <x:c r="K147" s="24" t="str">
        <x:v>T6-L1</x:v>
      </x:c>
      <x:c r="L147" s="24" t="str">
        <x:v>Internal oblique aponeurosis; conjoint tendon</x:v>
      </x:c>
      <x:c r="M147" s="24" t="str">
        <x:v>Inguinal ligament direct origin; conjoint tendon complex</x:v>
      </x:c>
      <x:c r="N147" s="30" t="str">
        <x:v>Not established</x:v>
      </x:c>
      <x:c r="O147" s="30" t="str">
        <x:v>Not established</x:v>
      </x:c>
      <x:c r="P147" s="30" t="str">
        <x:v>Mixed Type I and Type II; ratio unverified</x:v>
      </x:c>
      <x:c r="Q147" s="24" t="str">
        <x:v>Published biopsies insufficient to state a reliable per-muscle percentage; no inference from function</x:v>
      </x:c>
      <x:c r="R147" s="32" t="str">
        <x:v>https://www.kenhub.com/en/library/anatomy/anterior-abdominal-wall</x:v>
      </x:c>
      <x:c r="S147" s="32" t="str">
        <x:v>https://pubmed.ncbi.nlm.nih.gov/39359186/</x:v>
      </x:c>
    </x:row>
    <x:row r="148" ht="53" customHeight="1">
      <x:c r="A148" s="24" t="str">
        <x:v>Quadratus lumborum</x:v>
      </x:c>
      <x:c r="B148" s="24" t="str">
        <x:v>Posterior abdominal wall</x:v>
      </x:c>
      <x:c r="C148" s="24" t="str">
        <x:v>Stabilizer</x:v>
      </x:c>
      <x:c r="D148" s="28" t="str">
        <x:v>No</x:v>
      </x:c>
      <x:c r="E148" s="28" t="str">
        <x:v>No</x:v>
      </x:c>
      <x:c r="F148" s="28" t="str">
        <x:v>Yes</x:v>
      </x:c>
      <x:c r="G148" s="24" t="str">
        <x:v>Ipsilateral trunk side-bending; fixes rib 12; lumbar stability</x:v>
      </x:c>
      <x:c r="H148" s="24" t="str">
        <x:v>Iliac crest and iliolumbar ligament</x:v>
      </x:c>
      <x:c r="I148" s="24" t="str">
        <x:v>Rib 12 and transverse processes L1-L4</x:v>
      </x:c>
      <x:c r="J148" s="24" t="str">
        <x:v>Anterior rami T12-L4</x:v>
      </x:c>
      <x:c r="K148" s="24" t="str">
        <x:v>T12-L4</x:v>
      </x:c>
      <x:c r="L148" s="24" t="str">
        <x:v>Short aponeuroses to lumbar transverse processes</x:v>
      </x:c>
      <x:c r="M148" s="24" t="str">
        <x:v>Iliolumbar ligament direct origin</x:v>
      </x:c>
      <x:c r="N148" s="30" t="str">
        <x:v>Not established</x:v>
      </x:c>
      <x:c r="O148" s="30" t="str">
        <x:v>Not established</x:v>
      </x:c>
      <x:c r="P148" s="30" t="str">
        <x:v>Mixed Type I and Type II; ratio unverified</x:v>
      </x:c>
      <x:c r="Q148" s="24" t="str">
        <x:v>Published biopsies insufficient to state a reliable per-muscle percentage; no inference from function</x:v>
      </x:c>
      <x:c r="R148" s="32" t="str">
        <x:v>https://www.kenhub.com/en/library/anatomy/anterior-abdominal-wall</x:v>
      </x:c>
      <x:c r="S148" s="32" t="str">
        <x:v>https://pubmed.ncbi.nlm.nih.gov/39359186/</x:v>
      </x:c>
    </x:row>
    <x:row r="149" ht="53" customHeight="1">
      <x:c r="A149" s="24" t="str">
        <x:v>Diaphragm costal part</x:v>
      </x:c>
      <x:c r="B149" s="24" t="str">
        <x:v>Thoracoabdominal divider</x:v>
      </x:c>
      <x:c r="C149" s="24" t="str">
        <x:v>Stabilizer</x:v>
      </x:c>
      <x:c r="D149" s="28" t="str">
        <x:v>No</x:v>
      </x:c>
      <x:c r="E149" s="28" t="str">
        <x:v>No</x:v>
      </x:c>
      <x:c r="F149" s="28" t="str">
        <x:v>Yes</x:v>
      </x:c>
      <x:c r="G149" s="24" t="str">
        <x:v>Primary inspiration; intra-abdominal pressure</x:v>
      </x:c>
      <x:c r="H149" s="24" t="str">
        <x:v>Internal lower ribs and costal cartilages 7-12</x:v>
      </x:c>
      <x:c r="I149" s="24" t="str">
        <x:v>Central tendon of diaphragm</x:v>
      </x:c>
      <x:c r="J149" s="24" t="str">
        <x:v>Phrenic nerve</x:v>
      </x:c>
      <x:c r="K149" s="24" t="str">
        <x:v>C3-C5</x:v>
      </x:c>
      <x:c r="L149" s="24" t="str">
        <x:v>Central tendon</x:v>
      </x:c>
      <x:c r="M149" s="24" t="str">
        <x:v>Arcuate ligaments are tendinous arches related to lumbar part</x:v>
      </x:c>
      <x:c r="N149" s="30" t="str">
        <x:v>Not established</x:v>
      </x:c>
      <x:c r="O149" s="30" t="str">
        <x:v>Not established</x:v>
      </x:c>
      <x:c r="P149" s="30" t="str">
        <x:v>Mixed Type I and Type II; ratio unverified</x:v>
      </x:c>
      <x:c r="Q149" s="24" t="str">
        <x:v>Published biopsies insufficient to state a reliable per-muscle percentage; no inference from function</x:v>
      </x:c>
      <x:c r="R149" s="32" t="str">
        <x:v>https://www.kenhub.com/en/library/anatomy/anterior-abdominal-wall</x:v>
      </x:c>
      <x:c r="S149" s="32" t="str">
        <x:v>https://pubmed.ncbi.nlm.nih.gov/39359186/</x:v>
      </x:c>
    </x:row>
    <x:row r="150" ht="53" customHeight="1">
      <x:c r="A150" s="24" t="str">
        <x:v>Diaphragm lumbar part / crura</x:v>
      </x:c>
      <x:c r="B150" s="24" t="str">
        <x:v>Thoracoabdominal divider</x:v>
      </x:c>
      <x:c r="C150" s="24" t="str">
        <x:v>Stabilizer</x:v>
      </x:c>
      <x:c r="D150" s="28" t="str">
        <x:v>No</x:v>
      </x:c>
      <x:c r="E150" s="28" t="str">
        <x:v>No</x:v>
      </x:c>
      <x:c r="F150" s="28" t="str">
        <x:v>Yes</x:v>
      </x:c>
      <x:c r="G150" s="24" t="str">
        <x:v>Inspiration; stabilizes pressure and lumbar column</x:v>
      </x:c>
      <x:c r="H150" s="24" t="str">
        <x:v>Right crus L1-L3; left crus L1-L2; arcuate ligament complexes</x:v>
      </x:c>
      <x:c r="I150" s="24" t="str">
        <x:v>Central tendon of diaphragm</x:v>
      </x:c>
      <x:c r="J150" s="24" t="str">
        <x:v>Phrenic nerve</x:v>
      </x:c>
      <x:c r="K150" s="24" t="str">
        <x:v>C3-C5</x:v>
      </x:c>
      <x:c r="L150" s="24" t="str">
        <x:v>Central tendon; crural tendons</x:v>
      </x:c>
      <x:c r="M150" s="24" t="str">
        <x:v>Medial/lateral arcuate ligaments are tendinous arches of diaphragmatic origin</x:v>
      </x:c>
      <x:c r="N150" s="30" t="str">
        <x:v>Not established</x:v>
      </x:c>
      <x:c r="O150" s="30" t="str">
        <x:v>Not established</x:v>
      </x:c>
      <x:c r="P150" s="30" t="str">
        <x:v>Mixed Type I and Type II; ratio unverified</x:v>
      </x:c>
      <x:c r="Q150" s="24" t="str">
        <x:v>Published biopsies insufficient to state a reliable per-muscle percentage; no inference from function</x:v>
      </x:c>
      <x:c r="R150" s="32" t="str">
        <x:v>https://www.kenhub.com/en/library/anatomy/anterior-abdominal-wall</x:v>
      </x:c>
      <x:c r="S150" s="32" t="str">
        <x:v>https://pubmed.ncbi.nlm.nih.gov/39359186/</x:v>
      </x:c>
    </x:row>
    <x:row r="151" ht="53" customHeight="1">
      <x:c r="A151" s="24" t="str">
        <x:v>Diaphragm sternal part</x:v>
      </x:c>
      <x:c r="B151" s="24" t="str">
        <x:v>Thoracoabdominal divider</x:v>
      </x:c>
      <x:c r="C151" s="24" t="str">
        <x:v>Stabilizer</x:v>
      </x:c>
      <x:c r="D151" s="28" t="str">
        <x:v>No</x:v>
      </x:c>
      <x:c r="E151" s="28" t="str">
        <x:v>No</x:v>
      </x:c>
      <x:c r="F151" s="28" t="str">
        <x:v>Yes</x:v>
      </x:c>
      <x:c r="G151" s="24" t="str">
        <x:v>Primary inspiration</x:v>
      </x:c>
      <x:c r="H151" s="24" t="str">
        <x:v>Posterior xiphoid process</x:v>
      </x:c>
      <x:c r="I151" s="24" t="str">
        <x:v>Central tendon of diaphragm</x:v>
      </x:c>
      <x:c r="J151" s="24" t="str">
        <x:v>Phrenic nerve</x:v>
      </x:c>
      <x:c r="K151" s="24" t="str">
        <x:v>C3-C5</x:v>
      </x:c>
      <x:c r="L151" s="24" t="str">
        <x:v>Central tendon</x:v>
      </x:c>
      <x:c r="M151" s="24" t="str">
        <x:v>No direct skeletal ligament attachment</x:v>
      </x:c>
      <x:c r="N151" s="30" t="str">
        <x:v>Not established</x:v>
      </x:c>
      <x:c r="O151" s="30" t="str">
        <x:v>Not established</x:v>
      </x:c>
      <x:c r="P151" s="30" t="str">
        <x:v>Mixed Type I and Type II; ratio unverified</x:v>
      </x:c>
      <x:c r="Q151" s="24" t="str">
        <x:v>Published biopsies insufficient to state a reliable per-muscle percentage; no inference from function</x:v>
      </x:c>
      <x:c r="R151" s="32" t="str">
        <x:v>https://www.kenhub.com/en/library/anatomy/anterior-abdominal-wall</x:v>
      </x:c>
      <x:c r="S151" s="32" t="str">
        <x:v>https://pubmed.ncbi.nlm.nih.gov/39359186/</x:v>
      </x:c>
    </x:row>
    <x:row r="152" ht="53" customHeight="1">
      <x:c r="A152" s="24" t="str">
        <x:v>Longus capitis</x:v>
      </x:c>
      <x:c r="B152" s="24" t="str">
        <x:v>Deep anterior neck</x:v>
      </x:c>
      <x:c r="C152" s="24" t="str">
        <x:v>Flexor; Stabilizer</x:v>
      </x:c>
      <x:c r="D152" s="28" t="str">
        <x:v>Yes</x:v>
      </x:c>
      <x:c r="E152" s="28" t="str">
        <x:v>No</x:v>
      </x:c>
      <x:c r="F152" s="28" t="str">
        <x:v>Yes</x:v>
      </x:c>
      <x:c r="G152" s="24" t="str">
        <x:v>Flexes head at atlanto-occipital joint</x:v>
      </x:c>
      <x:c r="H152" s="24" t="str">
        <x:v>Anterior tubercles transverse processes C3-C6</x:v>
      </x:c>
      <x:c r="I152" s="24" t="str">
        <x:v>Basilar part of occipital bone</x:v>
      </x:c>
      <x:c r="J152" s="24" t="str">
        <x:v>Anterior rami cervical spinal nerves</x:v>
      </x:c>
      <x:c r="K152" s="24" t="str">
        <x:v>C1-C3 (sometimes C4)</x:v>
      </x:c>
      <x:c r="L152" s="24" t="str">
        <x:v>Basilar occipital insertion tendon</x:v>
      </x:c>
      <x:c r="M152" s="24" t="str">
        <x:v>Anterior atlanto-occipital membrane nearby</x:v>
      </x:c>
      <x:c r="N152" s="30" t="str">
        <x:v>Not established</x:v>
      </x:c>
      <x:c r="O152" s="30" t="str">
        <x:v>Not established</x:v>
      </x:c>
      <x:c r="P152" s="30" t="str">
        <x:v>Mixed Type I and Type II; ratio unverified</x:v>
      </x:c>
      <x:c r="Q152" s="24" t="str">
        <x:v>Published biopsies insufficient to state a reliable per-muscle percentage; no inference from function</x:v>
      </x:c>
      <x:c r="R152" s="32" t="str">
        <x:v>https://www.kenhub.com/en/library/anatomy/anatomy-of-the-back-spine-and-back-muscles</x:v>
      </x:c>
      <x:c r="S152" s="32" t="str">
        <x:v>https://pubmed.ncbi.nlm.nih.gov/39359186/</x:v>
      </x:c>
    </x:row>
    <x:row r="153" ht="53" customHeight="1">
      <x:c r="A153" s="24" t="str">
        <x:v>Longus colli inferior oblique part</x:v>
      </x:c>
      <x:c r="B153" s="24" t="str">
        <x:v>Deep anterior neck</x:v>
      </x:c>
      <x:c r="C153" s="24" t="str">
        <x:v>Flexor; Stabilizer</x:v>
      </x:c>
      <x:c r="D153" s="28" t="str">
        <x:v>Yes</x:v>
      </x:c>
      <x:c r="E153" s="28" t="str">
        <x:v>No</x:v>
      </x:c>
      <x:c r="F153" s="28" t="str">
        <x:v>Yes</x:v>
      </x:c>
      <x:c r="G153" s="24" t="str">
        <x:v>Cervical flexion and stabilization</x:v>
      </x:c>
      <x:c r="H153" s="24" t="str">
        <x:v>Anterior bodies T1-T3</x:v>
      </x:c>
      <x:c r="I153" s="24" t="str">
        <x:v>Anterior tubercles transverse processes C5-C6</x:v>
      </x:c>
      <x:c r="J153" s="24" t="str">
        <x:v>Anterior rami cervical spinal nerves</x:v>
      </x:c>
      <x:c r="K153" s="24" t="str">
        <x:v>C2-C6</x:v>
      </x:c>
      <x:c r="L153" s="24" t="str">
        <x:v>Segmental tendon slips</x:v>
      </x:c>
      <x:c r="M153" s="24" t="str">
        <x:v>Anterior longitudinal ligament adjacent</x:v>
      </x:c>
      <x:c r="N153" s="30" t="str">
        <x:v>Not established</x:v>
      </x:c>
      <x:c r="O153" s="30" t="str">
        <x:v>Not established</x:v>
      </x:c>
      <x:c r="P153" s="30" t="str">
        <x:v>Mixed Type I and Type II; ratio unverified</x:v>
      </x:c>
      <x:c r="Q153" s="24" t="str">
        <x:v>Published biopsies insufficient to state a reliable per-muscle percentage; no inference from function</x:v>
      </x:c>
      <x:c r="R153" s="32" t="str">
        <x:v>https://www.kenhub.com/en/library/anatomy/anatomy-of-the-back-spine-and-back-muscles</x:v>
      </x:c>
      <x:c r="S153" s="32" t="str">
        <x:v>https://pubmed.ncbi.nlm.nih.gov/39359186/</x:v>
      </x:c>
    </x:row>
    <x:row r="154" ht="53" customHeight="1">
      <x:c r="A154" s="24" t="str">
        <x:v>Longus colli superior oblique part</x:v>
      </x:c>
      <x:c r="B154" s="24" t="str">
        <x:v>Deep anterior neck</x:v>
      </x:c>
      <x:c r="C154" s="24" t="str">
        <x:v>Flexor; Stabilizer</x:v>
      </x:c>
      <x:c r="D154" s="28" t="str">
        <x:v>Yes</x:v>
      </x:c>
      <x:c r="E154" s="28" t="str">
        <x:v>No</x:v>
      </x:c>
      <x:c r="F154" s="28" t="str">
        <x:v>Yes</x:v>
      </x:c>
      <x:c r="G154" s="24" t="str">
        <x:v>Cervical flexion and contralateral rotation/stability</x:v>
      </x:c>
      <x:c r="H154" s="24" t="str">
        <x:v>Anterior tubercles transverse processes C3-C5</x:v>
      </x:c>
      <x:c r="I154" s="24" t="str">
        <x:v>Anterior tubercle atlas C1</x:v>
      </x:c>
      <x:c r="J154" s="24" t="str">
        <x:v>Anterior rami cervical spinal nerves</x:v>
      </x:c>
      <x:c r="K154" s="24" t="str">
        <x:v>C2-C6</x:v>
      </x:c>
      <x:c r="L154" s="24" t="str">
        <x:v>Small segmental tendons</x:v>
      </x:c>
      <x:c r="M154" s="24" t="str">
        <x:v>Anterior longitudinal ligament of vertebral column lies deep</x:v>
      </x:c>
      <x:c r="N154" s="30" t="str">
        <x:v>Not established</x:v>
      </x:c>
      <x:c r="O154" s="30" t="str">
        <x:v>Not established</x:v>
      </x:c>
      <x:c r="P154" s="30" t="str">
        <x:v>Mixed Type I and Type II; ratio unverified</x:v>
      </x:c>
      <x:c r="Q154" s="24" t="str">
        <x:v>Published biopsies insufficient to state a reliable per-muscle percentage; no inference from function</x:v>
      </x:c>
      <x:c r="R154" s="32" t="str">
        <x:v>https://www.kenhub.com/en/library/anatomy/anatomy-of-the-back-spine-and-back-muscles</x:v>
      </x:c>
      <x:c r="S154" s="32" t="str">
        <x:v>https://pubmed.ncbi.nlm.nih.gov/39359186/</x:v>
      </x:c>
    </x:row>
    <x:row r="155" ht="53" customHeight="1">
      <x:c r="A155" s="24" t="str">
        <x:v>Longus colli vertical part</x:v>
      </x:c>
      <x:c r="B155" s="24" t="str">
        <x:v>Deep anterior neck</x:v>
      </x:c>
      <x:c r="C155" s="24" t="str">
        <x:v>Flexor; Stabilizer</x:v>
      </x:c>
      <x:c r="D155" s="28" t="str">
        <x:v>Yes</x:v>
      </x:c>
      <x:c r="E155" s="28" t="str">
        <x:v>No</x:v>
      </x:c>
      <x:c r="F155" s="28" t="str">
        <x:v>Yes</x:v>
      </x:c>
      <x:c r="G155" s="24" t="str">
        <x:v>Flexes cervical spine; anterior segmental control</x:v>
      </x:c>
      <x:c r="H155" s="24" t="str">
        <x:v>Anterior vertebral bodies C5-T3</x:v>
      </x:c>
      <x:c r="I155" s="24" t="str">
        <x:v>Anterior vertebral bodies C2-C4</x:v>
      </x:c>
      <x:c r="J155" s="24" t="str">
        <x:v>Anterior rami cervical spinal nerves</x:v>
      </x:c>
      <x:c r="K155" s="24" t="str">
        <x:v>C2-C6</x:v>
      </x:c>
      <x:c r="L155" s="24" t="str">
        <x:v>Fleshy and tendinous vertebral insertions</x:v>
      </x:c>
      <x:c r="M155" s="24" t="str">
        <x:v>Anterior longitudinal ligament adjacent</x:v>
      </x:c>
      <x:c r="N155" s="30" t="str">
        <x:v>Not established</x:v>
      </x:c>
      <x:c r="O155" s="30" t="str">
        <x:v>Not established</x:v>
      </x:c>
      <x:c r="P155" s="30" t="str">
        <x:v>Mixed Type I and Type II; ratio unverified</x:v>
      </x:c>
      <x:c r="Q155" s="24" t="str">
        <x:v>Published biopsies insufficient to state a reliable per-muscle percentage; no inference from function</x:v>
      </x:c>
      <x:c r="R155" s="32" t="str">
        <x:v>https://www.kenhub.com/en/library/anatomy/anatomy-of-the-back-spine-and-back-muscles</x:v>
      </x:c>
      <x:c r="S155" s="32" t="str">
        <x:v>https://pubmed.ncbi.nlm.nih.gov/39359186/</x:v>
      </x:c>
    </x:row>
    <x:row r="156" ht="53" customHeight="1">
      <x:c r="A156" s="24" t="str">
        <x:v>Levatores costarum longi</x:v>
      </x:c>
      <x:c r="B156" s="24" t="str">
        <x:v>Deep posterior thorax</x:v>
      </x:c>
      <x:c r="C156" s="24" t="str">
        <x:v>Stabilizer</x:v>
      </x:c>
      <x:c r="D156" s="28" t="str">
        <x:v>No</x:v>
      </x:c>
      <x:c r="E156" s="28" t="str">
        <x:v>No</x:v>
      </x:c>
      <x:c r="F156" s="28" t="str">
        <x:v>Yes</x:v>
      </x:c>
      <x:c r="G156" s="24" t="str">
        <x:v>Elevates ribs; assists spinal side-bending</x:v>
      </x:c>
      <x:c r="H156" s="24" t="str">
        <x:v>Tips lower thoracic transverse processes</x:v>
      </x:c>
      <x:c r="I156" s="24" t="str">
        <x:v>Second rib below</x:v>
      </x:c>
      <x:c r="J156" s="24" t="str">
        <x:v>Posterior rami thoracic spinal nerves</x:v>
      </x:c>
      <x:c r="K156" s="24" t="str">
        <x:v>T1-T11 segmental</x:v>
      </x:c>
      <x:c r="L156" s="24" t="str">
        <x:v>Short costal tendon slips</x:v>
      </x:c>
      <x:c r="M156" s="24" t="str">
        <x:v>Costotransverse ligaments nearby</x:v>
      </x:c>
      <x:c r="N156" s="30" t="str">
        <x:v>Not established</x:v>
      </x:c>
      <x:c r="O156" s="30" t="str">
        <x:v>Not established</x:v>
      </x:c>
      <x:c r="P156" s="30" t="str">
        <x:v>Mixed Type I and Type II; ratio unverified</x:v>
      </x:c>
      <x:c r="Q156" s="24" t="str">
        <x:v>Published biopsies insufficient to state a reliable per-muscle percentage; no inference from function</x:v>
      </x:c>
      <x:c r="R156" s="32" t="str">
        <x:v>https://www.kenhub.com/en/library/anatomy/anatomy-of-the-back-spine-and-back-muscles</x:v>
      </x:c>
      <x:c r="S156" s="32" t="str">
        <x:v>https://pubmed.ncbi.nlm.nih.gov/39359186/</x:v>
      </x:c>
    </x:row>
    <x:row r="157" ht="53" customHeight="1">
      <x:c r="A157" s="24" t="str">
        <x:v>Levator costae brevis (C7 to rib 1)</x:v>
      </x:c>
      <x:c r="B157" s="24" t="str">
        <x:v>Deep posterior thorax segmental</x:v>
      </x:c>
      <x:c r="C157" s="24" t="str">
        <x:v>Stabilizer</x:v>
      </x:c>
      <x:c r="D157" s="28" t="str">
        <x:v>No</x:v>
      </x:c>
      <x:c r="E157" s="28" t="str">
        <x:v>No</x:v>
      </x:c>
      <x:c r="F157" s="28" t="str">
        <x:v>Yes</x:v>
      </x:c>
      <x:c r="G157" s="24" t="str">
        <x:v>Assists rib elevation and fine segmental posture</x:v>
      </x:c>
      <x:c r="H157" s="24" t="str">
        <x:v>Transverse process C7</x:v>
      </x:c>
      <x:c r="I157" s="24" t="str">
        <x:v>Upper border rib 1 near rib angle</x:v>
      </x:c>
      <x:c r="J157" s="24" t="str">
        <x:v>Posterior ramus C8</x:v>
      </x:c>
      <x:c r="K157" s="24" t="str">
        <x:v>C8 (segmental approximation)</x:v>
      </x:c>
      <x:c r="L157" s="24" t="str">
        <x:v>Minute rib insertion tendon</x:v>
      </x:c>
      <x:c r="M157" s="24" t="str">
        <x:v>Costotransverse ligament complex nearby</x:v>
      </x:c>
      <x:c r="N157" s="30" t="str">
        <x:v>Not established</x:v>
      </x:c>
      <x:c r="O157" s="30" t="str">
        <x:v>Not established</x:v>
      </x:c>
      <x:c r="P157" s="30" t="str">
        <x:v>Mixed Type I and Type II; ratio unverified</x:v>
      </x:c>
      <x:c r="Q157" s="24" t="str">
        <x:v>Published biopsies insufficient to state a reliable per-muscle percentage; no inference from function</x:v>
      </x:c>
      <x:c r="R157" s="32" t="str">
        <x:v>https://www.kenhub.com/en/library/anatomy/anatomy-of-the-back-spine-and-back-muscles</x:v>
      </x:c>
      <x:c r="S157" s="32" t="str">
        <x:v>https://pubmed.ncbi.nlm.nih.gov/39359186/</x:v>
      </x:c>
    </x:row>
    <x:row r="158" ht="53" customHeight="1">
      <x:c r="A158" s="24" t="str">
        <x:v>Levator costae brevis (T1 to rib 2)</x:v>
      </x:c>
      <x:c r="B158" s="24" t="str">
        <x:v>Deep posterior thorax segmental</x:v>
      </x:c>
      <x:c r="C158" s="24" t="str">
        <x:v>Stabilizer</x:v>
      </x:c>
      <x:c r="D158" s="28" t="str">
        <x:v>No</x:v>
      </x:c>
      <x:c r="E158" s="28" t="str">
        <x:v>No</x:v>
      </x:c>
      <x:c r="F158" s="28" t="str">
        <x:v>Yes</x:v>
      </x:c>
      <x:c r="G158" s="24" t="str">
        <x:v>Assists rib elevation and fine segmental posture</x:v>
      </x:c>
      <x:c r="H158" s="24" t="str">
        <x:v>Transverse process T1</x:v>
      </x:c>
      <x:c r="I158" s="24" t="str">
        <x:v>Upper border rib 2 near rib angle</x:v>
      </x:c>
      <x:c r="J158" s="24" t="str">
        <x:v>Posterior ramus T1</x:v>
      </x:c>
      <x:c r="K158" s="24" t="str">
        <x:v>T1 (segmental approximation)</x:v>
      </x:c>
      <x:c r="L158" s="24" t="str">
        <x:v>Minute rib insertion tendon</x:v>
      </x:c>
      <x:c r="M158" s="24" t="str">
        <x:v>Costotransverse ligament complex nearby</x:v>
      </x:c>
      <x:c r="N158" s="30" t="str">
        <x:v>Not established</x:v>
      </x:c>
      <x:c r="O158" s="30" t="str">
        <x:v>Not established</x:v>
      </x:c>
      <x:c r="P158" s="30" t="str">
        <x:v>Mixed Type I and Type II; ratio unverified</x:v>
      </x:c>
      <x:c r="Q158" s="24" t="str">
        <x:v>Published biopsies insufficient to state a reliable per-muscle percentage; no inference from function</x:v>
      </x:c>
      <x:c r="R158" s="32" t="str">
        <x:v>https://www.kenhub.com/en/library/anatomy/anatomy-of-the-back-spine-and-back-muscles</x:v>
      </x:c>
      <x:c r="S158" s="32" t="str">
        <x:v>https://pubmed.ncbi.nlm.nih.gov/39359186/</x:v>
      </x:c>
    </x:row>
    <x:row r="159" ht="53" customHeight="1">
      <x:c r="A159" s="24" t="str">
        <x:v>Levator costae brevis (T10 to rib 11)</x:v>
      </x:c>
      <x:c r="B159" s="24" t="str">
        <x:v>Deep posterior thorax segmental</x:v>
      </x:c>
      <x:c r="C159" s="24" t="str">
        <x:v>Stabilizer</x:v>
      </x:c>
      <x:c r="D159" s="28" t="str">
        <x:v>No</x:v>
      </x:c>
      <x:c r="E159" s="28" t="str">
        <x:v>No</x:v>
      </x:c>
      <x:c r="F159" s="28" t="str">
        <x:v>Yes</x:v>
      </x:c>
      <x:c r="G159" s="24" t="str">
        <x:v>Assists rib elevation and fine segmental posture</x:v>
      </x:c>
      <x:c r="H159" s="24" t="str">
        <x:v>Transverse process T10</x:v>
      </x:c>
      <x:c r="I159" s="24" t="str">
        <x:v>Upper border rib 11 near rib angle</x:v>
      </x:c>
      <x:c r="J159" s="24" t="str">
        <x:v>Posterior ramus T10</x:v>
      </x:c>
      <x:c r="K159" s="24" t="str">
        <x:v>T10 (segmental approximation)</x:v>
      </x:c>
      <x:c r="L159" s="24" t="str">
        <x:v>Minute rib insertion tendon</x:v>
      </x:c>
      <x:c r="M159" s="24" t="str">
        <x:v>Costotransverse ligament complex nearby</x:v>
      </x:c>
      <x:c r="N159" s="30" t="str">
        <x:v>Not established</x:v>
      </x:c>
      <x:c r="O159" s="30" t="str">
        <x:v>Not established</x:v>
      </x:c>
      <x:c r="P159" s="30" t="str">
        <x:v>Mixed Type I and Type II; ratio unverified</x:v>
      </x:c>
      <x:c r="Q159" s="24" t="str">
        <x:v>Published biopsies insufficient to state a reliable per-muscle percentage; no inference from function</x:v>
      </x:c>
      <x:c r="R159" s="32" t="str">
        <x:v>https://www.kenhub.com/en/library/anatomy/anatomy-of-the-back-spine-and-back-muscles</x:v>
      </x:c>
      <x:c r="S159" s="32" t="str">
        <x:v>https://pubmed.ncbi.nlm.nih.gov/39359186/</x:v>
      </x:c>
    </x:row>
    <x:row r="160" ht="53" customHeight="1">
      <x:c r="A160" s="24" t="str">
        <x:v>Levator costae brevis (T11 to rib 12)</x:v>
      </x:c>
      <x:c r="B160" s="24" t="str">
        <x:v>Deep posterior thorax segmental</x:v>
      </x:c>
      <x:c r="C160" s="24" t="str">
        <x:v>Stabilizer</x:v>
      </x:c>
      <x:c r="D160" s="28" t="str">
        <x:v>No</x:v>
      </x:c>
      <x:c r="E160" s="28" t="str">
        <x:v>No</x:v>
      </x:c>
      <x:c r="F160" s="28" t="str">
        <x:v>Yes</x:v>
      </x:c>
      <x:c r="G160" s="24" t="str">
        <x:v>Assists rib elevation and fine segmental posture</x:v>
      </x:c>
      <x:c r="H160" s="24" t="str">
        <x:v>Transverse process T11</x:v>
      </x:c>
      <x:c r="I160" s="24" t="str">
        <x:v>Upper border rib 12 near rib angle</x:v>
      </x:c>
      <x:c r="J160" s="24" t="str">
        <x:v>Posterior ramus T11</x:v>
      </x:c>
      <x:c r="K160" s="24" t="str">
        <x:v>T11 (segmental approximation)</x:v>
      </x:c>
      <x:c r="L160" s="24" t="str">
        <x:v>Minute rib insertion tendon</x:v>
      </x:c>
      <x:c r="M160" s="24" t="str">
        <x:v>Costotransverse ligament complex nearby</x:v>
      </x:c>
      <x:c r="N160" s="30" t="str">
        <x:v>Not established</x:v>
      </x:c>
      <x:c r="O160" s="30" t="str">
        <x:v>Not established</x:v>
      </x:c>
      <x:c r="P160" s="30" t="str">
        <x:v>Mixed Type I and Type II; ratio unverified</x:v>
      </x:c>
      <x:c r="Q160" s="24" t="str">
        <x:v>Published biopsies insufficient to state a reliable per-muscle percentage; no inference from function</x:v>
      </x:c>
      <x:c r="R160" s="32" t="str">
        <x:v>https://www.kenhub.com/en/library/anatomy/anatomy-of-the-back-spine-and-back-muscles</x:v>
      </x:c>
      <x:c r="S160" s="32" t="str">
        <x:v>https://pubmed.ncbi.nlm.nih.gov/39359186/</x:v>
      </x:c>
    </x:row>
    <x:row r="161" ht="53" customHeight="1">
      <x:c r="A161" s="24" t="str">
        <x:v>Levator costae brevis (T2 to rib 3)</x:v>
      </x:c>
      <x:c r="B161" s="24" t="str">
        <x:v>Deep posterior thorax segmental</x:v>
      </x:c>
      <x:c r="C161" s="24" t="str">
        <x:v>Stabilizer</x:v>
      </x:c>
      <x:c r="D161" s="28" t="str">
        <x:v>No</x:v>
      </x:c>
      <x:c r="E161" s="28" t="str">
        <x:v>No</x:v>
      </x:c>
      <x:c r="F161" s="28" t="str">
        <x:v>Yes</x:v>
      </x:c>
      <x:c r="G161" s="24" t="str">
        <x:v>Assists rib elevation and fine segmental posture</x:v>
      </x:c>
      <x:c r="H161" s="24" t="str">
        <x:v>Transverse process T2</x:v>
      </x:c>
      <x:c r="I161" s="24" t="str">
        <x:v>Upper border rib 3 near rib angle</x:v>
      </x:c>
      <x:c r="J161" s="24" t="str">
        <x:v>Posterior ramus T2</x:v>
      </x:c>
      <x:c r="K161" s="24" t="str">
        <x:v>T2 (segmental approximation)</x:v>
      </x:c>
      <x:c r="L161" s="24" t="str">
        <x:v>Minute rib insertion tendon</x:v>
      </x:c>
      <x:c r="M161" s="24" t="str">
        <x:v>Costotransverse ligament complex nearby</x:v>
      </x:c>
      <x:c r="N161" s="30" t="str">
        <x:v>Not established</x:v>
      </x:c>
      <x:c r="O161" s="30" t="str">
        <x:v>Not established</x:v>
      </x:c>
      <x:c r="P161" s="30" t="str">
        <x:v>Mixed Type I and Type II; ratio unverified</x:v>
      </x:c>
      <x:c r="Q161" s="24" t="str">
        <x:v>Published biopsies insufficient to state a reliable per-muscle percentage; no inference from function</x:v>
      </x:c>
      <x:c r="R161" s="32" t="str">
        <x:v>https://www.kenhub.com/en/library/anatomy/anatomy-of-the-back-spine-and-back-muscles</x:v>
      </x:c>
      <x:c r="S161" s="32" t="str">
        <x:v>https://pubmed.ncbi.nlm.nih.gov/39359186/</x:v>
      </x:c>
    </x:row>
    <x:row r="162" ht="53" customHeight="1">
      <x:c r="A162" s="24" t="str">
        <x:v>Levator costae brevis (T3 to rib 4)</x:v>
      </x:c>
      <x:c r="B162" s="24" t="str">
        <x:v>Deep posterior thorax segmental</x:v>
      </x:c>
      <x:c r="C162" s="24" t="str">
        <x:v>Stabilizer</x:v>
      </x:c>
      <x:c r="D162" s="28" t="str">
        <x:v>No</x:v>
      </x:c>
      <x:c r="E162" s="28" t="str">
        <x:v>No</x:v>
      </x:c>
      <x:c r="F162" s="28" t="str">
        <x:v>Yes</x:v>
      </x:c>
      <x:c r="G162" s="24" t="str">
        <x:v>Assists rib elevation and fine segmental posture</x:v>
      </x:c>
      <x:c r="H162" s="24" t="str">
        <x:v>Transverse process T3</x:v>
      </x:c>
      <x:c r="I162" s="24" t="str">
        <x:v>Upper border rib 4 near rib angle</x:v>
      </x:c>
      <x:c r="J162" s="24" t="str">
        <x:v>Posterior ramus T3</x:v>
      </x:c>
      <x:c r="K162" s="24" t="str">
        <x:v>T3 (segmental approximation)</x:v>
      </x:c>
      <x:c r="L162" s="24" t="str">
        <x:v>Minute rib insertion tendon</x:v>
      </x:c>
      <x:c r="M162" s="24" t="str">
        <x:v>Costotransverse ligament complex nearby</x:v>
      </x:c>
      <x:c r="N162" s="30" t="str">
        <x:v>Not established</x:v>
      </x:c>
      <x:c r="O162" s="30" t="str">
        <x:v>Not established</x:v>
      </x:c>
      <x:c r="P162" s="30" t="str">
        <x:v>Mixed Type I and Type II; ratio unverified</x:v>
      </x:c>
      <x:c r="Q162" s="24" t="str">
        <x:v>Published biopsies insufficient to state a reliable per-muscle percentage; no inference from function</x:v>
      </x:c>
      <x:c r="R162" s="32" t="str">
        <x:v>https://www.kenhub.com/en/library/anatomy/anatomy-of-the-back-spine-and-back-muscles</x:v>
      </x:c>
      <x:c r="S162" s="32" t="str">
        <x:v>https://pubmed.ncbi.nlm.nih.gov/39359186/</x:v>
      </x:c>
    </x:row>
    <x:row r="163" ht="53" customHeight="1">
      <x:c r="A163" s="24" t="str">
        <x:v>Levator costae brevis (T4 to rib 5)</x:v>
      </x:c>
      <x:c r="B163" s="24" t="str">
        <x:v>Deep posterior thorax segmental</x:v>
      </x:c>
      <x:c r="C163" s="24" t="str">
        <x:v>Stabilizer</x:v>
      </x:c>
      <x:c r="D163" s="28" t="str">
        <x:v>No</x:v>
      </x:c>
      <x:c r="E163" s="28" t="str">
        <x:v>No</x:v>
      </x:c>
      <x:c r="F163" s="28" t="str">
        <x:v>Yes</x:v>
      </x:c>
      <x:c r="G163" s="24" t="str">
        <x:v>Assists rib elevation and fine segmental posture</x:v>
      </x:c>
      <x:c r="H163" s="24" t="str">
        <x:v>Transverse process T4</x:v>
      </x:c>
      <x:c r="I163" s="24" t="str">
        <x:v>Upper border rib 5 near rib angle</x:v>
      </x:c>
      <x:c r="J163" s="24" t="str">
        <x:v>Posterior ramus T4</x:v>
      </x:c>
      <x:c r="K163" s="24" t="str">
        <x:v>T4 (segmental approximation)</x:v>
      </x:c>
      <x:c r="L163" s="24" t="str">
        <x:v>Minute rib insertion tendon</x:v>
      </x:c>
      <x:c r="M163" s="24" t="str">
        <x:v>Costotransverse ligament complex nearby</x:v>
      </x:c>
      <x:c r="N163" s="30" t="str">
        <x:v>Not established</x:v>
      </x:c>
      <x:c r="O163" s="30" t="str">
        <x:v>Not established</x:v>
      </x:c>
      <x:c r="P163" s="30" t="str">
        <x:v>Mixed Type I and Type II; ratio unverified</x:v>
      </x:c>
      <x:c r="Q163" s="24" t="str">
        <x:v>Published biopsies insufficient to state a reliable per-muscle percentage; no inference from function</x:v>
      </x:c>
      <x:c r="R163" s="32" t="str">
        <x:v>https://www.kenhub.com/en/library/anatomy/anatomy-of-the-back-spine-and-back-muscles</x:v>
      </x:c>
      <x:c r="S163" s="32" t="str">
        <x:v>https://pubmed.ncbi.nlm.nih.gov/39359186/</x:v>
      </x:c>
    </x:row>
    <x:row r="164" ht="53" customHeight="1">
      <x:c r="A164" s="24" t="str">
        <x:v>Levator costae brevis (T5 to rib 6)</x:v>
      </x:c>
      <x:c r="B164" s="24" t="str">
        <x:v>Deep posterior thorax segmental</x:v>
      </x:c>
      <x:c r="C164" s="24" t="str">
        <x:v>Stabilizer</x:v>
      </x:c>
      <x:c r="D164" s="28" t="str">
        <x:v>No</x:v>
      </x:c>
      <x:c r="E164" s="28" t="str">
        <x:v>No</x:v>
      </x:c>
      <x:c r="F164" s="28" t="str">
        <x:v>Yes</x:v>
      </x:c>
      <x:c r="G164" s="24" t="str">
        <x:v>Assists rib elevation and fine segmental posture</x:v>
      </x:c>
      <x:c r="H164" s="24" t="str">
        <x:v>Transverse process T5</x:v>
      </x:c>
      <x:c r="I164" s="24" t="str">
        <x:v>Upper border rib 6 near rib angle</x:v>
      </x:c>
      <x:c r="J164" s="24" t="str">
        <x:v>Posterior ramus T5</x:v>
      </x:c>
      <x:c r="K164" s="24" t="str">
        <x:v>T5 (segmental approximation)</x:v>
      </x:c>
      <x:c r="L164" s="24" t="str">
        <x:v>Minute rib insertion tendon</x:v>
      </x:c>
      <x:c r="M164" s="24" t="str">
        <x:v>Costotransverse ligament complex nearby</x:v>
      </x:c>
      <x:c r="N164" s="30" t="str">
        <x:v>Not established</x:v>
      </x:c>
      <x:c r="O164" s="30" t="str">
        <x:v>Not established</x:v>
      </x:c>
      <x:c r="P164" s="30" t="str">
        <x:v>Mixed Type I and Type II; ratio unverified</x:v>
      </x:c>
      <x:c r="Q164" s="24" t="str">
        <x:v>Published biopsies insufficient to state a reliable per-muscle percentage; no inference from function</x:v>
      </x:c>
      <x:c r="R164" s="32" t="str">
        <x:v>https://www.kenhub.com/en/library/anatomy/anatomy-of-the-back-spine-and-back-muscles</x:v>
      </x:c>
      <x:c r="S164" s="32" t="str">
        <x:v>https://pubmed.ncbi.nlm.nih.gov/39359186/</x:v>
      </x:c>
    </x:row>
    <x:row r="165" ht="53" customHeight="1">
      <x:c r="A165" s="24" t="str">
        <x:v>Levator costae brevis (T6 to rib 7)</x:v>
      </x:c>
      <x:c r="B165" s="24" t="str">
        <x:v>Deep posterior thorax segmental</x:v>
      </x:c>
      <x:c r="C165" s="24" t="str">
        <x:v>Stabilizer</x:v>
      </x:c>
      <x:c r="D165" s="28" t="str">
        <x:v>No</x:v>
      </x:c>
      <x:c r="E165" s="28" t="str">
        <x:v>No</x:v>
      </x:c>
      <x:c r="F165" s="28" t="str">
        <x:v>Yes</x:v>
      </x:c>
      <x:c r="G165" s="24" t="str">
        <x:v>Assists rib elevation and fine segmental posture</x:v>
      </x:c>
      <x:c r="H165" s="24" t="str">
        <x:v>Transverse process T6</x:v>
      </x:c>
      <x:c r="I165" s="24" t="str">
        <x:v>Upper border rib 7 near rib angle</x:v>
      </x:c>
      <x:c r="J165" s="24" t="str">
        <x:v>Posterior ramus T6</x:v>
      </x:c>
      <x:c r="K165" s="24" t="str">
        <x:v>T6 (segmental approximation)</x:v>
      </x:c>
      <x:c r="L165" s="24" t="str">
        <x:v>Minute rib insertion tendon</x:v>
      </x:c>
      <x:c r="M165" s="24" t="str">
        <x:v>Costotransverse ligament complex nearby</x:v>
      </x:c>
      <x:c r="N165" s="30" t="str">
        <x:v>Not established</x:v>
      </x:c>
      <x:c r="O165" s="30" t="str">
        <x:v>Not established</x:v>
      </x:c>
      <x:c r="P165" s="30" t="str">
        <x:v>Mixed Type I and Type II; ratio unverified</x:v>
      </x:c>
      <x:c r="Q165" s="24" t="str">
        <x:v>Published biopsies insufficient to state a reliable per-muscle percentage; no inference from function</x:v>
      </x:c>
      <x:c r="R165" s="32" t="str">
        <x:v>https://www.kenhub.com/en/library/anatomy/anatomy-of-the-back-spine-and-back-muscles</x:v>
      </x:c>
      <x:c r="S165" s="32" t="str">
        <x:v>https://pubmed.ncbi.nlm.nih.gov/39359186/</x:v>
      </x:c>
    </x:row>
    <x:row r="166" ht="53" customHeight="1">
      <x:c r="A166" s="24" t="str">
        <x:v>Levator costae brevis (T7 to rib 8)</x:v>
      </x:c>
      <x:c r="B166" s="24" t="str">
        <x:v>Deep posterior thorax segmental</x:v>
      </x:c>
      <x:c r="C166" s="24" t="str">
        <x:v>Stabilizer</x:v>
      </x:c>
      <x:c r="D166" s="28" t="str">
        <x:v>No</x:v>
      </x:c>
      <x:c r="E166" s="28" t="str">
        <x:v>No</x:v>
      </x:c>
      <x:c r="F166" s="28" t="str">
        <x:v>Yes</x:v>
      </x:c>
      <x:c r="G166" s="24" t="str">
        <x:v>Assists rib elevation and fine segmental posture</x:v>
      </x:c>
      <x:c r="H166" s="24" t="str">
        <x:v>Transverse process T7</x:v>
      </x:c>
      <x:c r="I166" s="24" t="str">
        <x:v>Upper border rib 8 near rib angle</x:v>
      </x:c>
      <x:c r="J166" s="24" t="str">
        <x:v>Posterior ramus T7</x:v>
      </x:c>
      <x:c r="K166" s="24" t="str">
        <x:v>T7 (segmental approximation)</x:v>
      </x:c>
      <x:c r="L166" s="24" t="str">
        <x:v>Minute rib insertion tendon</x:v>
      </x:c>
      <x:c r="M166" s="24" t="str">
        <x:v>Costotransverse ligament complex nearby</x:v>
      </x:c>
      <x:c r="N166" s="30" t="str">
        <x:v>Not established</x:v>
      </x:c>
      <x:c r="O166" s="30" t="str">
        <x:v>Not established</x:v>
      </x:c>
      <x:c r="P166" s="30" t="str">
        <x:v>Mixed Type I and Type II; ratio unverified</x:v>
      </x:c>
      <x:c r="Q166" s="24" t="str">
        <x:v>Published biopsies insufficient to state a reliable per-muscle percentage; no inference from function</x:v>
      </x:c>
      <x:c r="R166" s="32" t="str">
        <x:v>https://www.kenhub.com/en/library/anatomy/anatomy-of-the-back-spine-and-back-muscles</x:v>
      </x:c>
      <x:c r="S166" s="32" t="str">
        <x:v>https://pubmed.ncbi.nlm.nih.gov/39359186/</x:v>
      </x:c>
    </x:row>
    <x:row r="167" ht="53" customHeight="1">
      <x:c r="A167" s="24" t="str">
        <x:v>Levator costae brevis (T8 to rib 9)</x:v>
      </x:c>
      <x:c r="B167" s="24" t="str">
        <x:v>Deep posterior thorax segmental</x:v>
      </x:c>
      <x:c r="C167" s="24" t="str">
        <x:v>Stabilizer</x:v>
      </x:c>
      <x:c r="D167" s="28" t="str">
        <x:v>No</x:v>
      </x:c>
      <x:c r="E167" s="28" t="str">
        <x:v>No</x:v>
      </x:c>
      <x:c r="F167" s="28" t="str">
        <x:v>Yes</x:v>
      </x:c>
      <x:c r="G167" s="24" t="str">
        <x:v>Assists rib elevation and fine segmental posture</x:v>
      </x:c>
      <x:c r="H167" s="24" t="str">
        <x:v>Transverse process T8</x:v>
      </x:c>
      <x:c r="I167" s="24" t="str">
        <x:v>Upper border rib 9 near rib angle</x:v>
      </x:c>
      <x:c r="J167" s="24" t="str">
        <x:v>Posterior ramus T8</x:v>
      </x:c>
      <x:c r="K167" s="24" t="str">
        <x:v>T8 (segmental approximation)</x:v>
      </x:c>
      <x:c r="L167" s="24" t="str">
        <x:v>Minute rib insertion tendon</x:v>
      </x:c>
      <x:c r="M167" s="24" t="str">
        <x:v>Costotransverse ligament complex nearby</x:v>
      </x:c>
      <x:c r="N167" s="30" t="str">
        <x:v>Not established</x:v>
      </x:c>
      <x:c r="O167" s="30" t="str">
        <x:v>Not established</x:v>
      </x:c>
      <x:c r="P167" s="30" t="str">
        <x:v>Mixed Type I and Type II; ratio unverified</x:v>
      </x:c>
      <x:c r="Q167" s="24" t="str">
        <x:v>Published biopsies insufficient to state a reliable per-muscle percentage; no inference from function</x:v>
      </x:c>
      <x:c r="R167" s="32" t="str">
        <x:v>https://www.kenhub.com/en/library/anatomy/anatomy-of-the-back-spine-and-back-muscles</x:v>
      </x:c>
      <x:c r="S167" s="32" t="str">
        <x:v>https://pubmed.ncbi.nlm.nih.gov/39359186/</x:v>
      </x:c>
    </x:row>
    <x:row r="168" ht="53" customHeight="1">
      <x:c r="A168" s="24" t="str">
        <x:v>Levator costae brevis (T9 to rib 10)</x:v>
      </x:c>
      <x:c r="B168" s="24" t="str">
        <x:v>Deep posterior thorax segmental</x:v>
      </x:c>
      <x:c r="C168" s="24" t="str">
        <x:v>Stabilizer</x:v>
      </x:c>
      <x:c r="D168" s="28" t="str">
        <x:v>No</x:v>
      </x:c>
      <x:c r="E168" s="28" t="str">
        <x:v>No</x:v>
      </x:c>
      <x:c r="F168" s="28" t="str">
        <x:v>Yes</x:v>
      </x:c>
      <x:c r="G168" s="24" t="str">
        <x:v>Assists rib elevation and fine segmental posture</x:v>
      </x:c>
      <x:c r="H168" s="24" t="str">
        <x:v>Transverse process T9</x:v>
      </x:c>
      <x:c r="I168" s="24" t="str">
        <x:v>Upper border rib 10 near rib angle</x:v>
      </x:c>
      <x:c r="J168" s="24" t="str">
        <x:v>Posterior ramus T9</x:v>
      </x:c>
      <x:c r="K168" s="24" t="str">
        <x:v>T9 (segmental approximation)</x:v>
      </x:c>
      <x:c r="L168" s="24" t="str">
        <x:v>Minute rib insertion tendon</x:v>
      </x:c>
      <x:c r="M168" s="24" t="str">
        <x:v>Costotransverse ligament complex nearby</x:v>
      </x:c>
      <x:c r="N168" s="30" t="str">
        <x:v>Not established</x:v>
      </x:c>
      <x:c r="O168" s="30" t="str">
        <x:v>Not established</x:v>
      </x:c>
      <x:c r="P168" s="30" t="str">
        <x:v>Mixed Type I and Type II; ratio unverified</x:v>
      </x:c>
      <x:c r="Q168" s="24" t="str">
        <x:v>Published biopsies insufficient to state a reliable per-muscle percentage; no inference from function</x:v>
      </x:c>
      <x:c r="R168" s="32" t="str">
        <x:v>https://www.kenhub.com/en/library/anatomy/anatomy-of-the-back-spine-and-back-muscles</x:v>
      </x:c>
      <x:c r="S168" s="32" t="str">
        <x:v>https://pubmed.ncbi.nlm.nih.gov/39359186/</x:v>
      </x:c>
    </x:row>
    <x:row r="169" ht="53" customHeight="1">
      <x:c r="A169" s="24" t="str">
        <x:v>Intertransversarii cervicis anteriores</x:v>
      </x:c>
      <x:c r="B169" s="24" t="str">
        <x:v>Deep segmental cervical</x:v>
      </x:c>
      <x:c r="C169" s="24" t="str">
        <x:v>Stabilizer</x:v>
      </x:c>
      <x:c r="D169" s="28" t="str">
        <x:v>No</x:v>
      </x:c>
      <x:c r="E169" s="28" t="str">
        <x:v>No</x:v>
      </x:c>
      <x:c r="F169" s="28" t="str">
        <x:v>Yes</x:v>
      </x:c>
      <x:c r="G169" s="24" t="str">
        <x:v>Cervical side-bending and segmental stability</x:v>
      </x:c>
      <x:c r="H169" s="24" t="str">
        <x:v>Anterior tubercle lower cervical transverse process</x:v>
      </x:c>
      <x:c r="I169" s="24" t="str">
        <x:v>Anterior tubercle next superior transverse process</x:v>
      </x:c>
      <x:c r="J169" s="24" t="str">
        <x:v>Anterior rami cervical spinal nerves</x:v>
      </x:c>
      <x:c r="K169" s="24" t="str">
        <x:v>C2-C8 segmental</x:v>
      </x:c>
      <x:c r="L169" s="24" t="str">
        <x:v>Tiny segmental tendons</x:v>
      </x:c>
      <x:c r="M169" s="24" t="str">
        <x:v>Intertransverse ligaments nearby</x:v>
      </x:c>
      <x:c r="N169" s="30" t="str">
        <x:v>Not established</x:v>
      </x:c>
      <x:c r="O169" s="30" t="str">
        <x:v>Not established</x:v>
      </x:c>
      <x:c r="P169" s="30" t="str">
        <x:v>Mixed Type I and Type II; ratio unverified</x:v>
      </x:c>
      <x:c r="Q169" s="24" t="str">
        <x:v>Published biopsies insufficient to state a reliable per-muscle percentage; no inference from function</x:v>
      </x:c>
      <x:c r="R169" s="32" t="str">
        <x:v>https://www.kenhub.com/en/library/anatomy/anatomy-of-the-back-spine-and-back-muscles</x:v>
      </x:c>
      <x:c r="S169" s="32" t="str">
        <x:v>https://pubmed.ncbi.nlm.nih.gov/39359186/</x:v>
      </x:c>
    </x:row>
    <x:row r="170" ht="53" customHeight="1">
      <x:c r="A170" s="24" t="str">
        <x:v>Intertransversarii cervicis posteriores</x:v>
      </x:c>
      <x:c r="B170" s="24" t="str">
        <x:v>Deep segmental cervical</x:v>
      </x:c>
      <x:c r="C170" s="24" t="str">
        <x:v>Stabilizer</x:v>
      </x:c>
      <x:c r="D170" s="28" t="str">
        <x:v>No</x:v>
      </x:c>
      <x:c r="E170" s="28" t="str">
        <x:v>No</x:v>
      </x:c>
      <x:c r="F170" s="28" t="str">
        <x:v>Yes</x:v>
      </x:c>
      <x:c r="G170" s="24" t="str">
        <x:v>Cervical lateral flexion/stabilization</x:v>
      </x:c>
      <x:c r="H170" s="24" t="str">
        <x:v>Posterior tubercle lower cervical transverse process</x:v>
      </x:c>
      <x:c r="I170" s="24" t="str">
        <x:v>Posterior tubercle adjacent upper transverse process</x:v>
      </x:c>
      <x:c r="J170" s="24" t="str">
        <x:v>Posterior rami cervical spinal nerves</x:v>
      </x:c>
      <x:c r="K170" s="24" t="str">
        <x:v>C2-C8 segmental</x:v>
      </x:c>
      <x:c r="L170" s="24" t="str">
        <x:v>Tiny segmental tendons</x:v>
      </x:c>
      <x:c r="M170" s="24" t="str">
        <x:v>Intertransverse connective tissues adjacent</x:v>
      </x:c>
      <x:c r="N170" s="30" t="str">
        <x:v>Not established</x:v>
      </x:c>
      <x:c r="O170" s="30" t="str">
        <x:v>Not established</x:v>
      </x:c>
      <x:c r="P170" s="30" t="str">
        <x:v>Mixed Type I and Type II; ratio unverified</x:v>
      </x:c>
      <x:c r="Q170" s="24" t="str">
        <x:v>Published biopsies insufficient to state a reliable per-muscle percentage; no inference from function</x:v>
      </x:c>
      <x:c r="R170" s="32" t="str">
        <x:v>https://www.kenhub.com/en/library/anatomy/anatomy-of-the-back-spine-and-back-muscles</x:v>
      </x:c>
      <x:c r="S170" s="32" t="str">
        <x:v>https://pubmed.ncbi.nlm.nih.gov/39359186/</x:v>
      </x:c>
    </x:row>
    <x:row r="171" ht="53" customHeight="1">
      <x:c r="A171" s="24" t="str">
        <x:v>Intertransversarii lumborum laterales</x:v>
      </x:c>
      <x:c r="B171" s="24" t="str">
        <x:v>Deep segmental lumbar</x:v>
      </x:c>
      <x:c r="C171" s="24" t="str">
        <x:v>Stabilizer</x:v>
      </x:c>
      <x:c r="D171" s="28" t="str">
        <x:v>No</x:v>
      </x:c>
      <x:c r="E171" s="28" t="str">
        <x:v>No</x:v>
      </x:c>
      <x:c r="F171" s="28" t="str">
        <x:v>Yes</x:v>
      </x:c>
      <x:c r="G171" s="24" t="str">
        <x:v>Lateral flexion and intersegmental stability</x:v>
      </x:c>
      <x:c r="H171" s="24" t="str">
        <x:v>Costal processes of neighboring lumbar vertebrae</x:v>
      </x:c>
      <x:c r="I171" s="24" t="str">
        <x:v>Superior adjacent lumbar costal process</x:v>
      </x:c>
      <x:c r="J171" s="24" t="str">
        <x:v>Anterior rami lumbar spinal nerves</x:v>
      </x:c>
      <x:c r="K171" s="24" t="str">
        <x:v>L1-L4 segmental</x:v>
      </x:c>
      <x:c r="L171" s="24" t="str">
        <x:v>Short fascicular tendons</x:v>
      </x:c>
      <x:c r="M171" s="24" t="str">
        <x:v>Intertransverse ligaments nearby</x:v>
      </x:c>
      <x:c r="N171" s="30" t="str">
        <x:v>Not established</x:v>
      </x:c>
      <x:c r="O171" s="30" t="str">
        <x:v>Not established</x:v>
      </x:c>
      <x:c r="P171" s="30" t="str">
        <x:v>Mixed Type I and Type II; ratio unverified</x:v>
      </x:c>
      <x:c r="Q171" s="24" t="str">
        <x:v>Published biopsies insufficient to state a reliable per-muscle percentage; no inference from function</x:v>
      </x:c>
      <x:c r="R171" s="32" t="str">
        <x:v>https://www.kenhub.com/en/library/anatomy/anatomy-of-the-back-spine-and-back-muscles</x:v>
      </x:c>
      <x:c r="S171" s="32" t="str">
        <x:v>https://pubmed.ncbi.nlm.nih.gov/39359186/</x:v>
      </x:c>
    </x:row>
    <x:row r="172" ht="53" customHeight="1">
      <x:c r="A172" s="24" t="str">
        <x:v>Intertransversarii lumborum mediales</x:v>
      </x:c>
      <x:c r="B172" s="24" t="str">
        <x:v>Deep segmental lumbar</x:v>
      </x:c>
      <x:c r="C172" s="24" t="str">
        <x:v>Stabilizer</x:v>
      </x:c>
      <x:c r="D172" s="28" t="str">
        <x:v>No</x:v>
      </x:c>
      <x:c r="E172" s="28" t="str">
        <x:v>No</x:v>
      </x:c>
      <x:c r="F172" s="28" t="str">
        <x:v>Yes</x:v>
      </x:c>
      <x:c r="G172" s="24" t="str">
        <x:v>Lumbar segmental stabilization/lateral flexion</x:v>
      </x:c>
      <x:c r="H172" s="24" t="str">
        <x:v>Mammillary/accessory processes neighboring lumbar vertebrae</x:v>
      </x:c>
      <x:c r="I172" s="24" t="str">
        <x:v>Adjacent superior lumbar vertebral processes</x:v>
      </x:c>
      <x:c r="J172" s="24" t="str">
        <x:v>Posterior rami lumbar spinal nerves</x:v>
      </x:c>
      <x:c r="K172" s="24" t="str">
        <x:v>L1-L5 segmental</x:v>
      </x:c>
      <x:c r="L172" s="24" t="str">
        <x:v>Tiny intersegmental tendons</x:v>
      </x:c>
      <x:c r="M172" s="24" t="str">
        <x:v>Intertransverse ligaments near fascicles</x:v>
      </x:c>
      <x:c r="N172" s="30" t="str">
        <x:v>Not established</x:v>
      </x:c>
      <x:c r="O172" s="30" t="str">
        <x:v>Not established</x:v>
      </x:c>
      <x:c r="P172" s="30" t="str">
        <x:v>Mixed Type I and Type II; ratio unverified</x:v>
      </x:c>
      <x:c r="Q172" s="24" t="str">
        <x:v>Published biopsies insufficient to state a reliable per-muscle percentage; no inference from function</x:v>
      </x:c>
      <x:c r="R172" s="32" t="str">
        <x:v>https://www.kenhub.com/en/library/anatomy/anatomy-of-the-back-spine-and-back-muscles</x:v>
      </x:c>
      <x:c r="S172" s="32" t="str">
        <x:v>https://pubmed.ncbi.nlm.nih.gov/39359186/</x:v>
      </x:c>
    </x:row>
    <x:row r="173" ht="53" customHeight="1">
      <x:c r="A173" s="24" t="str">
        <x:v>Intertransversarii thoracis (sparse)</x:v>
      </x:c>
      <x:c r="B173" s="24" t="str">
        <x:v>Deep segmental thoracic</x:v>
      </x:c>
      <x:c r="C173" s="24" t="str">
        <x:v>Stabilizer</x:v>
      </x:c>
      <x:c r="D173" s="28" t="str">
        <x:v>No</x:v>
      </x:c>
      <x:c r="E173" s="28" t="str">
        <x:v>No</x:v>
      </x:c>
      <x:c r="F173" s="28" t="str">
        <x:v>Yes</x:v>
      </x:c>
      <x:c r="G173" s="24" t="str">
        <x:v>Proprioception/stabilization</x:v>
      </x:c>
      <x:c r="H173" s="24" t="str">
        <x:v>Thoracic transverse processes</x:v>
      </x:c>
      <x:c r="I173" s="24" t="str">
        <x:v>Adjacent superior thoracic transverse processes</x:v>
      </x:c>
      <x:c r="J173" s="24" t="str">
        <x:v>Segmental spinal nerve branches</x:v>
      </x:c>
      <x:c r="K173" s="24" t="str">
        <x:v>T1-T12 (variable)</x:v>
      </x:c>
      <x:c r="L173" s="24" t="str">
        <x:v>Minute tendons</x:v>
      </x:c>
      <x:c r="M173" s="24" t="str">
        <x:v>Costotransverse ligaments nearby</x:v>
      </x:c>
      <x:c r="N173" s="30" t="str">
        <x:v>Not established</x:v>
      </x:c>
      <x:c r="O173" s="30" t="str">
        <x:v>Not established</x:v>
      </x:c>
      <x:c r="P173" s="30" t="str">
        <x:v>Mixed Type I and Type II; ratio unverified</x:v>
      </x:c>
      <x:c r="Q173" s="24" t="str">
        <x:v>Published biopsies insufficient to state a reliable per-muscle percentage; no inference from function</x:v>
      </x:c>
      <x:c r="R173" s="32" t="str">
        <x:v>https://www.kenhub.com/en/library/anatomy/anatomy-of-the-back-spine-and-back-muscles</x:v>
      </x:c>
      <x:c r="S173" s="32" t="str">
        <x:v>https://pubmed.ncbi.nlm.nih.gov/39359186/</x:v>
      </x:c>
    </x:row>
    <x:row r="174" ht="53" customHeight="1">
      <x:c r="A174" s="24" t="str">
        <x:v>Interspinales cervicis</x:v>
      </x:c>
      <x:c r="B174" s="24" t="str">
        <x:v>Deep short segmental</x:v>
      </x:c>
      <x:c r="C174" s="24" t="str">
        <x:v>Extensor; Stabilizer</x:v>
      </x:c>
      <x:c r="D174" s="28" t="str">
        <x:v>No</x:v>
      </x:c>
      <x:c r="E174" s="28" t="str">
        <x:v>Yes</x:v>
      </x:c>
      <x:c r="F174" s="28" t="str">
        <x:v>Yes</x:v>
      </x:c>
      <x:c r="G174" s="24" t="str">
        <x:v>Fine cervical extension and intersegmental stability</x:v>
      </x:c>
      <x:c r="H174" s="24" t="str">
        <x:v>Superior surface lower cervical spinous process</x:v>
      </x:c>
      <x:c r="I174" s="24" t="str">
        <x:v>Inferior surface adjacent upper spinous process</x:v>
      </x:c>
      <x:c r="J174" s="24" t="str">
        <x:v>Posterior rami cervical spinal nerves</x:v>
      </x:c>
      <x:c r="K174" s="24" t="str">
        <x:v>C2-C7 segmental</x:v>
      </x:c>
      <x:c r="L174" s="24" t="str">
        <x:v>Short interspinous attachments</x:v>
      </x:c>
      <x:c r="M174" s="24" t="str">
        <x:v>Interspinous ligaments in same interspinous space</x:v>
      </x:c>
      <x:c r="N174" s="30" t="str">
        <x:v>Not established</x:v>
      </x:c>
      <x:c r="O174" s="30" t="str">
        <x:v>Not established</x:v>
      </x:c>
      <x:c r="P174" s="30" t="str">
        <x:v>Mixed Type I and Type II; ratio unverified</x:v>
      </x:c>
      <x:c r="Q174" s="24" t="str">
        <x:v>Published biopsies insufficient to state a reliable per-muscle percentage; no inference from function</x:v>
      </x:c>
      <x:c r="R174" s="32" t="str">
        <x:v>https://www.kenhub.com/en/library/anatomy/anatomy-of-the-back-spine-and-back-muscles</x:v>
      </x:c>
      <x:c r="S174" s="32" t="str">
        <x:v>https://pubmed.ncbi.nlm.nih.gov/39359186/</x:v>
      </x:c>
    </x:row>
    <x:row r="175" ht="53" customHeight="1">
      <x:c r="A175" s="24" t="str">
        <x:v>Interspinales lumborum</x:v>
      </x:c>
      <x:c r="B175" s="24" t="str">
        <x:v>Deep short segmental</x:v>
      </x:c>
      <x:c r="C175" s="24" t="str">
        <x:v>Extensor; Stabilizer</x:v>
      </x:c>
      <x:c r="D175" s="28" t="str">
        <x:v>No</x:v>
      </x:c>
      <x:c r="E175" s="28" t="str">
        <x:v>Yes</x:v>
      </x:c>
      <x:c r="F175" s="28" t="str">
        <x:v>Yes</x:v>
      </x:c>
      <x:c r="G175" s="24" t="str">
        <x:v>Intersegmental lumbar extension/stabilization</x:v>
      </x:c>
      <x:c r="H175" s="24" t="str">
        <x:v>Superior aspect lumbar spinous process</x:v>
      </x:c>
      <x:c r="I175" s="24" t="str">
        <x:v>Inferior aspect next superior lumbar spinous process</x:v>
      </x:c>
      <x:c r="J175" s="24" t="str">
        <x:v>Posterior rami lumbar nerves</x:v>
      </x:c>
      <x:c r="K175" s="24" t="str">
        <x:v>L1-L5 segmental</x:v>
      </x:c>
      <x:c r="L175" s="24" t="str">
        <x:v>Short interspinous fascicular tendons</x:v>
      </x:c>
      <x:c r="M175" s="24" t="str">
        <x:v>Interspinous ligaments adjacent/direct connective interfaces</x:v>
      </x:c>
      <x:c r="N175" s="30" t="str">
        <x:v>Not established</x:v>
      </x:c>
      <x:c r="O175" s="30" t="str">
        <x:v>Not established</x:v>
      </x:c>
      <x:c r="P175" s="30" t="str">
        <x:v>Mixed Type I and Type II; ratio unverified</x:v>
      </x:c>
      <x:c r="Q175" s="24" t="str">
        <x:v>Published biopsies insufficient to state a reliable per-muscle percentage; no inference from function</x:v>
      </x:c>
      <x:c r="R175" s="32" t="str">
        <x:v>https://www.kenhub.com/en/library/anatomy/anatomy-of-the-back-spine-and-back-muscles</x:v>
      </x:c>
      <x:c r="S175" s="32" t="str">
        <x:v>https://pubmed.ncbi.nlm.nih.gov/39359186/</x:v>
      </x:c>
    </x:row>
    <x:row r="176" ht="53" customHeight="1">
      <x:c r="A176" s="24" t="str">
        <x:v>Interspinales thoracis (inconstant)</x:v>
      </x:c>
      <x:c r="B176" s="24" t="str">
        <x:v>Deep short segmental</x:v>
      </x:c>
      <x:c r="C176" s="24" t="str">
        <x:v>Extensor; Stabilizer</x:v>
      </x:c>
      <x:c r="D176" s="28" t="str">
        <x:v>No</x:v>
      </x:c>
      <x:c r="E176" s="28" t="str">
        <x:v>Yes</x:v>
      </x:c>
      <x:c r="F176" s="28" t="str">
        <x:v>Yes</x:v>
      </x:c>
      <x:c r="G176" s="24" t="str">
        <x:v>Segmental extension/stability</x:v>
      </x:c>
      <x:c r="H176" s="24" t="str">
        <x:v>Adjacent thoracic spinous processes</x:v>
      </x:c>
      <x:c r="I176" s="24" t="str">
        <x:v>Adjacent superior thoracic spinous process</x:v>
      </x:c>
      <x:c r="J176" s="24" t="str">
        <x:v>Posterior rami thoracic nerves</x:v>
      </x:c>
      <x:c r="K176" s="24" t="str">
        <x:v>T1-T12 segmental</x:v>
      </x:c>
      <x:c r="L176" s="24" t="str">
        <x:v>Minute interspinous slips</x:v>
      </x:c>
      <x:c r="M176" s="24" t="str">
        <x:v>Interspinous ligaments adjacent</x:v>
      </x:c>
      <x:c r="N176" s="30" t="str">
        <x:v>Not established</x:v>
      </x:c>
      <x:c r="O176" s="30" t="str">
        <x:v>Not established</x:v>
      </x:c>
      <x:c r="P176" s="30" t="str">
        <x:v>Mixed Type I and Type II; ratio unverified</x:v>
      </x:c>
      <x:c r="Q176" s="24" t="str">
        <x:v>Published biopsies insufficient to state a reliable per-muscle percentage; no inference from function</x:v>
      </x:c>
      <x:c r="R176" s="32" t="str">
        <x:v>https://www.kenhub.com/en/library/anatomy/anatomy-of-the-back-spine-and-back-muscles</x:v>
      </x:c>
      <x:c r="S176" s="32" t="str">
        <x:v>https://pubmed.ncbi.nlm.nih.gov/39359186/</x:v>
      </x:c>
    </x:row>
    <x:row r="177" ht="53" customHeight="1">
      <x:c r="A177" s="24" t="str">
        <x:v>Longissimus capitis</x:v>
      </x:c>
      <x:c r="B177" s="24" t="str">
        <x:v>Erector spinae intermediate</x:v>
      </x:c>
      <x:c r="C177" s="24" t="str">
        <x:v>Extensor; Stabilizer</x:v>
      </x:c>
      <x:c r="D177" s="28" t="str">
        <x:v>No</x:v>
      </x:c>
      <x:c r="E177" s="28" t="str">
        <x:v>Yes</x:v>
      </x:c>
      <x:c r="F177" s="28" t="str">
        <x:v>Yes</x:v>
      </x:c>
      <x:c r="G177" s="24" t="str">
        <x:v>Head extension and ipsilateral rotation</x:v>
      </x:c>
      <x:c r="H177" s="24" t="str">
        <x:v>Transverse processes T1-T5; articular processes C4-C7</x:v>
      </x:c>
      <x:c r="I177" s="24" t="str">
        <x:v>Mastoid process temporal bone</x:v>
      </x:c>
      <x:c r="J177" s="24" t="str">
        <x:v>Posterior rami cervical spinal nerves</x:v>
      </x:c>
      <x:c r="K177" s="24" t="str">
        <x:v>C2-C6 segmental</x:v>
      </x:c>
      <x:c r="L177" s="24" t="str">
        <x:v>Mastoid insertion tendon</x:v>
      </x:c>
      <x:c r="M177" s="24" t="str">
        <x:v>Nuchal ligament adjacent, not main attachment</x:v>
      </x:c>
      <x:c r="N177" s="30" t="str">
        <x:v>Not established</x:v>
      </x:c>
      <x:c r="O177" s="30" t="str">
        <x:v>Not established</x:v>
      </x:c>
      <x:c r="P177" s="30" t="str">
        <x:v>Mixed Type I and Type II; ratio unverified</x:v>
      </x:c>
      <x:c r="Q177" s="24" t="str">
        <x:v>Published biopsies insufficient to state a reliable per-muscle percentage; no inference from function</x:v>
      </x:c>
      <x:c r="R177" s="32" t="str">
        <x:v>https://www.kenhub.com/en/library/anatomy/anatomy-of-the-back-spine-and-back-muscles</x:v>
      </x:c>
      <x:c r="S177" s="32" t="str">
        <x:v>https://pubmed.ncbi.nlm.nih.gov/39359186/</x:v>
      </x:c>
    </x:row>
    <x:row r="178" ht="53" customHeight="1">
      <x:c r="A178" s="24" t="str">
        <x:v>Longissimus cervicis</x:v>
      </x:c>
      <x:c r="B178" s="24" t="str">
        <x:v>Erector spinae intermediate</x:v>
      </x:c>
      <x:c r="C178" s="24" t="str">
        <x:v>Extensor; Stabilizer</x:v>
      </x:c>
      <x:c r="D178" s="28" t="str">
        <x:v>No</x:v>
      </x:c>
      <x:c r="E178" s="28" t="str">
        <x:v>Yes</x:v>
      </x:c>
      <x:c r="F178" s="28" t="str">
        <x:v>Yes</x:v>
      </x:c>
      <x:c r="G178" s="24" t="str">
        <x:v>Extends/laterally bends neck</x:v>
      </x:c>
      <x:c r="H178" s="24" t="str">
        <x:v>Transverse processes T1-T5</x:v>
      </x:c>
      <x:c r="I178" s="24" t="str">
        <x:v>Posterior tubercles transverse processes C2-C6</x:v>
      </x:c>
      <x:c r="J178" s="24" t="str">
        <x:v>Posterior rami cervical nerves</x:v>
      </x:c>
      <x:c r="K178" s="24" t="str">
        <x:v>C2-C8 segmental</x:v>
      </x:c>
      <x:c r="L178" s="24" t="str">
        <x:v>Segmental cervical insertion tendons</x:v>
      </x:c>
      <x:c r="M178" s="24" t="str">
        <x:v>No specific direct ligament attachment</x:v>
      </x:c>
      <x:c r="N178" s="30" t="str">
        <x:v>Not established</x:v>
      </x:c>
      <x:c r="O178" s="30" t="str">
        <x:v>Not established</x:v>
      </x:c>
      <x:c r="P178" s="30" t="str">
        <x:v>Mixed Type I and Type II; ratio unverified</x:v>
      </x:c>
      <x:c r="Q178" s="24" t="str">
        <x:v>Published biopsies insufficient to state a reliable per-muscle percentage; no inference from function</x:v>
      </x:c>
      <x:c r="R178" s="32" t="str">
        <x:v>https://www.kenhub.com/en/library/anatomy/anatomy-of-the-back-spine-and-back-muscles</x:v>
      </x:c>
      <x:c r="S178" s="32" t="str">
        <x:v>https://pubmed.ncbi.nlm.nih.gov/39359186/</x:v>
      </x:c>
    </x:row>
    <x:row r="179" ht="53" customHeight="1">
      <x:c r="A179" s="24" t="str">
        <x:v>Longissimus thoracis</x:v>
      </x:c>
      <x:c r="B179" s="24" t="str">
        <x:v>Erector spinae intermediate</x:v>
      </x:c>
      <x:c r="C179" s="24" t="str">
        <x:v>Extensor; Stabilizer</x:v>
      </x:c>
      <x:c r="D179" s="28" t="str">
        <x:v>No</x:v>
      </x:c>
      <x:c r="E179" s="28" t="str">
        <x:v>Yes</x:v>
      </x:c>
      <x:c r="F179" s="28" t="str">
        <x:v>Yes</x:v>
      </x:c>
      <x:c r="G179" s="24" t="str">
        <x:v>Extends/laterally flexes thoracolumbar spine</x:v>
      </x:c>
      <x:c r="H179" s="24" t="str">
        <x:v>Common erector spinae tendon; sacrum; lumbar processes</x:v>
      </x:c>
      <x:c r="I179" s="24" t="str">
        <x:v>Thoracic transverse processes and ribs 2-12</x:v>
      </x:c>
      <x:c r="J179" s="24" t="str">
        <x:v>Posterior rami spinal nerves</x:v>
      </x:c>
      <x:c r="K179" s="24" t="str">
        <x:v>T1-L5 segmental</x:v>
      </x:c>
      <x:c r="L179" s="24" t="str">
        <x:v>Common erector tendon and segmental slips</x:v>
      </x:c>
      <x:c r="M179" s="24" t="str">
        <x:v>Thoracolumbar fascia associated at origin</x:v>
      </x:c>
      <x:c r="N179" s="30" t="str">
        <x:v>57% (lumbar region sample mean, n=16)</x:v>
      </x:c>
      <x:c r="O179" s="30" t="str">
        <x:v>43% (approx complementary II types)</x:v>
      </x:c>
      <x:c r="P179" s="30" t="str">
        <x:v>Type I-enriched (regional sample mean)</x:v>
      </x:c>
      <x:c r="Q179" s="24" t="str">
        <x:v>Study sampled lumbar longissimus; data not generalizable to every thoracic region</x:v>
      </x:c>
      <x:c r="R179" s="32" t="str">
        <x:v>https://www.kenhub.com/en/library/anatomy/anatomy-of-the-back-spine-and-back-muscles</x:v>
      </x:c>
      <x:c r="S179" s="32" t="str">
        <x:v>https://pubmed.ncbi.nlm.nih.gov/2960128/</x:v>
      </x:c>
    </x:row>
    <x:row r="180" ht="53" customHeight="1">
      <x:c r="A180" s="24" t="str">
        <x:v>Iliocostalis cervicis</x:v>
      </x:c>
      <x:c r="B180" s="24" t="str">
        <x:v>Erector spinae lateral</x:v>
      </x:c>
      <x:c r="C180" s="24" t="str">
        <x:v>Extensor; Stabilizer</x:v>
      </x:c>
      <x:c r="D180" s="28" t="str">
        <x:v>No</x:v>
      </x:c>
      <x:c r="E180" s="28" t="str">
        <x:v>Yes</x:v>
      </x:c>
      <x:c r="F180" s="28" t="str">
        <x:v>Yes</x:v>
      </x:c>
      <x:c r="G180" s="24" t="str">
        <x:v>Cervical extension/lateral flexion</x:v>
      </x:c>
      <x:c r="H180" s="24" t="str">
        <x:v>Angles ribs 3-6</x:v>
      </x:c>
      <x:c r="I180" s="24" t="str">
        <x:v>Posterior tubercles transverse processes C4-C6</x:v>
      </x:c>
      <x:c r="J180" s="24" t="str">
        <x:v>Posterior rami cervical spinal nerves</x:v>
      </x:c>
      <x:c r="K180" s="24" t="str">
        <x:v>C4-C8 segmental</x:v>
      </x:c>
      <x:c r="L180" s="24" t="str">
        <x:v>Costal-to-cervical tendons</x:v>
      </x:c>
      <x:c r="M180" s="24" t="str">
        <x:v>No direct ligament attachment routinely specified</x:v>
      </x:c>
      <x:c r="N180" s="30" t="str">
        <x:v>Not established</x:v>
      </x:c>
      <x:c r="O180" s="30" t="str">
        <x:v>Not established</x:v>
      </x:c>
      <x:c r="P180" s="30" t="str">
        <x:v>Mixed Type I and Type II; ratio unverified</x:v>
      </x:c>
      <x:c r="Q180" s="24" t="str">
        <x:v>Published biopsies insufficient to state a reliable per-muscle percentage; no inference from function</x:v>
      </x:c>
      <x:c r="R180" s="32" t="str">
        <x:v>https://www.kenhub.com/en/library/anatomy/anatomy-of-the-back-spine-and-back-muscles</x:v>
      </x:c>
      <x:c r="S180" s="32" t="str">
        <x:v>https://pubmed.ncbi.nlm.nih.gov/39359186/</x:v>
      </x:c>
    </x:row>
    <x:row r="181" ht="53" customHeight="1">
      <x:c r="A181" s="24" t="str">
        <x:v>Iliocostalis lumborum</x:v>
      </x:c>
      <x:c r="B181" s="24" t="str">
        <x:v>Erector spinae lateral</x:v>
      </x:c>
      <x:c r="C181" s="24" t="str">
        <x:v>Extensor; Stabilizer</x:v>
      </x:c>
      <x:c r="D181" s="28" t="str">
        <x:v>No</x:v>
      </x:c>
      <x:c r="E181" s="28" t="str">
        <x:v>Yes</x:v>
      </x:c>
      <x:c r="F181" s="28" t="str">
        <x:v>Yes</x:v>
      </x:c>
      <x:c r="G181" s="24" t="str">
        <x:v>Extends and laterally flexes lumbar spine; postural support</x:v>
      </x:c>
      <x:c r="H181" s="24" t="str">
        <x:v>Common erector spinae tendon from sacrum/iliac crest; lumbar aponeurosis</x:v>
      </x:c>
      <x:c r="I181" s="24" t="str">
        <x:v>Angles ribs 6-12; lumbar transverse processes</x:v>
      </x:c>
      <x:c r="J181" s="24" t="str">
        <x:v>Posterior rami spinal nerves</x:v>
      </x:c>
      <x:c r="K181" s="24" t="str">
        <x:v>T12-L5 segmental</x:v>
      </x:c>
      <x:c r="L181" s="24" t="str">
        <x:v>Common erector spinae aponeurosis; rib slips</x:v>
      </x:c>
      <x:c r="M181" s="24" t="str">
        <x:v>Supraspinous ligaments/fascia adjacent; thoracolumbar fascia direct origin</x:v>
      </x:c>
      <x:c r="N181" s="30" t="str">
        <x:v>Not established</x:v>
      </x:c>
      <x:c r="O181" s="30" t="str">
        <x:v>Not established</x:v>
      </x:c>
      <x:c r="P181" s="30" t="str">
        <x:v>Mixed Type I and Type II; ratio unverified</x:v>
      </x:c>
      <x:c r="Q181" s="24" t="str">
        <x:v>Published biopsies insufficient to state a reliable per-muscle percentage; no inference from function</x:v>
      </x:c>
      <x:c r="R181" s="32" t="str">
        <x:v>https://www.kenhub.com/en/library/anatomy/anatomy-of-the-back-spine-and-back-muscles</x:v>
      </x:c>
      <x:c r="S181" s="32" t="str">
        <x:v>https://pubmed.ncbi.nlm.nih.gov/39359186/</x:v>
      </x:c>
    </x:row>
    <x:row r="182" ht="53" customHeight="1">
      <x:c r="A182" s="24" t="str">
        <x:v>Iliocostalis thoracis</x:v>
      </x:c>
      <x:c r="B182" s="24" t="str">
        <x:v>Erector spinae lateral</x:v>
      </x:c>
      <x:c r="C182" s="24" t="str">
        <x:v>Extensor; Stabilizer</x:v>
      </x:c>
      <x:c r="D182" s="28" t="str">
        <x:v>No</x:v>
      </x:c>
      <x:c r="E182" s="28" t="str">
        <x:v>Yes</x:v>
      </x:c>
      <x:c r="F182" s="28" t="str">
        <x:v>Yes</x:v>
      </x:c>
      <x:c r="G182" s="24" t="str">
        <x:v>Extends/laterally flexes thoracic spine</x:v>
      </x:c>
      <x:c r="H182" s="24" t="str">
        <x:v>Angles lower six ribs</x:v>
      </x:c>
      <x:c r="I182" s="24" t="str">
        <x:v>Angles upper six ribs and transverse process C7</x:v>
      </x:c>
      <x:c r="J182" s="24" t="str">
        <x:v>Posterior rami thoracic spinal nerves</x:v>
      </x:c>
      <x:c r="K182" s="24" t="str">
        <x:v>T1-T12 segmental</x:v>
      </x:c>
      <x:c r="L182" s="24" t="str">
        <x:v>Long costal fascicular tendons</x:v>
      </x:c>
      <x:c r="M182" s="24" t="str">
        <x:v>Costotransverse ligaments adjacent to rib attachment</x:v>
      </x:c>
      <x:c r="N182" s="30" t="str">
        <x:v>Not established</x:v>
      </x:c>
      <x:c r="O182" s="30" t="str">
        <x:v>Not established</x:v>
      </x:c>
      <x:c r="P182" s="30" t="str">
        <x:v>Mixed Type I and Type II; ratio unverified</x:v>
      </x:c>
      <x:c r="Q182" s="24" t="str">
        <x:v>Published biopsies insufficient to state a reliable per-muscle percentage; no inference from function</x:v>
      </x:c>
      <x:c r="R182" s="32" t="str">
        <x:v>https://www.kenhub.com/en/library/anatomy/anatomy-of-the-back-spine-and-back-muscles</x:v>
      </x:c>
      <x:c r="S182" s="32" t="str">
        <x:v>https://pubmed.ncbi.nlm.nih.gov/39359186/</x:v>
      </x:c>
    </x:row>
    <x:row r="183" ht="53" customHeight="1">
      <x:c r="A183" s="24" t="str">
        <x:v>Spinalis capitis (variable/integrated)</x:v>
      </x:c>
      <x:c r="B183" s="24" t="str">
        <x:v>Erector spinae medial</x:v>
      </x:c>
      <x:c r="C183" s="24" t="str">
        <x:v>Extensor; Stabilizer</x:v>
      </x:c>
      <x:c r="D183" s="28" t="str">
        <x:v>No</x:v>
      </x:c>
      <x:c r="E183" s="28" t="str">
        <x:v>Yes</x:v>
      </x:c>
      <x:c r="F183" s="28" t="str">
        <x:v>Yes</x:v>
      </x:c>
      <x:c r="G183" s="24" t="str">
        <x:v>Extends head; usually confluent with semispinalis capitis</x:v>
      </x:c>
      <x:c r="H183" s="24" t="str">
        <x:v>Upper thoracic/lower cervical spinous processes</x:v>
      </x:c>
      <x:c r="I183" s="24" t="str">
        <x:v>Occipital bone near superior nuchal line</x:v>
      </x:c>
      <x:c r="J183" s="24" t="str">
        <x:v>Posterior rami cervical spinal nerves</x:v>
      </x:c>
      <x:c r="K183" s="24" t="str">
        <x:v>C2-C6 segmental</x:v>
      </x:c>
      <x:c r="L183" s="24" t="str">
        <x:v>Occipital aponeurosis</x:v>
      </x:c>
      <x:c r="M183" s="24" t="str">
        <x:v>Nuchal ligament nearby</x:v>
      </x:c>
      <x:c r="N183" s="30" t="str">
        <x:v>Not established</x:v>
      </x:c>
      <x:c r="O183" s="30" t="str">
        <x:v>Not established</x:v>
      </x:c>
      <x:c r="P183" s="30" t="str">
        <x:v>Mixed Type I and Type II; ratio unverified</x:v>
      </x:c>
      <x:c r="Q183" s="24" t="str">
        <x:v>Published biopsies insufficient to state a reliable per-muscle percentage; no inference from function</x:v>
      </x:c>
      <x:c r="R183" s="32" t="str">
        <x:v>https://www.kenhub.com/en/library/anatomy/anatomy-of-the-back-spine-and-back-muscles</x:v>
      </x:c>
      <x:c r="S183" s="32" t="str">
        <x:v>https://pubmed.ncbi.nlm.nih.gov/39359186/</x:v>
      </x:c>
    </x:row>
    <x:row r="184" ht="53" customHeight="1">
      <x:c r="A184" s="24" t="str">
        <x:v>Spinalis cervicis</x:v>
      </x:c>
      <x:c r="B184" s="24" t="str">
        <x:v>Erector spinae medial</x:v>
      </x:c>
      <x:c r="C184" s="24" t="str">
        <x:v>Extensor; Stabilizer</x:v>
      </x:c>
      <x:c r="D184" s="28" t="str">
        <x:v>No</x:v>
      </x:c>
      <x:c r="E184" s="28" t="str">
        <x:v>Yes</x:v>
      </x:c>
      <x:c r="F184" s="28" t="str">
        <x:v>Yes</x:v>
      </x:c>
      <x:c r="G184" s="24" t="str">
        <x:v>Extends cervical spine</x:v>
      </x:c>
      <x:c r="H184" s="24" t="str">
        <x:v>Nuchal ligament and spinous processes C7-T2</x:v>
      </x:c>
      <x:c r="I184" s="24" t="str">
        <x:v>Spinous processes C2-C4</x:v>
      </x:c>
      <x:c r="J184" s="24" t="str">
        <x:v>Posterior rami cervical spinal nerves</x:v>
      </x:c>
      <x:c r="K184" s="24" t="str">
        <x:v>C2-C7 segmental</x:v>
      </x:c>
      <x:c r="L184" s="24" t="str">
        <x:v>Interspinous insertion tendons</x:v>
      </x:c>
      <x:c r="M184" s="24" t="str">
        <x:v>Nuchal ligament may contribute to origin</x:v>
      </x:c>
      <x:c r="N184" s="30" t="str">
        <x:v>Not established</x:v>
      </x:c>
      <x:c r="O184" s="30" t="str">
        <x:v>Not established</x:v>
      </x:c>
      <x:c r="P184" s="30" t="str">
        <x:v>Mixed Type I and Type II; ratio unverified</x:v>
      </x:c>
      <x:c r="Q184" s="24" t="str">
        <x:v>Published biopsies insufficient to state a reliable per-muscle percentage; no inference from function</x:v>
      </x:c>
      <x:c r="R184" s="32" t="str">
        <x:v>https://www.kenhub.com/en/library/anatomy/anatomy-of-the-back-spine-and-back-muscles</x:v>
      </x:c>
      <x:c r="S184" s="32" t="str">
        <x:v>https://pubmed.ncbi.nlm.nih.gov/39359186/</x:v>
      </x:c>
    </x:row>
    <x:row r="185" ht="53" customHeight="1">
      <x:c r="A185" s="24" t="str">
        <x:v>Spinalis thoracis</x:v>
      </x:c>
      <x:c r="B185" s="24" t="str">
        <x:v>Erector spinae medial</x:v>
      </x:c>
      <x:c r="C185" s="24" t="str">
        <x:v>Extensor; Stabilizer</x:v>
      </x:c>
      <x:c r="D185" s="28" t="str">
        <x:v>No</x:v>
      </x:c>
      <x:c r="E185" s="28" t="str">
        <x:v>Yes</x:v>
      </x:c>
      <x:c r="F185" s="28" t="str">
        <x:v>Yes</x:v>
      </x:c>
      <x:c r="G185" s="24" t="str">
        <x:v>Extends thoracic spine</x:v>
      </x:c>
      <x:c r="H185" s="24" t="str">
        <x:v>Spinous processes T11-L2</x:v>
      </x:c>
      <x:c r="I185" s="24" t="str">
        <x:v>Spinous processes T1-T8</x:v>
      </x:c>
      <x:c r="J185" s="24" t="str">
        <x:v>Posterior rami thoracic spinal nerves</x:v>
      </x:c>
      <x:c r="K185" s="24" t="str">
        <x:v>T1-T12 segmental</x:v>
      </x:c>
      <x:c r="L185" s="24" t="str">
        <x:v>Long interspinous tendons</x:v>
      </x:c>
      <x:c r="M185" s="24" t="str">
        <x:v>Supraspinous ligament adjacent/blended</x:v>
      </x:c>
      <x:c r="N185" s="30" t="str">
        <x:v>Not established</x:v>
      </x:c>
      <x:c r="O185" s="30" t="str">
        <x:v>Not established</x:v>
      </x:c>
      <x:c r="P185" s="30" t="str">
        <x:v>Mixed Type I and Type II; ratio unverified</x:v>
      </x:c>
      <x:c r="Q185" s="24" t="str">
        <x:v>Published biopsies insufficient to state a reliable per-muscle percentage; no inference from function</x:v>
      </x:c>
      <x:c r="R185" s="32" t="str">
        <x:v>https://www.kenhub.com/en/library/anatomy/anatomy-of-the-back-spine-and-back-muscles</x:v>
      </x:c>
      <x:c r="S185" s="32" t="str">
        <x:v>https://pubmed.ncbi.nlm.nih.gov/39359186/</x:v>
      </x:c>
    </x:row>
    <x:row r="186" ht="53" customHeight="1">
      <x:c r="A186" s="24" t="str">
        <x:v>Omohyoid inferior belly</x:v>
      </x:c>
      <x:c r="B186" s="24" t="str">
        <x:v>Infrahyoid strap</x:v>
      </x:c>
      <x:c r="C186" s="24" t="str">
        <x:v>Stabilizer</x:v>
      </x:c>
      <x:c r="D186" s="28" t="str">
        <x:v>No</x:v>
      </x:c>
      <x:c r="E186" s="28" t="str">
        <x:v>No</x:v>
      </x:c>
      <x:c r="F186" s="28" t="str">
        <x:v>Yes</x:v>
      </x:c>
      <x:c r="G186" s="24" t="str">
        <x:v>Depresses hyoid, tensions cervical fascia</x:v>
      </x:c>
      <x:c r="H186" s="24" t="str">
        <x:v>Superior border of scapula near suprascapular notch</x:v>
      </x:c>
      <x:c r="I186" s="24" t="str">
        <x:v>Intermediate tendon</x:v>
      </x:c>
      <x:c r="J186" s="24" t="str">
        <x:v>Ansa cervicalis</x:v>
      </x:c>
      <x:c r="K186" s="24" t="str">
        <x:v>C1-C3</x:v>
      </x:c>
      <x:c r="L186" s="24" t="str">
        <x:v>Intermediate omohyoid tendon</x:v>
      </x:c>
      <x:c r="M186" s="24" t="str">
        <x:v>Superior transverse scapular ligament near origin (bridges notch)</x:v>
      </x:c>
      <x:c r="N186" s="30" t="str">
        <x:v>Not established</x:v>
      </x:c>
      <x:c r="O186" s="30" t="str">
        <x:v>Not established</x:v>
      </x:c>
      <x:c r="P186" s="30" t="str">
        <x:v>Mixed Type I and Type II; ratio unverified</x:v>
      </x:c>
      <x:c r="Q186" s="24" t="str">
        <x:v>Published biopsies insufficient to state a reliable per-muscle percentage; no inference from function</x:v>
      </x:c>
      <x:c r="R186" s="32" t="str">
        <x:v>https://www.kenhub.com/en/library/anatomy/anatomy-of-the-back-spine-and-back-muscles</x:v>
      </x:c>
      <x:c r="S186" s="32" t="str">
        <x:v>https://pubmed.ncbi.nlm.nih.gov/39359186/</x:v>
      </x:c>
    </x:row>
    <x:row r="187" ht="53" customHeight="1">
      <x:c r="A187" s="24" t="str">
        <x:v>Omohyoid superior belly</x:v>
      </x:c>
      <x:c r="B187" s="24" t="str">
        <x:v>Infrahyoid strap</x:v>
      </x:c>
      <x:c r="C187" s="24" t="str">
        <x:v>Stabilizer</x:v>
      </x:c>
      <x:c r="D187" s="28" t="str">
        <x:v>No</x:v>
      </x:c>
      <x:c r="E187" s="28" t="str">
        <x:v>No</x:v>
      </x:c>
      <x:c r="F187" s="28" t="str">
        <x:v>Yes</x:v>
      </x:c>
      <x:c r="G187" s="24" t="str">
        <x:v>Depresses/retracts hyoid</x:v>
      </x:c>
      <x:c r="H187" s="24" t="str">
        <x:v>Intermediate tendon tethered by fascial sling</x:v>
      </x:c>
      <x:c r="I187" s="24" t="str">
        <x:v>Inferior hyoid body</x:v>
      </x:c>
      <x:c r="J187" s="24" t="str">
        <x:v>Ansa cervicalis</x:v>
      </x:c>
      <x:c r="K187" s="24" t="str">
        <x:v>C1-C3</x:v>
      </x:c>
      <x:c r="L187" s="24" t="str">
        <x:v>Intermediate omohyoid tendon</x:v>
      </x:c>
      <x:c r="M187" s="24" t="str">
        <x:v>Intermediate tendon fascial sling attached to clavicle</x:v>
      </x:c>
      <x:c r="N187" s="30" t="str">
        <x:v>Not established</x:v>
      </x:c>
      <x:c r="O187" s="30" t="str">
        <x:v>Not established</x:v>
      </x:c>
      <x:c r="P187" s="30" t="str">
        <x:v>Mixed Type I and Type II; ratio unverified</x:v>
      </x:c>
      <x:c r="Q187" s="24" t="str">
        <x:v>Published biopsies insufficient to state a reliable per-muscle percentage; no inference from function</x:v>
      </x:c>
      <x:c r="R187" s="32" t="str">
        <x:v>https://www.kenhub.com/en/library/anatomy/anatomy-of-the-back-spine-and-back-muscles</x:v>
      </x:c>
      <x:c r="S187" s="32" t="str">
        <x:v>https://pubmed.ncbi.nlm.nih.gov/39359186/</x:v>
      </x:c>
    </x:row>
    <x:row r="188" ht="53" customHeight="1">
      <x:c r="A188" s="24" t="str">
        <x:v>Sternohyoid</x:v>
      </x:c>
      <x:c r="B188" s="24" t="str">
        <x:v>Infrahyoid strap</x:v>
      </x:c>
      <x:c r="C188" s="24" t="str">
        <x:v>Stabilizer</x:v>
      </x:c>
      <x:c r="D188" s="28" t="str">
        <x:v>No</x:v>
      </x:c>
      <x:c r="E188" s="28" t="str">
        <x:v>No</x:v>
      </x:c>
      <x:c r="F188" s="28" t="str">
        <x:v>Yes</x:v>
      </x:c>
      <x:c r="G188" s="24" t="str">
        <x:v>Depresses hyoid after swallowing</x:v>
      </x:c>
      <x:c r="H188" s="24" t="str">
        <x:v>Posterior manubrium; medial clavicle; sternoclavicular ligament</x:v>
      </x:c>
      <x:c r="I188" s="24" t="str">
        <x:v>Body hyoid bone</x:v>
      </x:c>
      <x:c r="J188" s="24" t="str">
        <x:v>Ansa cervicalis</x:v>
      </x:c>
      <x:c r="K188" s="24" t="str">
        <x:v>C1-C3</x:v>
      </x:c>
      <x:c r="L188" s="24" t="str">
        <x:v>Short hyoid tendon</x:v>
      </x:c>
      <x:c r="M188" s="24" t="str">
        <x:v>Sternoclavicular ligament may be origin</x:v>
      </x:c>
      <x:c r="N188" s="30" t="str">
        <x:v>Not established</x:v>
      </x:c>
      <x:c r="O188" s="30" t="str">
        <x:v>Not established</x:v>
      </x:c>
      <x:c r="P188" s="30" t="str">
        <x:v>Mixed Type I and Type II; ratio unverified</x:v>
      </x:c>
      <x:c r="Q188" s="24" t="str">
        <x:v>Published biopsies insufficient to state a reliable per-muscle percentage; no inference from function</x:v>
      </x:c>
      <x:c r="R188" s="32" t="str">
        <x:v>https://www.kenhub.com/en/library/anatomy/anatomy-of-the-back-spine-and-back-muscles</x:v>
      </x:c>
      <x:c r="S188" s="32" t="str">
        <x:v>https://pubmed.ncbi.nlm.nih.gov/39359186/</x:v>
      </x:c>
    </x:row>
    <x:row r="189" ht="53" customHeight="1">
      <x:c r="A189" s="24" t="str">
        <x:v>Sternothyroid</x:v>
      </x:c>
      <x:c r="B189" s="24" t="str">
        <x:v>Infrahyoid strap</x:v>
      </x:c>
      <x:c r="C189" s="24" t="str">
        <x:v>Stabilizer</x:v>
      </x:c>
      <x:c r="D189" s="28" t="str">
        <x:v>No</x:v>
      </x:c>
      <x:c r="E189" s="28" t="str">
        <x:v>No</x:v>
      </x:c>
      <x:c r="F189" s="28" t="str">
        <x:v>Yes</x:v>
      </x:c>
      <x:c r="G189" s="24" t="str">
        <x:v>Depresses larynx</x:v>
      </x:c>
      <x:c r="H189" s="24" t="str">
        <x:v>Posterior manubrium and first costal cartilage</x:v>
      </x:c>
      <x:c r="I189" s="24" t="str">
        <x:v>Oblique line of thyroid cartilage</x:v>
      </x:c>
      <x:c r="J189" s="24" t="str">
        <x:v>Ansa cervicalis</x:v>
      </x:c>
      <x:c r="K189" s="24" t="str">
        <x:v>C2-C3</x:v>
      </x:c>
      <x:c r="L189" s="24" t="str">
        <x:v>Short thyrocartilage tendon</x:v>
      </x:c>
      <x:c r="M189" s="24" t="str">
        <x:v>No specific direct ligament attachment</x:v>
      </x:c>
      <x:c r="N189" s="30" t="str">
        <x:v>Not established</x:v>
      </x:c>
      <x:c r="O189" s="30" t="str">
        <x:v>Not established</x:v>
      </x:c>
      <x:c r="P189" s="30" t="str">
        <x:v>Mixed Type I and Type II; ratio unverified</x:v>
      </x:c>
      <x:c r="Q189" s="24" t="str">
        <x:v>Published biopsies insufficient to state a reliable per-muscle percentage; no inference from function</x:v>
      </x:c>
      <x:c r="R189" s="32" t="str">
        <x:v>https://www.kenhub.com/en/library/anatomy/anatomy-of-the-back-spine-and-back-muscles</x:v>
      </x:c>
      <x:c r="S189" s="32" t="str">
        <x:v>https://pubmed.ncbi.nlm.nih.gov/39359186/</x:v>
      </x:c>
    </x:row>
    <x:row r="190" ht="53" customHeight="1">
      <x:c r="A190" s="24" t="str">
        <x:v>Thyrohyoid</x:v>
      </x:c>
      <x:c r="B190" s="24" t="str">
        <x:v>Infrahyoid strap</x:v>
      </x:c>
      <x:c r="C190" s="24" t="str">
        <x:v>Stabilizer</x:v>
      </x:c>
      <x:c r="D190" s="28" t="str">
        <x:v>No</x:v>
      </x:c>
      <x:c r="E190" s="28" t="str">
        <x:v>No</x:v>
      </x:c>
      <x:c r="F190" s="28" t="str">
        <x:v>Yes</x:v>
      </x:c>
      <x:c r="G190" s="24" t="str">
        <x:v>Depresses hyoid or elevates larynx</x:v>
      </x:c>
      <x:c r="H190" s="24" t="str">
        <x:v>Oblique line of thyroid cartilage</x:v>
      </x:c>
      <x:c r="I190" s="24" t="str">
        <x:v>Body/greater horn hyoid bone</x:v>
      </x:c>
      <x:c r="J190" s="24" t="str">
        <x:v>C1 fibers traveling with hypoglossal nerve</x:v>
      </x:c>
      <x:c r="K190" s="24" t="str">
        <x:v>C1 (via CN XII)</x:v>
      </x:c>
      <x:c r="L190" s="24" t="str">
        <x:v>Thyrohyoid short tendon</x:v>
      </x:c>
      <x:c r="M190" s="24" t="str">
        <x:v>Thyrohyoid membrane adjacent</x:v>
      </x:c>
      <x:c r="N190" s="30" t="str">
        <x:v>Not established</x:v>
      </x:c>
      <x:c r="O190" s="30" t="str">
        <x:v>Not established</x:v>
      </x:c>
      <x:c r="P190" s="30" t="str">
        <x:v>Mixed Type I and Type II; ratio unverified</x:v>
      </x:c>
      <x:c r="Q190" s="24" t="str">
        <x:v>Published biopsies insufficient to state a reliable per-muscle percentage; no inference from function</x:v>
      </x:c>
      <x:c r="R190" s="32" t="str">
        <x:v>https://www.kenhub.com/en/library/anatomy/anatomy-of-the-back-spine-and-back-muscles</x:v>
      </x:c>
      <x:c r="S190" s="32" t="str">
        <x:v>https://pubmed.ncbi.nlm.nih.gov/39359186/</x:v>
      </x:c>
    </x:row>
    <x:row r="191" ht="53" customHeight="1">
      <x:c r="A191" s="24" t="str">
        <x:v>Anterior scalene</x:v>
      </x:c>
      <x:c r="B191" s="24" t="str">
        <x:v>Lateral neck</x:v>
      </x:c>
      <x:c r="C191" s="24" t="str">
        <x:v>Flexor; Stabilizer</x:v>
      </x:c>
      <x:c r="D191" s="28" t="str">
        <x:v>Yes</x:v>
      </x:c>
      <x:c r="E191" s="28" t="str">
        <x:v>No</x:v>
      </x:c>
      <x:c r="F191" s="28" t="str">
        <x:v>Yes</x:v>
      </x:c>
      <x:c r="G191" s="24" t="str">
        <x:v>Flexes/laterally flexes neck; elevates rib 1</x:v>
      </x:c>
      <x:c r="H191" s="24" t="str">
        <x:v>Anterior tubercles transverse processes C3-C6</x:v>
      </x:c>
      <x:c r="I191" s="24" t="str">
        <x:v>Scalene tubercle first rib</x:v>
      </x:c>
      <x:c r="J191" s="24" t="str">
        <x:v>Anterior rami cervical spinal nerves</x:v>
      </x:c>
      <x:c r="K191" s="24" t="str">
        <x:v>C4-C6</x:v>
      </x:c>
      <x:c r="L191" s="24" t="str">
        <x:v>Scalene insertion tendon</x:v>
      </x:c>
      <x:c r="M191" s="24" t="str">
        <x:v>Costoclavicular ligament near first rib but distinct attachment</x:v>
      </x:c>
      <x:c r="N191" s="30" t="str">
        <x:v>Not established</x:v>
      </x:c>
      <x:c r="O191" s="30" t="str">
        <x:v>Not established</x:v>
      </x:c>
      <x:c r="P191" s="30" t="str">
        <x:v>Mixed Type I and Type II; ratio unverified</x:v>
      </x:c>
      <x:c r="Q191" s="24" t="str">
        <x:v>Published biopsies insufficient to state a reliable per-muscle percentage; no inference from function</x:v>
      </x:c>
      <x:c r="R191" s="32" t="str">
        <x:v>https://www.kenhub.com/en/library/anatomy/anatomy-of-the-back-spine-and-back-muscles</x:v>
      </x:c>
      <x:c r="S191" s="32" t="str">
        <x:v>https://pubmed.ncbi.nlm.nih.gov/39359186/</x:v>
      </x:c>
    </x:row>
    <x:row r="192" ht="53" customHeight="1">
      <x:c r="A192" s="24" t="str">
        <x:v>Middle scalene</x:v>
      </x:c>
      <x:c r="B192" s="24" t="str">
        <x:v>Lateral neck</x:v>
      </x:c>
      <x:c r="C192" s="24" t="str">
        <x:v>Stabilizer</x:v>
      </x:c>
      <x:c r="D192" s="28" t="str">
        <x:v>No</x:v>
      </x:c>
      <x:c r="E192" s="28" t="str">
        <x:v>No</x:v>
      </x:c>
      <x:c r="F192" s="28" t="str">
        <x:v>Yes</x:v>
      </x:c>
      <x:c r="G192" s="24" t="str">
        <x:v>Laterally flexes neck; elevates rib 1</x:v>
      </x:c>
      <x:c r="H192" s="24" t="str">
        <x:v>Posterior tubercles transverse processes C2-C7</x:v>
      </x:c>
      <x:c r="I192" s="24" t="str">
        <x:v>Superior surface first rib posterior to subclavian groove</x:v>
      </x:c>
      <x:c r="J192" s="24" t="str">
        <x:v>Anterior rami cervical spinal nerves</x:v>
      </x:c>
      <x:c r="K192" s="24" t="str">
        <x:v>C3-C8</x:v>
      </x:c>
      <x:c r="L192" s="24" t="str">
        <x:v>Costal insertion tendon</x:v>
      </x:c>
      <x:c r="M192" s="24" t="str">
        <x:v>Costotransverse ligaments near rib origin region</x:v>
      </x:c>
      <x:c r="N192" s="30" t="str">
        <x:v>Not established</x:v>
      </x:c>
      <x:c r="O192" s="30" t="str">
        <x:v>Not established</x:v>
      </x:c>
      <x:c r="P192" s="30" t="str">
        <x:v>Mixed Type I and Type II; ratio unverified</x:v>
      </x:c>
      <x:c r="Q192" s="24" t="str">
        <x:v>Published biopsies insufficient to state a reliable per-muscle percentage; no inference from function</x:v>
      </x:c>
      <x:c r="R192" s="32" t="str">
        <x:v>https://www.kenhub.com/en/library/anatomy/anatomy-of-the-back-spine-and-back-muscles</x:v>
      </x:c>
      <x:c r="S192" s="32" t="str">
        <x:v>https://pubmed.ncbi.nlm.nih.gov/39359186/</x:v>
      </x:c>
    </x:row>
    <x:row r="193" ht="53" customHeight="1">
      <x:c r="A193" s="24" t="str">
        <x:v>Posterior scalene</x:v>
      </x:c>
      <x:c r="B193" s="24" t="str">
        <x:v>Lateral neck</x:v>
      </x:c>
      <x:c r="C193" s="24" t="str">
        <x:v>Stabilizer</x:v>
      </x:c>
      <x:c r="D193" s="28" t="str">
        <x:v>No</x:v>
      </x:c>
      <x:c r="E193" s="28" t="str">
        <x:v>No</x:v>
      </x:c>
      <x:c r="F193" s="28" t="str">
        <x:v>Yes</x:v>
      </x:c>
      <x:c r="G193" s="24" t="str">
        <x:v>Laterally flexes neck; elevates rib 2</x:v>
      </x:c>
      <x:c r="H193" s="24" t="str">
        <x:v>Posterior tubercles transverse processes C4-C6</x:v>
      </x:c>
      <x:c r="I193" s="24" t="str">
        <x:v>Outer second rib</x:v>
      </x:c>
      <x:c r="J193" s="24" t="str">
        <x:v>Anterior rami cervical spinal nerves</x:v>
      </x:c>
      <x:c r="K193" s="24" t="str">
        <x:v>C6-C8</x:v>
      </x:c>
      <x:c r="L193" s="24" t="str">
        <x:v>Costal insertion tendon</x:v>
      </x:c>
      <x:c r="M193" s="24" t="str">
        <x:v>No specific direct ligament attachment</x:v>
      </x:c>
      <x:c r="N193" s="30" t="str">
        <x:v>Not established</x:v>
      </x:c>
      <x:c r="O193" s="30" t="str">
        <x:v>Not established</x:v>
      </x:c>
      <x:c r="P193" s="30" t="str">
        <x:v>Mixed Type I and Type II; ratio unverified</x:v>
      </x:c>
      <x:c r="Q193" s="24" t="str">
        <x:v>Published biopsies insufficient to state a reliable per-muscle percentage; no inference from function</x:v>
      </x:c>
      <x:c r="R193" s="32" t="str">
        <x:v>https://www.kenhub.com/en/library/anatomy/anatomy-of-the-back-spine-and-back-muscles</x:v>
      </x:c>
      <x:c r="S193" s="32" t="str">
        <x:v>https://pubmed.ncbi.nlm.nih.gov/39359186/</x:v>
      </x:c>
    </x:row>
    <x:row r="194" ht="53" customHeight="1">
      <x:c r="A194" s="24" t="str">
        <x:v>Scalenus minimus (variable)</x:v>
      </x:c>
      <x:c r="B194" s="24" t="str">
        <x:v>Lateral neck accessory</x:v>
      </x:c>
      <x:c r="C194" s="24" t="str">
        <x:v>Stabilizer</x:v>
      </x:c>
      <x:c r="D194" s="28" t="str">
        <x:v>No</x:v>
      </x:c>
      <x:c r="E194" s="28" t="str">
        <x:v>No</x:v>
      </x:c>
      <x:c r="F194" s="28" t="str">
        <x:v>Yes</x:v>
      </x:c>
      <x:c r="G194" s="24" t="str">
        <x:v>Accessory rib elevation, pleural dome tension</x:v>
      </x:c>
      <x:c r="H194" s="24" t="str">
        <x:v>Transverse processes C6-C7</x:v>
      </x:c>
      <x:c r="I194" s="24" t="str">
        <x:v>First rib / pleural dome (suprapleural membrane)</x:v>
      </x:c>
      <x:c r="J194" s="24" t="str">
        <x:v>Anterior rami cervical nerves</x:v>
      </x:c>
      <x:c r="K194" s="24" t="str">
        <x:v>C7-C8 (variable)</x:v>
      </x:c>
      <x:c r="L194" s="24" t="str">
        <x:v>Short fibrous slip to first rib</x:v>
      </x:c>
      <x:c r="M194" s="24" t="str">
        <x:v>Sibson fascia/suprapleural membrane related; frequently absent</x:v>
      </x:c>
      <x:c r="N194" s="30" t="str">
        <x:v>Not established</x:v>
      </x:c>
      <x:c r="O194" s="30" t="str">
        <x:v>Not established</x:v>
      </x:c>
      <x:c r="P194" s="30" t="str">
        <x:v>Mixed Type I and Type II; ratio unverified</x:v>
      </x:c>
      <x:c r="Q194" s="24" t="str">
        <x:v>Published biopsies insufficient to state a reliable per-muscle percentage; no inference from function</x:v>
      </x:c>
      <x:c r="R194" s="32" t="str">
        <x:v>https://www.kenhub.com/en/library/anatomy/anatomy-of-the-back-spine-and-back-muscles</x:v>
      </x:c>
      <x:c r="S194" s="32" t="str">
        <x:v>https://pubmed.ncbi.nlm.nih.gov/39359186/</x:v>
      </x:c>
    </x:row>
    <x:row r="195" ht="53" customHeight="1">
      <x:c r="A195" s="24" t="str">
        <x:v>Splenius capitis</x:v>
      </x:c>
      <x:c r="B195" s="24" t="str">
        <x:v>Posterior neck superficial intrinsic</x:v>
      </x:c>
      <x:c r="C195" s="24" t="str">
        <x:v>Extensor; Stabilizer</x:v>
      </x:c>
      <x:c r="D195" s="28" t="str">
        <x:v>No</x:v>
      </x:c>
      <x:c r="E195" s="28" t="str">
        <x:v>Yes</x:v>
      </x:c>
      <x:c r="F195" s="28" t="str">
        <x:v>Yes</x:v>
      </x:c>
      <x:c r="G195" s="24" t="str">
        <x:v>Extends head; ipsilateral rotation/lateral flexion</x:v>
      </x:c>
      <x:c r="H195" s="24" t="str">
        <x:v>Lower nuchal ligament and spinous processes C7-T3/4</x:v>
      </x:c>
      <x:c r="I195" s="24" t="str">
        <x:v>Mastoid process and lateral superior nuchal line</x:v>
      </x:c>
      <x:c r="J195" s="24" t="str">
        <x:v>Posterior rami cervical spinal nerves</x:v>
      </x:c>
      <x:c r="K195" s="24" t="str">
        <x:v>C3-C6 (variable)</x:v>
      </x:c>
      <x:c r="L195" s="24" t="str">
        <x:v>Flat occipital/mastoid insertion tendon</x:v>
      </x:c>
      <x:c r="M195" s="24" t="str">
        <x:v>Nuchal ligament direct origin</x:v>
      </x:c>
      <x:c r="N195" s="30" t="str">
        <x:v>Not established</x:v>
      </x:c>
      <x:c r="O195" s="30" t="str">
        <x:v>Not established</x:v>
      </x:c>
      <x:c r="P195" s="30" t="str">
        <x:v>Mixed Type I and Type II; ratio unverified</x:v>
      </x:c>
      <x:c r="Q195" s="24" t="str">
        <x:v>Published biopsies insufficient to state a reliable per-muscle percentage; no inference from function</x:v>
      </x:c>
      <x:c r="R195" s="32" t="str">
        <x:v>https://www.kenhub.com/en/library/anatomy/anatomy-of-the-back-spine-and-back-muscles</x:v>
      </x:c>
      <x:c r="S195" s="32" t="str">
        <x:v>https://pubmed.ncbi.nlm.nih.gov/39359186/</x:v>
      </x:c>
    </x:row>
    <x:row r="196" ht="53" customHeight="1">
      <x:c r="A196" s="24" t="str">
        <x:v>Splenius cervicis</x:v>
      </x:c>
      <x:c r="B196" s="24" t="str">
        <x:v>Posterior neck superficial intrinsic</x:v>
      </x:c>
      <x:c r="C196" s="24" t="str">
        <x:v>Extensor; Stabilizer</x:v>
      </x:c>
      <x:c r="D196" s="28" t="str">
        <x:v>No</x:v>
      </x:c>
      <x:c r="E196" s="28" t="str">
        <x:v>Yes</x:v>
      </x:c>
      <x:c r="F196" s="28" t="str">
        <x:v>Yes</x:v>
      </x:c>
      <x:c r="G196" s="24" t="str">
        <x:v>Extends/ipsilaterally rotates cervical spine</x:v>
      </x:c>
      <x:c r="H196" s="24" t="str">
        <x:v>Spinous processes T3-T6</x:v>
      </x:c>
      <x:c r="I196" s="24" t="str">
        <x:v>Posterior tubercles transverse processes C1-C3/4</x:v>
      </x:c>
      <x:c r="J196" s="24" t="str">
        <x:v>Posterior rami cervical spinal nerves</x:v>
      </x:c>
      <x:c r="K196" s="24" t="str">
        <x:v>C5-C8 (segmental)</x:v>
      </x:c>
      <x:c r="L196" s="24" t="str">
        <x:v>Small fascicular tendons</x:v>
      </x:c>
      <x:c r="M196" s="24" t="str">
        <x:v>Nuchal ligament near superior fascicles</x:v>
      </x:c>
      <x:c r="N196" s="30" t="str">
        <x:v>Not established</x:v>
      </x:c>
      <x:c r="O196" s="30" t="str">
        <x:v>Not established</x:v>
      </x:c>
      <x:c r="P196" s="30" t="str">
        <x:v>Mixed Type I and Type II; ratio unverified</x:v>
      </x:c>
      <x:c r="Q196" s="24" t="str">
        <x:v>Published biopsies insufficient to state a reliable per-muscle percentage; no inference from function</x:v>
      </x:c>
      <x:c r="R196" s="32" t="str">
        <x:v>https://www.kenhub.com/en/library/anatomy/anatomy-of-the-back-spine-and-back-muscles</x:v>
      </x:c>
      <x:c r="S196" s="32" t="str">
        <x:v>https://pubmed.ncbi.nlm.nih.gov/39359186/</x:v>
      </x:c>
    </x:row>
    <x:row r="197" ht="53" customHeight="1">
      <x:c r="A197" s="24" t="str">
        <x:v>Rectus capitis anterior</x:v>
      </x:c>
      <x:c r="B197" s="24" t="str">
        <x:v>Prevertebral</x:v>
      </x:c>
      <x:c r="C197" s="24" t="str">
        <x:v>Flexor; Stabilizer</x:v>
      </x:c>
      <x:c r="D197" s="28" t="str">
        <x:v>Yes</x:v>
      </x:c>
      <x:c r="E197" s="28" t="str">
        <x:v>No</x:v>
      </x:c>
      <x:c r="F197" s="28" t="str">
        <x:v>Yes</x:v>
      </x:c>
      <x:c r="G197" s="24" t="str">
        <x:v>Flexes/stabilizes head</x:v>
      </x:c>
      <x:c r="H197" s="24" t="str">
        <x:v>Lateral mass/anterior transverse process C1</x:v>
      </x:c>
      <x:c r="I197" s="24" t="str">
        <x:v>Basilar occipital bone anterior to condyle</x:v>
      </x:c>
      <x:c r="J197" s="24" t="str">
        <x:v>Anterior rami C1-C2</x:v>
      </x:c>
      <x:c r="K197" s="24" t="str">
        <x:v>C1-C2</x:v>
      </x:c>
      <x:c r="L197" s="24" t="str">
        <x:v>Short cranial insertion tendon</x:v>
      </x:c>
      <x:c r="M197" s="24" t="str">
        <x:v>Anterior atlanto-occipital membrane adjacent</x:v>
      </x:c>
      <x:c r="N197" s="30" t="str">
        <x:v>Not established</x:v>
      </x:c>
      <x:c r="O197" s="30" t="str">
        <x:v>Not established</x:v>
      </x:c>
      <x:c r="P197" s="30" t="str">
        <x:v>Mixed Type I and Type II; ratio unverified</x:v>
      </x:c>
      <x:c r="Q197" s="24" t="str">
        <x:v>Published biopsies insufficient to state a reliable per-muscle percentage; no inference from function</x:v>
      </x:c>
      <x:c r="R197" s="32" t="str">
        <x:v>https://www.kenhub.com/en/library/anatomy/anatomy-of-the-back-spine-and-back-muscles</x:v>
      </x:c>
      <x:c r="S197" s="32" t="str">
        <x:v>https://pubmed.ncbi.nlm.nih.gov/39359186/</x:v>
      </x:c>
    </x:row>
    <x:row r="198" ht="53" customHeight="1">
      <x:c r="A198" s="24" t="str">
        <x:v>Rectus capitis lateralis</x:v>
      </x:c>
      <x:c r="B198" s="24" t="str">
        <x:v>Prevertebral</x:v>
      </x:c>
      <x:c r="C198" s="24" t="str">
        <x:v>Stabilizer</x:v>
      </x:c>
      <x:c r="D198" s="28" t="str">
        <x:v>No</x:v>
      </x:c>
      <x:c r="E198" s="28" t="str">
        <x:v>No</x:v>
      </x:c>
      <x:c r="F198" s="28" t="str">
        <x:v>Yes</x:v>
      </x:c>
      <x:c r="G198" s="24" t="str">
        <x:v>Lateral flexion and head stabilization</x:v>
      </x:c>
      <x:c r="H198" s="24" t="str">
        <x:v>Transverse process C1</x:v>
      </x:c>
      <x:c r="I198" s="24" t="str">
        <x:v>Jugular process occipital bone</x:v>
      </x:c>
      <x:c r="J198" s="24" t="str">
        <x:v>Anterior rami C1-C2</x:v>
      </x:c>
      <x:c r="K198" s="24" t="str">
        <x:v>C1-C2</x:v>
      </x:c>
      <x:c r="L198" s="24" t="str">
        <x:v>Short cranial insertion tendon</x:v>
      </x:c>
      <x:c r="M198" s="24" t="str">
        <x:v>Lateral atlanto-occipital ligament adjacent</x:v>
      </x:c>
      <x:c r="N198" s="30" t="str">
        <x:v>Not established</x:v>
      </x:c>
      <x:c r="O198" s="30" t="str">
        <x:v>Not established</x:v>
      </x:c>
      <x:c r="P198" s="30" t="str">
        <x:v>Mixed Type I and Type II; ratio unverified</x:v>
      </x:c>
      <x:c r="Q198" s="24" t="str">
        <x:v>Published biopsies insufficient to state a reliable per-muscle percentage; no inference from function</x:v>
      </x:c>
      <x:c r="R198" s="32" t="str">
        <x:v>https://www.kenhub.com/en/library/anatomy/anatomy-of-the-back-spine-and-back-muscles</x:v>
      </x:c>
      <x:c r="S198" s="32" t="str">
        <x:v>https://pubmed.ncbi.nlm.nih.gov/39359186/</x:v>
      </x:c>
    </x:row>
    <x:row r="199" ht="53" customHeight="1">
      <x:c r="A199" s="24" t="str">
        <x:v>Obliquus capitis inferior</x:v>
      </x:c>
      <x:c r="B199" s="24" t="str">
        <x:v>Suboccipital</x:v>
      </x:c>
      <x:c r="C199" s="24" t="str">
        <x:v>Stabilizer</x:v>
      </x:c>
      <x:c r="D199" s="28" t="str">
        <x:v>No</x:v>
      </x:c>
      <x:c r="E199" s="28" t="str">
        <x:v>No</x:v>
      </x:c>
      <x:c r="F199" s="28" t="str">
        <x:v>Yes</x:v>
      </x:c>
      <x:c r="G199" s="24" t="str">
        <x:v>Rotates atlas/head ipsilaterally</x:v>
      </x:c>
      <x:c r="H199" s="24" t="str">
        <x:v>Spinous process C2</x:v>
      </x:c>
      <x:c r="I199" s="24" t="str">
        <x:v>Transverse process C1</x:v>
      </x:c>
      <x:c r="J199" s="24" t="str">
        <x:v>Suboccipital nerve (posterior ramus C1)</x:v>
      </x:c>
      <x:c r="K199" s="24" t="str">
        <x:v>C1</x:v>
      </x:c>
      <x:c r="L199" s="24" t="str">
        <x:v>Short C1 transverse process insertion tendon</x:v>
      </x:c>
      <x:c r="M199" s="24" t="str">
        <x:v>Posterior atlanto-axial membrane nearby</x:v>
      </x:c>
      <x:c r="N199" s="30" t="str">
        <x:v>Not established</x:v>
      </x:c>
      <x:c r="O199" s="30" t="str">
        <x:v>Not established</x:v>
      </x:c>
      <x:c r="P199" s="30" t="str">
        <x:v>Mixed Type I and Type II; ratio unverified</x:v>
      </x:c>
      <x:c r="Q199" s="24" t="str">
        <x:v>Published biopsies insufficient to state a reliable per-muscle percentage; no inference from function</x:v>
      </x:c>
      <x:c r="R199" s="32" t="str">
        <x:v>https://www.kenhub.com/en/library/anatomy/anatomy-of-the-back-spine-and-back-muscles</x:v>
      </x:c>
      <x:c r="S199" s="32" t="str">
        <x:v>https://pubmed.ncbi.nlm.nih.gov/39359186/</x:v>
      </x:c>
    </x:row>
    <x:row r="200" ht="53" customHeight="1">
      <x:c r="A200" s="24" t="str">
        <x:v>Obliquus capitis superior</x:v>
      </x:c>
      <x:c r="B200" s="24" t="str">
        <x:v>Suboccipital</x:v>
      </x:c>
      <x:c r="C200" s="24" t="str">
        <x:v>Extensor; Stabilizer</x:v>
      </x:c>
      <x:c r="D200" s="28" t="str">
        <x:v>No</x:v>
      </x:c>
      <x:c r="E200" s="28" t="str">
        <x:v>Yes</x:v>
      </x:c>
      <x:c r="F200" s="28" t="str">
        <x:v>Yes</x:v>
      </x:c>
      <x:c r="G200" s="24" t="str">
        <x:v>Extends and laterally flexes head</x:v>
      </x:c>
      <x:c r="H200" s="24" t="str">
        <x:v>Transverse process C1</x:v>
      </x:c>
      <x:c r="I200" s="24" t="str">
        <x:v>Occipital bone between superior and inferior nuchal lines</x:v>
      </x:c>
      <x:c r="J200" s="24" t="str">
        <x:v>Suboccipital nerve (posterior ramus C1)</x:v>
      </x:c>
      <x:c r="K200" s="24" t="str">
        <x:v>C1</x:v>
      </x:c>
      <x:c r="L200" s="24" t="str">
        <x:v>Short occipital insertion tendon</x:v>
      </x:c>
      <x:c r="M200" s="24" t="str">
        <x:v>Posterior atlanto-occipital membrane adjacent</x:v>
      </x:c>
      <x:c r="N200" s="30" t="str">
        <x:v>Not established</x:v>
      </x:c>
      <x:c r="O200" s="30" t="str">
        <x:v>Not established</x:v>
      </x:c>
      <x:c r="P200" s="30" t="str">
        <x:v>Mixed Type I and Type II; ratio unverified</x:v>
      </x:c>
      <x:c r="Q200" s="24" t="str">
        <x:v>Published biopsies insufficient to state a reliable per-muscle percentage; no inference from function</x:v>
      </x:c>
      <x:c r="R200" s="32" t="str">
        <x:v>https://www.kenhub.com/en/library/anatomy/anatomy-of-the-back-spine-and-back-muscles</x:v>
      </x:c>
      <x:c r="S200" s="32" t="str">
        <x:v>https://pubmed.ncbi.nlm.nih.gov/39359186/</x:v>
      </x:c>
    </x:row>
    <x:row r="201" ht="53" customHeight="1">
      <x:c r="A201" s="24" t="str">
        <x:v>Rectus capitis posterior major</x:v>
      </x:c>
      <x:c r="B201" s="24" t="str">
        <x:v>Suboccipital</x:v>
      </x:c>
      <x:c r="C201" s="24" t="str">
        <x:v>Extensor; Stabilizer</x:v>
      </x:c>
      <x:c r="D201" s="28" t="str">
        <x:v>No</x:v>
      </x:c>
      <x:c r="E201" s="28" t="str">
        <x:v>Yes</x:v>
      </x:c>
      <x:c r="F201" s="28" t="str">
        <x:v>Yes</x:v>
      </x:c>
      <x:c r="G201" s="24" t="str">
        <x:v>Extends and ipsilaterally rotates head</x:v>
      </x:c>
      <x:c r="H201" s="24" t="str">
        <x:v>Spinous process C2</x:v>
      </x:c>
      <x:c r="I201" s="24" t="str">
        <x:v>Lateral inferior nuchal line occiput</x:v>
      </x:c>
      <x:c r="J201" s="24" t="str">
        <x:v>Suboccipital nerve (posterior ramus C1)</x:v>
      </x:c>
      <x:c r="K201" s="24" t="str">
        <x:v>C1</x:v>
      </x:c>
      <x:c r="L201" s="24" t="str">
        <x:v>Occipital insertion tendon</x:v>
      </x:c>
      <x:c r="M201" s="24" t="str">
        <x:v>Posterior atlanto-occipital membrane nearby</x:v>
      </x:c>
      <x:c r="N201" s="30" t="str">
        <x:v>Not established</x:v>
      </x:c>
      <x:c r="O201" s="30" t="str">
        <x:v>Not established</x:v>
      </x:c>
      <x:c r="P201" s="30" t="str">
        <x:v>Mixed Type I and Type II; ratio unverified</x:v>
      </x:c>
      <x:c r="Q201" s="24" t="str">
        <x:v>Published biopsies insufficient to state a reliable per-muscle percentage; no inference from function</x:v>
      </x:c>
      <x:c r="R201" s="32" t="str">
        <x:v>https://www.kenhub.com/en/library/anatomy/anatomy-of-the-back-spine-and-back-muscles</x:v>
      </x:c>
      <x:c r="S201" s="32" t="str">
        <x:v>https://pubmed.ncbi.nlm.nih.gov/39359186/</x:v>
      </x:c>
    </x:row>
    <x:row r="202" ht="53" customHeight="1">
      <x:c r="A202" s="24" t="str">
        <x:v>Rectus capitis posterior minor</x:v>
      </x:c>
      <x:c r="B202" s="24" t="str">
        <x:v>Suboccipital</x:v>
      </x:c>
      <x:c r="C202" s="24" t="str">
        <x:v>Extensor; Stabilizer</x:v>
      </x:c>
      <x:c r="D202" s="28" t="str">
        <x:v>No</x:v>
      </x:c>
      <x:c r="E202" s="28" t="str">
        <x:v>Yes</x:v>
      </x:c>
      <x:c r="F202" s="28" t="str">
        <x:v>Yes</x:v>
      </x:c>
      <x:c r="G202" s="24" t="str">
        <x:v>Extends head; atlanto-occipital stabilization</x:v>
      </x:c>
      <x:c r="H202" s="24" t="str">
        <x:v>Posterior tubercle C1</x:v>
      </x:c>
      <x:c r="I202" s="24" t="str">
        <x:v>Medial inferior nuchal line occiput</x:v>
      </x:c>
      <x:c r="J202" s="24" t="str">
        <x:v>Suboccipital nerve (posterior ramus C1)</x:v>
      </x:c>
      <x:c r="K202" s="24" t="str">
        <x:v>C1</x:v>
      </x:c>
      <x:c r="L202" s="24" t="str">
        <x:v>Short occipital tendon</x:v>
      </x:c>
      <x:c r="M202" s="24" t="str">
        <x:v>Posterior atlanto-occipital membrane blends with fascia near muscle</x:v>
      </x:c>
      <x:c r="N202" s="30" t="str">
        <x:v>Not established</x:v>
      </x:c>
      <x:c r="O202" s="30" t="str">
        <x:v>Not established</x:v>
      </x:c>
      <x:c r="P202" s="30" t="str">
        <x:v>Mixed Type I and Type II; ratio unverified</x:v>
      </x:c>
      <x:c r="Q202" s="24" t="str">
        <x:v>Published biopsies insufficient to state a reliable per-muscle percentage; no inference from function</x:v>
      </x:c>
      <x:c r="R202" s="32" t="str">
        <x:v>https://www.kenhub.com/en/library/anatomy/anatomy-of-the-back-spine-and-back-muscles</x:v>
      </x:c>
      <x:c r="S202" s="32" t="str">
        <x:v>https://pubmed.ncbi.nlm.nih.gov/39359186/</x:v>
      </x:c>
    </x:row>
    <x:row r="203" ht="53" customHeight="1">
      <x:c r="A203" s="24" t="str">
        <x:v>Sternocleidomastoid clavicular head</x:v>
      </x:c>
      <x:c r="B203" s="24" t="str">
        <x:v>Superficial anterior neck</x:v>
      </x:c>
      <x:c r="C203" s="24" t="str">
        <x:v>Flexor; Stabilizer</x:v>
      </x:c>
      <x:c r="D203" s="28" t="str">
        <x:v>Yes</x:v>
      </x:c>
      <x:c r="E203" s="28" t="str">
        <x:v>No</x:v>
      </x:c>
      <x:c r="F203" s="28" t="str">
        <x:v>Yes</x:v>
      </x:c>
      <x:c r="G203" s="24" t="str">
        <x:v>Head/neck rotation and flexion, accessory inspiration</x:v>
      </x:c>
      <x:c r="H203" s="24" t="str">
        <x:v>Medial third superior clavicle</x:v>
      </x:c>
      <x:c r="I203" s="24" t="str">
        <x:v>Mastoid process and lateral superior nuchal line</x:v>
      </x:c>
      <x:c r="J203" s="24" t="str">
        <x:v>Accessory nerve CN XI; C2-C3 proprioception</x:v>
      </x:c>
      <x:c r="K203" s="24" t="str">
        <x:v>CN XI motor (spinal nucleus C1-C5); C2-C3 sensory</x:v>
      </x:c>
      <x:c r="L203" s="24" t="str">
        <x:v>Clavicular aponeurosis/mastoid tendon</x:v>
      </x:c>
      <x:c r="M203" s="24" t="str">
        <x:v>Costoclavicular ligament nearby</x:v>
      </x:c>
      <x:c r="N203" s="30" t="str">
        <x:v>Not established</x:v>
      </x:c>
      <x:c r="O203" s="30" t="str">
        <x:v>Not established</x:v>
      </x:c>
      <x:c r="P203" s="30" t="str">
        <x:v>Mixed Type I and Type II; ratio unverified</x:v>
      </x:c>
      <x:c r="Q203" s="24" t="str">
        <x:v>Published biopsies insufficient to state a reliable per-muscle percentage; no inference from function</x:v>
      </x:c>
      <x:c r="R203" s="32" t="str">
        <x:v>https://www.kenhub.com/en/library/anatomy/anatomy-of-the-back-spine-and-back-muscles</x:v>
      </x:c>
      <x:c r="S203" s="32" t="str">
        <x:v>https://pubmed.ncbi.nlm.nih.gov/39359186/</x:v>
      </x:c>
    </x:row>
    <x:row r="204" ht="53" customHeight="1">
      <x:c r="A204" s="24" t="str">
        <x:v>Sternocleidomastoid sternal head</x:v>
      </x:c>
      <x:c r="B204" s="24" t="str">
        <x:v>Superficial anterior neck</x:v>
      </x:c>
      <x:c r="C204" s="24" t="str">
        <x:v>Flexor; Stabilizer</x:v>
      </x:c>
      <x:c r="D204" s="28" t="str">
        <x:v>Yes</x:v>
      </x:c>
      <x:c r="E204" s="28" t="str">
        <x:v>No</x:v>
      </x:c>
      <x:c r="F204" s="28" t="str">
        <x:v>Yes</x:v>
      </x:c>
      <x:c r="G204" s="24" t="str">
        <x:v>Unilateral ipsilateral lateral flexion/contralateral rotation; bilateral neck flexion</x:v>
      </x:c>
      <x:c r="H204" s="24" t="str">
        <x:v>Anterior manubrium sternum</x:v>
      </x:c>
      <x:c r="I204" s="24" t="str">
        <x:v>Mastoid process and lateral superior nuchal line</x:v>
      </x:c>
      <x:c r="J204" s="24" t="str">
        <x:v>Accessory nerve CN XI motor; C2-C3 proprioception</x:v>
      </x:c>
      <x:c r="K204" s="24" t="str">
        <x:v>CN XI motor (spinal nucleus C1-C5); C2-C3 sensory</x:v>
      </x:c>
      <x:c r="L204" s="24" t="str">
        <x:v>Sternal tendon and mastoid aponeurosis</x:v>
      </x:c>
      <x:c r="M204" s="24" t="str">
        <x:v>Sternoclavicular ligament nearby, not direct attachment</x:v>
      </x:c>
      <x:c r="N204" s="30" t="str">
        <x:v>Not established</x:v>
      </x:c>
      <x:c r="O204" s="30" t="str">
        <x:v>Not established</x:v>
      </x:c>
      <x:c r="P204" s="30" t="str">
        <x:v>Mixed Type I and Type II; ratio unverified</x:v>
      </x:c>
      <x:c r="Q204" s="24" t="str">
        <x:v>Published biopsies insufficient to state a reliable per-muscle percentage; no inference from function</x:v>
      </x:c>
      <x:c r="R204" s="32" t="str">
        <x:v>https://www.kenhub.com/en/library/anatomy/anatomy-of-the-back-spine-and-back-muscles</x:v>
      </x:c>
      <x:c r="S204" s="32" t="str">
        <x:v>https://pubmed.ncbi.nlm.nih.gov/39359186/</x:v>
      </x:c>
    </x:row>
    <x:row r="205" ht="53" customHeight="1">
      <x:c r="A205" s="24" t="str">
        <x:v>Platysma</x:v>
      </x:c>
      <x:c r="B205" s="24" t="str">
        <x:v>Superficial cervical / expression</x:v>
      </x:c>
      <x:c r="C205" s="24" t="str">
        <x:v>Other</x:v>
      </x:c>
      <x:c r="D205" s="28" t="str">
        <x:v>No</x:v>
      </x:c>
      <x:c r="E205" s="28" t="str">
        <x:v>No</x:v>
      </x:c>
      <x:c r="F205" s="28" t="str">
        <x:v>No</x:v>
      </x:c>
      <x:c r="G205" s="24" t="str">
        <x:v>Tenses neck skin; depresses mandibular angle/lower lip</x:v>
      </x:c>
      <x:c r="H205" s="24" t="str">
        <x:v>Superficial fascia upper chest and shoulder</x:v>
      </x:c>
      <x:c r="I205" s="24" t="str">
        <x:v>Mandibular border and skin lower face</x:v>
      </x:c>
      <x:c r="J205" s="24" t="str">
        <x:v>Cervical branch facial nerve (CN VII)</x:v>
      </x:c>
      <x:c r="K205" s="24" t="str">
        <x:v>CN VII; no spinal motor root</x:v>
      </x:c>
      <x:c r="L205" s="24" t="str">
        <x:v>Dermal fascial attachments without long tendon</x:v>
      </x:c>
      <x:c r="M205" s="24" t="str">
        <x:v>No direct ligament attachment</x:v>
      </x:c>
      <x:c r="N205" s="30" t="str">
        <x:v>Not established</x:v>
      </x:c>
      <x:c r="O205" s="30" t="str">
        <x:v>Not established</x:v>
      </x:c>
      <x:c r="P205" s="30" t="str">
        <x:v>Mixed Type I and Type II; ratio unverified</x:v>
      </x:c>
      <x:c r="Q205" s="24" t="str">
        <x:v>Published biopsies insufficient to state a reliable per-muscle percentage; no inference from function</x:v>
      </x:c>
      <x:c r="R205" s="32" t="str">
        <x:v>https://www.kenhub.com/en/library/anatomy/anatomy-of-the-back-spine-and-back-muscles</x:v>
      </x:c>
      <x:c r="S205" s="32" t="str">
        <x:v>https://pubmed.ncbi.nlm.nih.gov/39359186/</x:v>
      </x:c>
    </x:row>
    <x:row r="206" ht="53" customHeight="1">
      <x:c r="A206" s="24" t="str">
        <x:v>Digastric anterior belly</x:v>
      </x:c>
      <x:c r="B206" s="24" t="str">
        <x:v>Suprahyoid</x:v>
      </x:c>
      <x:c r="C206" s="24" t="str">
        <x:v>Flexor; Stabilizer</x:v>
      </x:c>
      <x:c r="D206" s="28" t="str">
        <x:v>Yes</x:v>
      </x:c>
      <x:c r="E206" s="28" t="str">
        <x:v>No</x:v>
      </x:c>
      <x:c r="F206" s="28" t="str">
        <x:v>Yes</x:v>
      </x:c>
      <x:c r="G206" s="24" t="str">
        <x:v>Depresses mandible/elevates hyoid</x:v>
      </x:c>
      <x:c r="H206" s="24" t="str">
        <x:v>Digastric fossa of mandible</x:v>
      </x:c>
      <x:c r="I206" s="24" t="str">
        <x:v>Intermediate tendon attached to hyoid by fascial loop</x:v>
      </x:c>
      <x:c r="J206" s="24" t="str">
        <x:v>Nerve to mylohyoid (V3)</x:v>
      </x:c>
      <x:c r="K206" s="24" t="str">
        <x:v>CN V3; no spinal root</x:v>
      </x:c>
      <x:c r="L206" s="24" t="str">
        <x:v>Digastric intermediate tendon</x:v>
      </x:c>
      <x:c r="M206" s="24" t="str">
        <x:v>Fibrous sling to hyoid (not independent ligament)</x:v>
      </x:c>
      <x:c r="N206" s="30" t="str">
        <x:v>Not established</x:v>
      </x:c>
      <x:c r="O206" s="30" t="str">
        <x:v>Not established</x:v>
      </x:c>
      <x:c r="P206" s="30" t="str">
        <x:v>Mixed Type I and Type II; ratio unverified</x:v>
      </x:c>
      <x:c r="Q206" s="24" t="str">
        <x:v>Published biopsies insufficient to state a reliable per-muscle percentage; no inference from function</x:v>
      </x:c>
      <x:c r="R206" s="32" t="str">
        <x:v>https://www.kenhub.com/en/library/anatomy/anatomy-of-the-back-spine-and-back-muscles</x:v>
      </x:c>
      <x:c r="S206" s="32" t="str">
        <x:v>https://pubmed.ncbi.nlm.nih.gov/39359186/</x:v>
      </x:c>
    </x:row>
    <x:row r="207" ht="53" customHeight="1">
      <x:c r="A207" s="24" t="str">
        <x:v>Digastric posterior belly</x:v>
      </x:c>
      <x:c r="B207" s="24" t="str">
        <x:v>Suprahyoid</x:v>
      </x:c>
      <x:c r="C207" s="24" t="str">
        <x:v>Stabilizer</x:v>
      </x:c>
      <x:c r="D207" s="28" t="str">
        <x:v>No</x:v>
      </x:c>
      <x:c r="E207" s="28" t="str">
        <x:v>No</x:v>
      </x:c>
      <x:c r="F207" s="28" t="str">
        <x:v>Yes</x:v>
      </x:c>
      <x:c r="G207" s="24" t="str">
        <x:v>Elevates/retracts hyoid</x:v>
      </x:c>
      <x:c r="H207" s="24" t="str">
        <x:v>Mastoid notch temporal bone</x:v>
      </x:c>
      <x:c r="I207" s="24" t="str">
        <x:v>Intermediate tendon near hyoid</x:v>
      </x:c>
      <x:c r="J207" s="24" t="str">
        <x:v>Facial nerve (CN VII)</x:v>
      </x:c>
      <x:c r="K207" s="24" t="str">
        <x:v>CN VII; no spinal root</x:v>
      </x:c>
      <x:c r="L207" s="24" t="str">
        <x:v>Digastric intermediate tendon</x:v>
      </x:c>
      <x:c r="M207" s="24" t="str">
        <x:v>Fibrous hyoid sling</x:v>
      </x:c>
      <x:c r="N207" s="30" t="str">
        <x:v>Not established</x:v>
      </x:c>
      <x:c r="O207" s="30" t="str">
        <x:v>Not established</x:v>
      </x:c>
      <x:c r="P207" s="30" t="str">
        <x:v>Mixed Type I and Type II; ratio unverified</x:v>
      </x:c>
      <x:c r="Q207" s="24" t="str">
        <x:v>Published biopsies insufficient to state a reliable per-muscle percentage; no inference from function</x:v>
      </x:c>
      <x:c r="R207" s="32" t="str">
        <x:v>https://www.kenhub.com/en/library/anatomy/anatomy-of-the-back-spine-and-back-muscles</x:v>
      </x:c>
      <x:c r="S207" s="32" t="str">
        <x:v>https://pubmed.ncbi.nlm.nih.gov/39359186/</x:v>
      </x:c>
    </x:row>
    <x:row r="208" ht="53" customHeight="1">
      <x:c r="A208" s="24" t="str">
        <x:v>Stylohyoid</x:v>
      </x:c>
      <x:c r="B208" s="24" t="str">
        <x:v>Suprahyoid</x:v>
      </x:c>
      <x:c r="C208" s="24" t="str">
        <x:v>Stabilizer</x:v>
      </x:c>
      <x:c r="D208" s="28" t="str">
        <x:v>No</x:v>
      </x:c>
      <x:c r="E208" s="28" t="str">
        <x:v>No</x:v>
      </x:c>
      <x:c r="F208" s="28" t="str">
        <x:v>Yes</x:v>
      </x:c>
      <x:c r="G208" s="24" t="str">
        <x:v>Retracts/elevates hyoid during swallowing</x:v>
      </x:c>
      <x:c r="H208" s="24" t="str">
        <x:v>Styloid process temporal bone</x:v>
      </x:c>
      <x:c r="I208" s="24" t="str">
        <x:v>Body hyoid near greater horn</x:v>
      </x:c>
      <x:c r="J208" s="24" t="str">
        <x:v>Facial nerve (CN VII)</x:v>
      </x:c>
      <x:c r="K208" s="24" t="str">
        <x:v>CN VII; no spinal root</x:v>
      </x:c>
      <x:c r="L208" s="24" t="str">
        <x:v>Split distal tendon around digastric tendon</x:v>
      </x:c>
      <x:c r="M208" s="24" t="str">
        <x:v>Stylohyoid ligament parallels course (not necessarily a direct insertion)</x:v>
      </x:c>
      <x:c r="N208" s="30" t="str">
        <x:v>Not established</x:v>
      </x:c>
      <x:c r="O208" s="30" t="str">
        <x:v>Not established</x:v>
      </x:c>
      <x:c r="P208" s="30" t="str">
        <x:v>Mixed Type I and Type II; ratio unverified</x:v>
      </x:c>
      <x:c r="Q208" s="24" t="str">
        <x:v>Published biopsies insufficient to state a reliable per-muscle percentage; no inference from function</x:v>
      </x:c>
      <x:c r="R208" s="32" t="str">
        <x:v>https://www.kenhub.com/en/library/anatomy/anatomy-of-the-back-spine-and-back-muscles</x:v>
      </x:c>
      <x:c r="S208" s="32" t="str">
        <x:v>https://pubmed.ncbi.nlm.nih.gov/39359186/</x:v>
      </x:c>
    </x:row>
    <x:row r="209" ht="53" customHeight="1">
      <x:c r="A209" s="24" t="str">
        <x:v>Geniohyoid</x:v>
      </x:c>
      <x:c r="B209" s="24" t="str">
        <x:v>Suprahyoid floor of mouth</x:v>
      </x:c>
      <x:c r="C209" s="24" t="str">
        <x:v>Stabilizer</x:v>
      </x:c>
      <x:c r="D209" s="28" t="str">
        <x:v>No</x:v>
      </x:c>
      <x:c r="E209" s="28" t="str">
        <x:v>No</x:v>
      </x:c>
      <x:c r="F209" s="28" t="str">
        <x:v>Yes</x:v>
      </x:c>
      <x:c r="G209" s="24" t="str">
        <x:v>Pulls hyoid anterosuperiorly; shortens floor mouth</x:v>
      </x:c>
      <x:c r="H209" s="24" t="str">
        <x:v>Inferior mental spine of mandible</x:v>
      </x:c>
      <x:c r="I209" s="24" t="str">
        <x:v>Anterior body hyoid bone</x:v>
      </x:c>
      <x:c r="J209" s="24" t="str">
        <x:v>C1 fibers via hypoglossal nerve</x:v>
      </x:c>
      <x:c r="K209" s="24" t="str">
        <x:v>C1 via CN XII</x:v>
      </x:c>
      <x:c r="L209" s="24" t="str">
        <x:v>Short hyoid tendon</x:v>
      </x:c>
      <x:c r="M209" s="24" t="str">
        <x:v>No specific direct ligament attachment</x:v>
      </x:c>
      <x:c r="N209" s="30" t="str">
        <x:v>Not established</x:v>
      </x:c>
      <x:c r="O209" s="30" t="str">
        <x:v>Not established</x:v>
      </x:c>
      <x:c r="P209" s="30" t="str">
        <x:v>Mixed Type I and Type II; ratio unverified</x:v>
      </x:c>
      <x:c r="Q209" s="24" t="str">
        <x:v>Published biopsies insufficient to state a reliable per-muscle percentage; no inference from function</x:v>
      </x:c>
      <x:c r="R209" s="32" t="str">
        <x:v>https://www.kenhub.com/en/library/anatomy/anatomy-of-the-back-spine-and-back-muscles</x:v>
      </x:c>
      <x:c r="S209" s="32" t="str">
        <x:v>https://pubmed.ncbi.nlm.nih.gov/39359186/</x:v>
      </x:c>
    </x:row>
    <x:row r="210" ht="53" customHeight="1">
      <x:c r="A210" s="24" t="str">
        <x:v>Mylohyoid</x:v>
      </x:c>
      <x:c r="B210" s="24" t="str">
        <x:v>Suprahyoid floor of mouth</x:v>
      </x:c>
      <x:c r="C210" s="24" t="str">
        <x:v>Stabilizer</x:v>
      </x:c>
      <x:c r="D210" s="28" t="str">
        <x:v>No</x:v>
      </x:c>
      <x:c r="E210" s="28" t="str">
        <x:v>No</x:v>
      </x:c>
      <x:c r="F210" s="28" t="str">
        <x:v>Yes</x:v>
      </x:c>
      <x:c r="G210" s="24" t="str">
        <x:v>Elevates floor of mouth and hyoid; assists jaw depression</x:v>
      </x:c>
      <x:c r="H210" s="24" t="str">
        <x:v>Mylohyoid line inner mandible</x:v>
      </x:c>
      <x:c r="I210" s="24" t="str">
        <x:v>Midline mylohyoid raphe and hyoid bone</x:v>
      </x:c>
      <x:c r="J210" s="24" t="str">
        <x:v>Nerve to mylohyoid (inferior alveolar V3 branch)</x:v>
      </x:c>
      <x:c r="K210" s="24" t="str">
        <x:v>CN V3; no spinal root</x:v>
      </x:c>
      <x:c r="L210" s="24" t="str">
        <x:v>Median raphe / hyoid tendon</x:v>
      </x:c>
      <x:c r="M210" s="24" t="str">
        <x:v>Mandibular lingual ligament region adjacent</x:v>
      </x:c>
      <x:c r="N210" s="30" t="str">
        <x:v>Not established</x:v>
      </x:c>
      <x:c r="O210" s="30" t="str">
        <x:v>Not established</x:v>
      </x:c>
      <x:c r="P210" s="30" t="str">
        <x:v>Mixed Type I and Type II; ratio unverified</x:v>
      </x:c>
      <x:c r="Q210" s="24" t="str">
        <x:v>Published biopsies insufficient to state a reliable per-muscle percentage; no inference from function</x:v>
      </x:c>
      <x:c r="R210" s="32" t="str">
        <x:v>https://www.kenhub.com/en/library/anatomy/anatomy-of-the-back-spine-and-back-muscles</x:v>
      </x:c>
      <x:c r="S210" s="32" t="str">
        <x:v>https://pubmed.ncbi.nlm.nih.gov/39359186/</x:v>
      </x:c>
    </x:row>
    <x:row r="211" ht="53" customHeight="1">
      <x:c r="A211" s="24" t="str">
        <x:v>Semispinalis capitis</x:v>
      </x:c>
      <x:c r="B211" s="24" t="str">
        <x:v>Transversospinalis</x:v>
      </x:c>
      <x:c r="C211" s="24" t="str">
        <x:v>Extensor; Stabilizer</x:v>
      </x:c>
      <x:c r="D211" s="28" t="str">
        <x:v>No</x:v>
      </x:c>
      <x:c r="E211" s="28" t="str">
        <x:v>Yes</x:v>
      </x:c>
      <x:c r="F211" s="28" t="str">
        <x:v>Yes</x:v>
      </x:c>
      <x:c r="G211" s="24" t="str">
        <x:v>Extends head; contralateral rotation</x:v>
      </x:c>
      <x:c r="H211" s="24" t="str">
        <x:v>Transverse processes C7-T6; articular processes C4-C6</x:v>
      </x:c>
      <x:c r="I211" s="24" t="str">
        <x:v>Occipital bone between nuchal lines</x:v>
      </x:c>
      <x:c r="J211" s="24" t="str">
        <x:v>Posterior rami cervical spinal nerves</x:v>
      </x:c>
      <x:c r="K211" s="24" t="str">
        <x:v>C2-C6 segmental</x:v>
      </x:c>
      <x:c r="L211" s="24" t="str">
        <x:v>Broad occipital insertion and tendinous intersections</x:v>
      </x:c>
      <x:c r="M211" s="24" t="str">
        <x:v>Nuchal ligament contiguous fascia but not primary attachment</x:v>
      </x:c>
      <x:c r="N211" s="30" t="str">
        <x:v>Not established</x:v>
      </x:c>
      <x:c r="O211" s="30" t="str">
        <x:v>Not established</x:v>
      </x:c>
      <x:c r="P211" s="30" t="str">
        <x:v>Mixed Type I and Type II; ratio unverified</x:v>
      </x:c>
      <x:c r="Q211" s="24" t="str">
        <x:v>Published biopsies insufficient to state a reliable per-muscle percentage; no inference from function</x:v>
      </x:c>
      <x:c r="R211" s="32" t="str">
        <x:v>https://www.kenhub.com/en/library/anatomy/anatomy-of-the-back-spine-and-back-muscles</x:v>
      </x:c>
      <x:c r="S211" s="32" t="str">
        <x:v>https://pubmed.ncbi.nlm.nih.gov/39359186/</x:v>
      </x:c>
    </x:row>
    <x:row r="212" ht="53" customHeight="1">
      <x:c r="A212" s="24" t="str">
        <x:v>Semispinalis cervicis</x:v>
      </x:c>
      <x:c r="B212" s="24" t="str">
        <x:v>Transversospinalis</x:v>
      </x:c>
      <x:c r="C212" s="24" t="str">
        <x:v>Extensor; Stabilizer</x:v>
      </x:c>
      <x:c r="D212" s="28" t="str">
        <x:v>No</x:v>
      </x:c>
      <x:c r="E212" s="28" t="str">
        <x:v>Yes</x:v>
      </x:c>
      <x:c r="F212" s="28" t="str">
        <x:v>Yes</x:v>
      </x:c>
      <x:c r="G212" s="24" t="str">
        <x:v>Extends cervical region and contralateral rotation</x:v>
      </x:c>
      <x:c r="H212" s="24" t="str">
        <x:v>Transverse processes T1-T6</x:v>
      </x:c>
      <x:c r="I212" s="24" t="str">
        <x:v>Spinous processes C2-C5</x:v>
      </x:c>
      <x:c r="J212" s="24" t="str">
        <x:v>Posterior rami cervical spinal nerves</x:v>
      </x:c>
      <x:c r="K212" s="24" t="str">
        <x:v>C2-C8 segmental</x:v>
      </x:c>
      <x:c r="L212" s="24" t="str">
        <x:v>Cervical insertion tendons</x:v>
      </x:c>
      <x:c r="M212" s="24" t="str">
        <x:v>No uniform direct ligament attachment</x:v>
      </x:c>
      <x:c r="N212" s="30" t="str">
        <x:v>Not established</x:v>
      </x:c>
      <x:c r="O212" s="30" t="str">
        <x:v>Not established</x:v>
      </x:c>
      <x:c r="P212" s="30" t="str">
        <x:v>Mixed Type I and Type II; ratio unverified</x:v>
      </x:c>
      <x:c r="Q212" s="24" t="str">
        <x:v>Published biopsies insufficient to state a reliable per-muscle percentage; no inference from function</x:v>
      </x:c>
      <x:c r="R212" s="32" t="str">
        <x:v>https://www.kenhub.com/en/library/anatomy/anatomy-of-the-back-spine-and-back-muscles</x:v>
      </x:c>
      <x:c r="S212" s="32" t="str">
        <x:v>https://pubmed.ncbi.nlm.nih.gov/39359186/</x:v>
      </x:c>
    </x:row>
    <x:row r="213" ht="53" customHeight="1">
      <x:c r="A213" s="24" t="str">
        <x:v>Semispinalis thoracis</x:v>
      </x:c>
      <x:c r="B213" s="24" t="str">
        <x:v>Transversospinalis</x:v>
      </x:c>
      <x:c r="C213" s="24" t="str">
        <x:v>Extensor; Stabilizer</x:v>
      </x:c>
      <x:c r="D213" s="28" t="str">
        <x:v>No</x:v>
      </x:c>
      <x:c r="E213" s="28" t="str">
        <x:v>Yes</x:v>
      </x:c>
      <x:c r="F213" s="28" t="str">
        <x:v>Yes</x:v>
      </x:c>
      <x:c r="G213" s="24" t="str">
        <x:v>Extends spine and contralaterally rotates</x:v>
      </x:c>
      <x:c r="H213" s="24" t="str">
        <x:v>Transverse processes T6-T12</x:v>
      </x:c>
      <x:c r="I213" s="24" t="str">
        <x:v>Spinous processes C6-T4</x:v>
      </x:c>
      <x:c r="J213" s="24" t="str">
        <x:v>Posterior rami thoracic spinal nerves</x:v>
      </x:c>
      <x:c r="K213" s="24" t="str">
        <x:v>T1-T12 segmental</x:v>
      </x:c>
      <x:c r="L213" s="24" t="str">
        <x:v>Short segmental tendons</x:v>
      </x:c>
      <x:c r="M213" s="24" t="str">
        <x:v>Interspinous ligament vicinity, not uniform attachment</x:v>
      </x:c>
      <x:c r="N213" s="30" t="str">
        <x:v>Not established</x:v>
      </x:c>
      <x:c r="O213" s="30" t="str">
        <x:v>Not established</x:v>
      </x:c>
      <x:c r="P213" s="30" t="str">
        <x:v>Mixed Type I and Type II; ratio unverified</x:v>
      </x:c>
      <x:c r="Q213" s="24" t="str">
        <x:v>Published biopsies insufficient to state a reliable per-muscle percentage; no inference from function</x:v>
      </x:c>
      <x:c r="R213" s="32" t="str">
        <x:v>https://www.kenhub.com/en/library/anatomy/anatomy-of-the-back-spine-and-back-muscles</x:v>
      </x:c>
      <x:c r="S213" s="32" t="str">
        <x:v>https://pubmed.ncbi.nlm.nih.gov/39359186/</x:v>
      </x:c>
    </x:row>
    <x:row r="214" ht="53" customHeight="1">
      <x:c r="A214" s="24" t="str">
        <x:v>Multifidus cervical fascicles</x:v>
      </x:c>
      <x:c r="B214" s="24" t="str">
        <x:v>Transversospinalis deep</x:v>
      </x:c>
      <x:c r="C214" s="24" t="str">
        <x:v>Extensor; Stabilizer</x:v>
      </x:c>
      <x:c r="D214" s="28" t="str">
        <x:v>No</x:v>
      </x:c>
      <x:c r="E214" s="28" t="str">
        <x:v>Yes</x:v>
      </x:c>
      <x:c r="F214" s="28" t="str">
        <x:v>Yes</x:v>
      </x:c>
      <x:c r="G214" s="24" t="str">
        <x:v>Segmental vertebral stability; extension/contralateral rotation</x:v>
      </x:c>
      <x:c r="H214" s="24" t="str">
        <x:v>Articular processes C4-C7</x:v>
      </x:c>
      <x:c r="I214" s="24" t="str">
        <x:v>Spinous processes 2-4 levels above</x:v>
      </x:c>
      <x:c r="J214" s="24" t="str">
        <x:v>Medial branches posterior rami cervical nerves</x:v>
      </x:c>
      <x:c r="K214" s="24" t="str">
        <x:v>C2-C8 segmental</x:v>
      </x:c>
      <x:c r="L214" s="24" t="str">
        <x:v>Short segmental tendons</x:v>
      </x:c>
      <x:c r="M214" s="24" t="str">
        <x:v>Facet capsules adjacent; no uniform ligament insertion</x:v>
      </x:c>
      <x:c r="N214" s="30" t="str">
        <x:v>Not established</x:v>
      </x:c>
      <x:c r="O214" s="30" t="str">
        <x:v>Not established</x:v>
      </x:c>
      <x:c r="P214" s="30" t="str">
        <x:v>Mixed Type I and Type II; ratio unverified</x:v>
      </x:c>
      <x:c r="Q214" s="24" t="str">
        <x:v>Published biopsies insufficient to state a reliable per-muscle percentage; no inference from function</x:v>
      </x:c>
      <x:c r="R214" s="32" t="str">
        <x:v>https://www.kenhub.com/en/library/anatomy/anatomy-of-the-back-spine-and-back-muscles</x:v>
      </x:c>
      <x:c r="S214" s="32" t="str">
        <x:v>https://pubmed.ncbi.nlm.nih.gov/39359186/</x:v>
      </x:c>
    </x:row>
    <x:row r="215" ht="53" customHeight="1">
      <x:c r="A215" s="24" t="str">
        <x:v>Multifidus lumbar fascicles</x:v>
      </x:c>
      <x:c r="B215" s="24" t="str">
        <x:v>Transversospinalis deep</x:v>
      </x:c>
      <x:c r="C215" s="24" t="str">
        <x:v>Extensor; Stabilizer</x:v>
      </x:c>
      <x:c r="D215" s="28" t="str">
        <x:v>No</x:v>
      </x:c>
      <x:c r="E215" s="28" t="str">
        <x:v>Yes</x:v>
      </x:c>
      <x:c r="F215" s="28" t="str">
        <x:v>Yes</x:v>
      </x:c>
      <x:c r="G215" s="24" t="str">
        <x:v>Intersegmental lumbar stabilization and extension</x:v>
      </x:c>
      <x:c r="H215" s="24" t="str">
        <x:v>Sacrum; PSIS; mammillary processes lumbar vertebrae</x:v>
      </x:c>
      <x:c r="I215" s="24" t="str">
        <x:v>Spinous processes 2-4 levels above</x:v>
      </x:c>
      <x:c r="J215" s="24" t="str">
        <x:v>Medial branches posterior rami lumbar nerves</x:v>
      </x:c>
      <x:c r="K215" s="24" t="str">
        <x:v>L1-L5 segmental (sacral region additional branches)</x:v>
      </x:c>
      <x:c r="L215" s="24" t="str">
        <x:v>Lumbar multifidus segmental tendons</x:v>
      </x:c>
      <x:c r="M215" s="24" t="str">
        <x:v>Sacroiliac ligament/fascia origin components near PSIS; thoracolumbar fascia</x:v>
      </x:c>
      <x:c r="N215" s="30" t="str">
        <x:v>62% (sample mean, n=16)</x:v>
      </x:c>
      <x:c r="O215" s="30" t="str">
        <x:v>38% (approx complementary II types)</x:v>
      </x:c>
      <x:c r="P215" s="30" t="str">
        <x:v>Type I-enriched (study group mean)</x:v>
      </x:c>
      <x:c r="Q215" s="24" t="str">
        <x:v>1987 healthy-adult biopsies; multiple fascicles and levels pooled; not a universal value</x:v>
      </x:c>
      <x:c r="R215" s="32" t="str">
        <x:v>https://www.kenhub.com/en/library/anatomy/anatomy-of-the-back-spine-and-back-muscles</x:v>
      </x:c>
      <x:c r="S215" s="32" t="str">
        <x:v>https://pubmed.ncbi.nlm.nih.gov/2960128/</x:v>
      </x:c>
    </x:row>
    <x:row r="216" ht="53" customHeight="1">
      <x:c r="A216" s="24" t="str">
        <x:v>Multifidus thoracic fascicles</x:v>
      </x:c>
      <x:c r="B216" s="24" t="str">
        <x:v>Transversospinalis deep</x:v>
      </x:c>
      <x:c r="C216" s="24" t="str">
        <x:v>Extensor; Stabilizer</x:v>
      </x:c>
      <x:c r="D216" s="28" t="str">
        <x:v>No</x:v>
      </x:c>
      <x:c r="E216" s="28" t="str">
        <x:v>Yes</x:v>
      </x:c>
      <x:c r="F216" s="28" t="str">
        <x:v>Yes</x:v>
      </x:c>
      <x:c r="G216" s="24" t="str">
        <x:v>Segmental thoracic stability; extension/rotation</x:v>
      </x:c>
      <x:c r="H216" s="24" t="str">
        <x:v>Transverse processes thoracic vertebrae</x:v>
      </x:c>
      <x:c r="I216" s="24" t="str">
        <x:v>Spinous processes 2-4 levels above</x:v>
      </x:c>
      <x:c r="J216" s="24" t="str">
        <x:v>Medial branches posterior rami thoracic nerves</x:v>
      </x:c>
      <x:c r="K216" s="24" t="str">
        <x:v>T1-T12 segmental</x:v>
      </x:c>
      <x:c r="L216" s="24" t="str">
        <x:v>Short segmental tendons</x:v>
      </x:c>
      <x:c r="M216" s="24" t="str">
        <x:v>Facet capsules adjacent</x:v>
      </x:c>
      <x:c r="N216" s="30" t="str">
        <x:v>Not established</x:v>
      </x:c>
      <x:c r="O216" s="30" t="str">
        <x:v>Not established</x:v>
      </x:c>
      <x:c r="P216" s="30" t="str">
        <x:v>Mixed Type I and Type II; ratio unverified</x:v>
      </x:c>
      <x:c r="Q216" s="24" t="str">
        <x:v>Published biopsies insufficient to state a reliable per-muscle percentage; no inference from function</x:v>
      </x:c>
      <x:c r="R216" s="32" t="str">
        <x:v>https://www.kenhub.com/en/library/anatomy/anatomy-of-the-back-spine-and-back-muscles</x:v>
      </x:c>
      <x:c r="S216" s="32" t="str">
        <x:v>https://pubmed.ncbi.nlm.nih.gov/39359186/</x:v>
      </x:c>
    </x:row>
    <x:row r="217" ht="53" customHeight="1">
      <x:c r="A217" s="24" t="str">
        <x:v>Rotatores breves (thoracic, segmental)</x:v>
      </x:c>
      <x:c r="B217" s="24" t="str">
        <x:v>Transversospinalis deepest</x:v>
      </x:c>
      <x:c r="C217" s="24" t="str">
        <x:v>Stabilizer</x:v>
      </x:c>
      <x:c r="D217" s="28" t="str">
        <x:v>No</x:v>
      </x:c>
      <x:c r="E217" s="28" t="str">
        <x:v>No</x:v>
      </x:c>
      <x:c r="F217" s="28" t="str">
        <x:v>Yes</x:v>
      </x:c>
      <x:c r="G217" s="24" t="str">
        <x:v>Proprioception, segmental stabilization and rotation</x:v>
      </x:c>
      <x:c r="H217" s="24" t="str">
        <x:v>Thoracic transverse process</x:v>
      </x:c>
      <x:c r="I217" s="24" t="str">
        <x:v>Lamina/spinous process one level above</x:v>
      </x:c>
      <x:c r="J217" s="24" t="str">
        <x:v>Posterior rami thoracic spinal nerves</x:v>
      </x:c>
      <x:c r="K217" s="24" t="str">
        <x:v>T1-T12 segmental</x:v>
      </x:c>
      <x:c r="L217" s="24" t="str">
        <x:v>Minute interlaminar tendons</x:v>
      </x:c>
      <x:c r="M217" s="24" t="str">
        <x:v>Facet capsular ligament complex adjacent</x:v>
      </x:c>
      <x:c r="N217" s="30" t="str">
        <x:v>Not established</x:v>
      </x:c>
      <x:c r="O217" s="30" t="str">
        <x:v>Not established</x:v>
      </x:c>
      <x:c r="P217" s="30" t="str">
        <x:v>Mixed Type I and Type II; ratio unverified</x:v>
      </x:c>
      <x:c r="Q217" s="24" t="str">
        <x:v>Published biopsies insufficient to state a reliable per-muscle percentage; no inference from function</x:v>
      </x:c>
      <x:c r="R217" s="32" t="str">
        <x:v>https://www.kenhub.com/en/library/anatomy/anatomy-of-the-back-spine-and-back-muscles</x:v>
      </x:c>
      <x:c r="S217" s="32" t="str">
        <x:v>https://pubmed.ncbi.nlm.nih.gov/39359186/</x:v>
      </x:c>
    </x:row>
    <x:row r="218" ht="53" customHeight="1">
      <x:c r="A218" s="24" t="str">
        <x:v>Rotatores cervicis (variable)</x:v>
      </x:c>
      <x:c r="B218" s="24" t="str">
        <x:v>Transversospinalis deepest</x:v>
      </x:c>
      <x:c r="C218" s="24" t="str">
        <x:v>Stabilizer</x:v>
      </x:c>
      <x:c r="D218" s="28" t="str">
        <x:v>No</x:v>
      </x:c>
      <x:c r="E218" s="28" t="str">
        <x:v>No</x:v>
      </x:c>
      <x:c r="F218" s="28" t="str">
        <x:v>Yes</x:v>
      </x:c>
      <x:c r="G218" s="24" t="str">
        <x:v>Cervical proprioception/stability</x:v>
      </x:c>
      <x:c r="H218" s="24" t="str">
        <x:v>Cervical articular/transverse processes</x:v>
      </x:c>
      <x:c r="I218" s="24" t="str">
        <x:v>Adjacent superior cervical lamina</x:v>
      </x:c>
      <x:c r="J218" s="24" t="str">
        <x:v>Posterior rami cervical spinal nerves</x:v>
      </x:c>
      <x:c r="K218" s="24" t="str">
        <x:v>C2-C7 segmental</x:v>
      </x:c>
      <x:c r="L218" s="24" t="str">
        <x:v>Minute fascicular tendons</x:v>
      </x:c>
      <x:c r="M218" s="24" t="str">
        <x:v>Facet capsule vicinity</x:v>
      </x:c>
      <x:c r="N218" s="30" t="str">
        <x:v>Not established</x:v>
      </x:c>
      <x:c r="O218" s="30" t="str">
        <x:v>Not established</x:v>
      </x:c>
      <x:c r="P218" s="30" t="str">
        <x:v>Mixed Type I and Type II; ratio unverified</x:v>
      </x:c>
      <x:c r="Q218" s="24" t="str">
        <x:v>Published biopsies insufficient to state a reliable per-muscle percentage; no inference from function</x:v>
      </x:c>
      <x:c r="R218" s="32" t="str">
        <x:v>https://www.kenhub.com/en/library/anatomy/anatomy-of-the-back-spine-and-back-muscles</x:v>
      </x:c>
      <x:c r="S218" s="32" t="str">
        <x:v>https://pubmed.ncbi.nlm.nih.gov/39359186/</x:v>
      </x:c>
    </x:row>
    <x:row r="219" ht="53" customHeight="1">
      <x:c r="A219" s="24" t="str">
        <x:v>Rotatores longi (thoracic, segmental)</x:v>
      </x:c>
      <x:c r="B219" s="24" t="str">
        <x:v>Transversospinalis deepest</x:v>
      </x:c>
      <x:c r="C219" s="24" t="str">
        <x:v>Stabilizer</x:v>
      </x:c>
      <x:c r="D219" s="28" t="str">
        <x:v>No</x:v>
      </x:c>
      <x:c r="E219" s="28" t="str">
        <x:v>No</x:v>
      </x:c>
      <x:c r="F219" s="28" t="str">
        <x:v>Yes</x:v>
      </x:c>
      <x:c r="G219" s="24" t="str">
        <x:v>Proprioception; segmental rotation/stability</x:v>
      </x:c>
      <x:c r="H219" s="24" t="str">
        <x:v>Thoracic transverse process</x:v>
      </x:c>
      <x:c r="I219" s="24" t="str">
        <x:v>Lamina/spinous process two levels above</x:v>
      </x:c>
      <x:c r="J219" s="24" t="str">
        <x:v>Posterior rami thoracic spinal nerves</x:v>
      </x:c>
      <x:c r="K219" s="24" t="str">
        <x:v>T1-T12 segmental</x:v>
      </x:c>
      <x:c r="L219" s="24" t="str">
        <x:v>Minute segmental tendons</x:v>
      </x:c>
      <x:c r="M219" s="24" t="str">
        <x:v>Facet capsule adjacent</x:v>
      </x:c>
      <x:c r="N219" s="30" t="str">
        <x:v>Not established</x:v>
      </x:c>
      <x:c r="O219" s="30" t="str">
        <x:v>Not established</x:v>
      </x:c>
      <x:c r="P219" s="30" t="str">
        <x:v>Mixed Type I and Type II; ratio unverified</x:v>
      </x:c>
      <x:c r="Q219" s="24" t="str">
        <x:v>Published biopsies insufficient to state a reliable per-muscle percentage; no inference from function</x:v>
      </x:c>
      <x:c r="R219" s="32" t="str">
        <x:v>https://www.kenhub.com/en/library/anatomy/anatomy-of-the-back-spine-and-back-muscles</x:v>
      </x:c>
      <x:c r="S219" s="32" t="str">
        <x:v>https://pubmed.ncbi.nlm.nih.gov/39359186/</x:v>
      </x:c>
    </x:row>
    <x:row r="220" ht="53" customHeight="1">
      <x:c r="A220" s="24" t="str">
        <x:v>Rotatores lumborum (variable)</x:v>
      </x:c>
      <x:c r="B220" s="24" t="str">
        <x:v>Transversospinalis deepest</x:v>
      </x:c>
      <x:c r="C220" s="24" t="str">
        <x:v>Stabilizer</x:v>
      </x:c>
      <x:c r="D220" s="28" t="str">
        <x:v>No</x:v>
      </x:c>
      <x:c r="E220" s="28" t="str">
        <x:v>No</x:v>
      </x:c>
      <x:c r="F220" s="28" t="str">
        <x:v>Yes</x:v>
      </x:c>
      <x:c r="G220" s="24" t="str">
        <x:v>Lumbar segmental proprioception/stabilization</x:v>
      </x:c>
      <x:c r="H220" s="24" t="str">
        <x:v>Lumbar mamillary/transverse processes</x:v>
      </x:c>
      <x:c r="I220" s="24" t="str">
        <x:v>Superior lamina/spinous process</x:v>
      </x:c>
      <x:c r="J220" s="24" t="str">
        <x:v>Posterior rami lumbar spinal nerves</x:v>
      </x:c>
      <x:c r="K220" s="24" t="str">
        <x:v>L1-L5 segmental</x:v>
      </x:c>
      <x:c r="L220" s="24" t="str">
        <x:v>Short local tendons</x:v>
      </x:c>
      <x:c r="M220" s="24" t="str">
        <x:v>Facet capsular ligaments adjacent</x:v>
      </x:c>
      <x:c r="N220" s="30" t="str">
        <x:v>Not established</x:v>
      </x:c>
      <x:c r="O220" s="30" t="str">
        <x:v>Not established</x:v>
      </x:c>
      <x:c r="P220" s="30" t="str">
        <x:v>Mixed Type I and Type II; ratio unverified</x:v>
      </x:c>
      <x:c r="Q220" s="24" t="str">
        <x:v>Published biopsies insufficient to state a reliable per-muscle percentage; no inference from function</x:v>
      </x:c>
      <x:c r="R220" s="32" t="str">
        <x:v>https://www.kenhub.com/en/library/anatomy/anatomy-of-the-back-spine-and-back-muscles</x:v>
      </x:c>
      <x:c r="S220" s="32" t="str">
        <x:v>https://pubmed.ncbi.nlm.nih.gov/39359186/</x:v>
      </x:c>
    </x:row>
    <x:row r="221" ht="53" customHeight="1">
      <x:c r="A221" s="24" t="str">
        <x:v>Transversus thoracis</x:v>
      </x:c>
      <x:c r="B221" s="24" t="str">
        <x:v>Deep anterior thorax</x:v>
      </x:c>
      <x:c r="C221" s="24" t="str">
        <x:v>Stabilizer</x:v>
      </x:c>
      <x:c r="D221" s="28" t="str">
        <x:v>No</x:v>
      </x:c>
      <x:c r="E221" s="28" t="str">
        <x:v>No</x:v>
      </x:c>
      <x:c r="F221" s="28" t="str">
        <x:v>Yes</x:v>
      </x:c>
      <x:c r="G221" s="24" t="str">
        <x:v>Weakly depresses ribs; stabilizes anterior wall</x:v>
      </x:c>
      <x:c r="H221" s="24" t="str">
        <x:v>Posterior sternum and xiphoid</x:v>
      </x:c>
      <x:c r="I221" s="24" t="str">
        <x:v>Internal costal cartilages ribs 2-6</x:v>
      </x:c>
      <x:c r="J221" s="24" t="str">
        <x:v>Intercostal nerves</x:v>
      </x:c>
      <x:c r="K221" s="24" t="str">
        <x:v>T2-T6</x:v>
      </x:c>
      <x:c r="L221" s="24" t="str">
        <x:v>Thin tendinous slips to cartilages</x:v>
      </x:c>
      <x:c r="M221" s="24" t="str">
        <x:v>Radiate sternocostal ligaments anterior to attachments</x:v>
      </x:c>
      <x:c r="N221" s="30" t="str">
        <x:v>Not established</x:v>
      </x:c>
      <x:c r="O221" s="30" t="str">
        <x:v>Not established</x:v>
      </x:c>
      <x:c r="P221" s="30" t="str">
        <x:v>Mixed Type I and Type II; ratio unverified</x:v>
      </x:c>
      <x:c r="Q221" s="24" t="str">
        <x:v>Published biopsies insufficient to state a reliable per-muscle percentage; no inference from function</x:v>
      </x:c>
      <x:c r="R221" s="32" t="str">
        <x:v>https://www.kenhub.com/en/library/anatomy/thorax</x:v>
      </x:c>
      <x:c r="S221" s="32" t="str">
        <x:v>https://pubmed.ncbi.nlm.nih.gov/39359186/</x:v>
      </x:c>
    </x:row>
    <x:row r="222" ht="53" customHeight="1">
      <x:c r="A222" s="24" t="str">
        <x:v>Subcostales (variable rib-spanning slips)</x:v>
      </x:c>
      <x:c r="B222" s="24" t="str">
        <x:v>Deep posterior thorax</x:v>
      </x:c>
      <x:c r="C222" s="24" t="str">
        <x:v>Stabilizer</x:v>
      </x:c>
      <x:c r="D222" s="28" t="str">
        <x:v>No</x:v>
      </x:c>
      <x:c r="E222" s="28" t="str">
        <x:v>No</x:v>
      </x:c>
      <x:c r="F222" s="28" t="str">
        <x:v>Yes</x:v>
      </x:c>
      <x:c r="G222" s="24" t="str">
        <x:v>Depress ribs; stabilize thoracic wall</x:v>
      </x:c>
      <x:c r="H222" s="24" t="str">
        <x:v>Inner surface of lower ribs near angles</x:v>
      </x:c>
      <x:c r="I222" s="24" t="str">
        <x:v>Inner surface of rib 2-3 levels below</x:v>
      </x:c>
      <x:c r="J222" s="24" t="str">
        <x:v>Intercostal nerves</x:v>
      </x:c>
      <x:c r="K222" s="24" t="str">
        <x:v>T7-T11 segmental</x:v>
      </x:c>
      <x:c r="L222" s="24" t="str">
        <x:v>Short rib tendinous slips</x:v>
      </x:c>
      <x:c r="M222" s="24" t="str">
        <x:v>Costotransverse ligament adjacent</x:v>
      </x:c>
      <x:c r="N222" s="30" t="str">
        <x:v>Not established</x:v>
      </x:c>
      <x:c r="O222" s="30" t="str">
        <x:v>Not established</x:v>
      </x:c>
      <x:c r="P222" s="30" t="str">
        <x:v>Mixed Type I and Type II; ratio unverified</x:v>
      </x:c>
      <x:c r="Q222" s="24" t="str">
        <x:v>Published biopsies insufficient to state a reliable per-muscle percentage; no inference from function</x:v>
      </x:c>
      <x:c r="R222" s="32" t="str">
        <x:v>https://www.kenhub.com/en/library/anatomy/thorax</x:v>
      </x:c>
      <x:c r="S222" s="32" t="str">
        <x:v>https://pubmed.ncbi.nlm.nih.gov/39359186/</x:v>
      </x:c>
    </x:row>
    <x:row r="223" ht="53" customHeight="1">
      <x:c r="A223" s="24" t="str">
        <x:v>Serratus posterior inferior</x:v>
      </x:c>
      <x:c r="B223" s="24" t="str">
        <x:v>Intermediate extrinsic back</x:v>
      </x:c>
      <x:c r="C223" s="24" t="str">
        <x:v>Stabilizer</x:v>
      </x:c>
      <x:c r="D223" s="28" t="str">
        <x:v>No</x:v>
      </x:c>
      <x:c r="E223" s="28" t="str">
        <x:v>No</x:v>
      </x:c>
      <x:c r="F223" s="28" t="str">
        <x:v>Yes</x:v>
      </x:c>
      <x:c r="G223" s="24" t="str">
        <x:v>Proprioception; may depress lower ribs</x:v>
      </x:c>
      <x:c r="H223" s="24" t="str">
        <x:v>T11-L2 spinous processes; thoracolumbar fascia</x:v>
      </x:c>
      <x:c r="I223" s="24" t="str">
        <x:v>Inferior borders ribs 9-12</x:v>
      </x:c>
      <x:c r="J223" s="24" t="str">
        <x:v>Anterior rami intercostal/subcostal nerves</x:v>
      </x:c>
      <x:c r="K223" s="24" t="str">
        <x:v>T9-T12</x:v>
      </x:c>
      <x:c r="L223" s="24" t="str">
        <x:v>Broad aponeurotic origins/insertions</x:v>
      </x:c>
      <x:c r="M223" s="24" t="str">
        <x:v>Thoracolumbar fascia; supraspinous ligaments adjacent</x:v>
      </x:c>
      <x:c r="N223" s="30" t="str">
        <x:v>Not established</x:v>
      </x:c>
      <x:c r="O223" s="30" t="str">
        <x:v>Not established</x:v>
      </x:c>
      <x:c r="P223" s="30" t="str">
        <x:v>Mixed Type I and Type II; ratio unverified</x:v>
      </x:c>
      <x:c r="Q223" s="24" t="str">
        <x:v>Published biopsies insufficient to state a reliable per-muscle percentage; no inference from function</x:v>
      </x:c>
      <x:c r="R223" s="32" t="str">
        <x:v>https://www.kenhub.com/en/library/anatomy/thorax</x:v>
      </x:c>
      <x:c r="S223" s="32" t="str">
        <x:v>https://pubmed.ncbi.nlm.nih.gov/39359186/</x:v>
      </x:c>
    </x:row>
    <x:row r="224" ht="53" customHeight="1">
      <x:c r="A224" s="24" t="str">
        <x:v>Serratus posterior superior</x:v>
      </x:c>
      <x:c r="B224" s="24" t="str">
        <x:v>Intermediate extrinsic back</x:v>
      </x:c>
      <x:c r="C224" s="24" t="str">
        <x:v>Stabilizer</x:v>
      </x:c>
      <x:c r="D224" s="28" t="str">
        <x:v>No</x:v>
      </x:c>
      <x:c r="E224" s="28" t="str">
        <x:v>No</x:v>
      </x:c>
      <x:c r="F224" s="28" t="str">
        <x:v>Yes</x:v>
      </x:c>
      <x:c r="G224" s="24" t="str">
        <x:v>Proprioception; weak rib elevation</x:v>
      </x:c>
      <x:c r="H224" s="24" t="str">
        <x:v>Lower nuchal ligament; C7-T3 spinous processes</x:v>
      </x:c>
      <x:c r="I224" s="24" t="str">
        <x:v>Upper borders ribs 2-5 near angles</x:v>
      </x:c>
      <x:c r="J224" s="24" t="str">
        <x:v>Intercostal nerves</x:v>
      </x:c>
      <x:c r="K224" s="24" t="str">
        <x:v>T2-T5</x:v>
      </x:c>
      <x:c r="L224" s="24" t="str">
        <x:v>Thin aponeurosis</x:v>
      </x:c>
      <x:c r="M224" s="24" t="str">
        <x:v>Nuchal ligament direct origin</x:v>
      </x:c>
      <x:c r="N224" s="30" t="str">
        <x:v>Not established</x:v>
      </x:c>
      <x:c r="O224" s="30" t="str">
        <x:v>Not established</x:v>
      </x:c>
      <x:c r="P224" s="30" t="str">
        <x:v>Mixed Type I and Type II; ratio unverified</x:v>
      </x:c>
      <x:c r="Q224" s="24" t="str">
        <x:v>Published biopsies insufficient to state a reliable per-muscle percentage; no inference from function</x:v>
      </x:c>
      <x:c r="R224" s="32" t="str">
        <x:v>https://www.kenhub.com/en/library/anatomy/thorax</x:v>
      </x:c>
      <x:c r="S224" s="32" t="str">
        <x:v>https://pubmed.ncbi.nlm.nih.gov/39359186/</x:v>
      </x:c>
    </x:row>
    <x:row r="225" ht="53" customHeight="1">
      <x:c r="A225" s="24" t="str">
        <x:v>External intercostal (interspace 1, R1-R2)</x:v>
      </x:c>
      <x:c r="B225" s="24" t="str">
        <x:v>Segment-level fascicle</x:v>
      </x:c>
      <x:c r="C225" s="24" t="str">
        <x:v>Stabilizer</x:v>
      </x:c>
      <x:c r="D225" s="28" t="str">
        <x:v>No</x:v>
      </x:c>
      <x:c r="E225" s="28" t="str">
        <x:v>No</x:v>
      </x:c>
      <x:c r="F225" s="28" t="str">
        <x:v>Yes</x:v>
      </x:c>
      <x:c r="G225" s="24" t="str">
        <x:v>Elevates ribs during inspiration; interspace stiffness</x:v>
      </x:c>
      <x:c r="H225" s="24" t="str">
        <x:v>Inferior margin of rib 1</x:v>
      </x:c>
      <x:c r="I225" s="24" t="str">
        <x:v>Superior margin of rib 2</x:v>
      </x:c>
      <x:c r="J225" s="24" t="str">
        <x:v>Intercostal nerve 1</x:v>
      </x:c>
      <x:c r="K225" s="24" t="str">
        <x:v>T1</x:v>
      </x:c>
      <x:c r="L225" s="24" t="str">
        <x:v>Segmental rib-to-rib muscle attachment</x:v>
      </x:c>
      <x:c r="M225" s="24" t="str">
        <x:v>Costal periosteum/intercostal membrane; no specific direct ligament</x:v>
      </x:c>
      <x:c r="N225" s="30" t="str">
        <x:v>Not established</x:v>
      </x:c>
      <x:c r="O225" s="30" t="str">
        <x:v>Not established</x:v>
      </x:c>
      <x:c r="P225" s="30" t="str">
        <x:v>Mixed Type I and Type II; ratio unverified</x:v>
      </x:c>
      <x:c r="Q225" s="24" t="str">
        <x:v>Published biopsies insufficient to state a reliable per-muscle percentage; no inference from function</x:v>
      </x:c>
      <x:c r="R225" s="32" t="str">
        <x:v>https://www.kenhub.com/en/library/anatomy/thorax</x:v>
      </x:c>
      <x:c r="S225" s="32" t="str">
        <x:v>https://pubmed.ncbi.nlm.nih.gov/39359186/</x:v>
      </x:c>
    </x:row>
    <x:row r="226" ht="53" customHeight="1">
      <x:c r="A226" s="24" t="str">
        <x:v>External intercostal (interspace 10, R10-R11)</x:v>
      </x:c>
      <x:c r="B226" s="24" t="str">
        <x:v>Segment-level fascicle</x:v>
      </x:c>
      <x:c r="C226" s="24" t="str">
        <x:v>Stabilizer</x:v>
      </x:c>
      <x:c r="D226" s="28" t="str">
        <x:v>No</x:v>
      </x:c>
      <x:c r="E226" s="28" t="str">
        <x:v>No</x:v>
      </x:c>
      <x:c r="F226" s="28" t="str">
        <x:v>Yes</x:v>
      </x:c>
      <x:c r="G226" s="24" t="str">
        <x:v>Elevates ribs during inspiration; interspace stiffness</x:v>
      </x:c>
      <x:c r="H226" s="24" t="str">
        <x:v>Inferior margin of rib 10</x:v>
      </x:c>
      <x:c r="I226" s="24" t="str">
        <x:v>Superior margin of rib 11</x:v>
      </x:c>
      <x:c r="J226" s="24" t="str">
        <x:v>Intercostal nerve 10</x:v>
      </x:c>
      <x:c r="K226" s="24" t="str">
        <x:v>T10</x:v>
      </x:c>
      <x:c r="L226" s="24" t="str">
        <x:v>Segmental rib-to-rib muscle attachment</x:v>
      </x:c>
      <x:c r="M226" s="24" t="str">
        <x:v>Costal periosteum/intercostal membrane; no specific direct ligament</x:v>
      </x:c>
      <x:c r="N226" s="30" t="str">
        <x:v>Not established</x:v>
      </x:c>
      <x:c r="O226" s="30" t="str">
        <x:v>Not established</x:v>
      </x:c>
      <x:c r="P226" s="30" t="str">
        <x:v>Mixed Type I and Type II; ratio unverified</x:v>
      </x:c>
      <x:c r="Q226" s="24" t="str">
        <x:v>Published biopsies insufficient to state a reliable per-muscle percentage; no inference from function</x:v>
      </x:c>
      <x:c r="R226" s="32" t="str">
        <x:v>https://www.kenhub.com/en/library/anatomy/thorax</x:v>
      </x:c>
      <x:c r="S226" s="32" t="str">
        <x:v>https://pubmed.ncbi.nlm.nih.gov/39359186/</x:v>
      </x:c>
    </x:row>
    <x:row r="227" ht="53" customHeight="1">
      <x:c r="A227" s="24" t="str">
        <x:v>External intercostal (interspace 11, R11-R12)</x:v>
      </x:c>
      <x:c r="B227" s="24" t="str">
        <x:v>Segment-level fascicle</x:v>
      </x:c>
      <x:c r="C227" s="24" t="str">
        <x:v>Stabilizer</x:v>
      </x:c>
      <x:c r="D227" s="28" t="str">
        <x:v>No</x:v>
      </x:c>
      <x:c r="E227" s="28" t="str">
        <x:v>No</x:v>
      </x:c>
      <x:c r="F227" s="28" t="str">
        <x:v>Yes</x:v>
      </x:c>
      <x:c r="G227" s="24" t="str">
        <x:v>Elevates ribs during inspiration; interspace stiffness</x:v>
      </x:c>
      <x:c r="H227" s="24" t="str">
        <x:v>Inferior margin of rib 11</x:v>
      </x:c>
      <x:c r="I227" s="24" t="str">
        <x:v>Superior margin of rib 12</x:v>
      </x:c>
      <x:c r="J227" s="24" t="str">
        <x:v>Intercostal nerve 11</x:v>
      </x:c>
      <x:c r="K227" s="24" t="str">
        <x:v>T11</x:v>
      </x:c>
      <x:c r="L227" s="24" t="str">
        <x:v>Segmental rib-to-rib muscle attachment</x:v>
      </x:c>
      <x:c r="M227" s="24" t="str">
        <x:v>Costal periosteum/intercostal membrane; no specific direct ligament</x:v>
      </x:c>
      <x:c r="N227" s="30" t="str">
        <x:v>Not established</x:v>
      </x:c>
      <x:c r="O227" s="30" t="str">
        <x:v>Not established</x:v>
      </x:c>
      <x:c r="P227" s="30" t="str">
        <x:v>Mixed Type I and Type II; ratio unverified</x:v>
      </x:c>
      <x:c r="Q227" s="24" t="str">
        <x:v>Published biopsies insufficient to state a reliable per-muscle percentage; no inference from function</x:v>
      </x:c>
      <x:c r="R227" s="32" t="str">
        <x:v>https://www.kenhub.com/en/library/anatomy/thorax</x:v>
      </x:c>
      <x:c r="S227" s="32" t="str">
        <x:v>https://pubmed.ncbi.nlm.nih.gov/39359186/</x:v>
      </x:c>
    </x:row>
    <x:row r="228" ht="53" customHeight="1">
      <x:c r="A228" s="24" t="str">
        <x:v>External intercostal (interspace 2, R2-R3)</x:v>
      </x:c>
      <x:c r="B228" s="24" t="str">
        <x:v>Segment-level fascicle</x:v>
      </x:c>
      <x:c r="C228" s="24" t="str">
        <x:v>Stabilizer</x:v>
      </x:c>
      <x:c r="D228" s="28" t="str">
        <x:v>No</x:v>
      </x:c>
      <x:c r="E228" s="28" t="str">
        <x:v>No</x:v>
      </x:c>
      <x:c r="F228" s="28" t="str">
        <x:v>Yes</x:v>
      </x:c>
      <x:c r="G228" s="24" t="str">
        <x:v>Elevates ribs during inspiration; interspace stiffness</x:v>
      </x:c>
      <x:c r="H228" s="24" t="str">
        <x:v>Inferior margin of rib 2</x:v>
      </x:c>
      <x:c r="I228" s="24" t="str">
        <x:v>Superior margin of rib 3</x:v>
      </x:c>
      <x:c r="J228" s="24" t="str">
        <x:v>Intercostal nerve 2</x:v>
      </x:c>
      <x:c r="K228" s="24" t="str">
        <x:v>T2</x:v>
      </x:c>
      <x:c r="L228" s="24" t="str">
        <x:v>Segmental rib-to-rib muscle attachment</x:v>
      </x:c>
      <x:c r="M228" s="24" t="str">
        <x:v>Costal periosteum/intercostal membrane; no specific direct ligament</x:v>
      </x:c>
      <x:c r="N228" s="30" t="str">
        <x:v>Not established</x:v>
      </x:c>
      <x:c r="O228" s="30" t="str">
        <x:v>Not established</x:v>
      </x:c>
      <x:c r="P228" s="30" t="str">
        <x:v>Mixed Type I and Type II; ratio unverified</x:v>
      </x:c>
      <x:c r="Q228" s="24" t="str">
        <x:v>Published biopsies insufficient to state a reliable per-muscle percentage; no inference from function</x:v>
      </x:c>
      <x:c r="R228" s="32" t="str">
        <x:v>https://www.kenhub.com/en/library/anatomy/thorax</x:v>
      </x:c>
      <x:c r="S228" s="32" t="str">
        <x:v>https://pubmed.ncbi.nlm.nih.gov/39359186/</x:v>
      </x:c>
    </x:row>
    <x:row r="229" ht="53" customHeight="1">
      <x:c r="A229" s="24" t="str">
        <x:v>External intercostal (interspace 3, R3-R4)</x:v>
      </x:c>
      <x:c r="B229" s="24" t="str">
        <x:v>Segment-level fascicle</x:v>
      </x:c>
      <x:c r="C229" s="24" t="str">
        <x:v>Stabilizer</x:v>
      </x:c>
      <x:c r="D229" s="28" t="str">
        <x:v>No</x:v>
      </x:c>
      <x:c r="E229" s="28" t="str">
        <x:v>No</x:v>
      </x:c>
      <x:c r="F229" s="28" t="str">
        <x:v>Yes</x:v>
      </x:c>
      <x:c r="G229" s="24" t="str">
        <x:v>Elevates ribs during inspiration; interspace stiffness</x:v>
      </x:c>
      <x:c r="H229" s="24" t="str">
        <x:v>Inferior margin of rib 3</x:v>
      </x:c>
      <x:c r="I229" s="24" t="str">
        <x:v>Superior margin of rib 4</x:v>
      </x:c>
      <x:c r="J229" s="24" t="str">
        <x:v>Intercostal nerve 3</x:v>
      </x:c>
      <x:c r="K229" s="24" t="str">
        <x:v>T3</x:v>
      </x:c>
      <x:c r="L229" s="24" t="str">
        <x:v>Segmental rib-to-rib muscle attachment</x:v>
      </x:c>
      <x:c r="M229" s="24" t="str">
        <x:v>Costal periosteum/intercostal membrane; no specific direct ligament</x:v>
      </x:c>
      <x:c r="N229" s="30" t="str">
        <x:v>Not established</x:v>
      </x:c>
      <x:c r="O229" s="30" t="str">
        <x:v>Not established</x:v>
      </x:c>
      <x:c r="P229" s="30" t="str">
        <x:v>Mixed Type I and Type II; ratio unverified</x:v>
      </x:c>
      <x:c r="Q229" s="24" t="str">
        <x:v>Published biopsies insufficient to state a reliable per-muscle percentage; no inference from function</x:v>
      </x:c>
      <x:c r="R229" s="32" t="str">
        <x:v>https://www.kenhub.com/en/library/anatomy/thorax</x:v>
      </x:c>
      <x:c r="S229" s="32" t="str">
        <x:v>https://pubmed.ncbi.nlm.nih.gov/39359186/</x:v>
      </x:c>
    </x:row>
    <x:row r="230" ht="53" customHeight="1">
      <x:c r="A230" s="24" t="str">
        <x:v>External intercostal (interspace 4, R4-R5)</x:v>
      </x:c>
      <x:c r="B230" s="24" t="str">
        <x:v>Segment-level fascicle</x:v>
      </x:c>
      <x:c r="C230" s="24" t="str">
        <x:v>Stabilizer</x:v>
      </x:c>
      <x:c r="D230" s="28" t="str">
        <x:v>No</x:v>
      </x:c>
      <x:c r="E230" s="28" t="str">
        <x:v>No</x:v>
      </x:c>
      <x:c r="F230" s="28" t="str">
        <x:v>Yes</x:v>
      </x:c>
      <x:c r="G230" s="24" t="str">
        <x:v>Elevates ribs during inspiration; interspace stiffness</x:v>
      </x:c>
      <x:c r="H230" s="24" t="str">
        <x:v>Inferior margin of rib 4</x:v>
      </x:c>
      <x:c r="I230" s="24" t="str">
        <x:v>Superior margin of rib 5</x:v>
      </x:c>
      <x:c r="J230" s="24" t="str">
        <x:v>Intercostal nerve 4</x:v>
      </x:c>
      <x:c r="K230" s="24" t="str">
        <x:v>T4</x:v>
      </x:c>
      <x:c r="L230" s="24" t="str">
        <x:v>Segmental rib-to-rib muscle attachment</x:v>
      </x:c>
      <x:c r="M230" s="24" t="str">
        <x:v>Costal periosteum/intercostal membrane; no specific direct ligament</x:v>
      </x:c>
      <x:c r="N230" s="30" t="str">
        <x:v>Not established</x:v>
      </x:c>
      <x:c r="O230" s="30" t="str">
        <x:v>Not established</x:v>
      </x:c>
      <x:c r="P230" s="30" t="str">
        <x:v>Mixed Type I and Type II; ratio unverified</x:v>
      </x:c>
      <x:c r="Q230" s="24" t="str">
        <x:v>Published biopsies insufficient to state a reliable per-muscle percentage; no inference from function</x:v>
      </x:c>
      <x:c r="R230" s="32" t="str">
        <x:v>https://www.kenhub.com/en/library/anatomy/thorax</x:v>
      </x:c>
      <x:c r="S230" s="32" t="str">
        <x:v>https://pubmed.ncbi.nlm.nih.gov/39359186/</x:v>
      </x:c>
    </x:row>
    <x:row r="231" ht="53" customHeight="1">
      <x:c r="A231" s="24" t="str">
        <x:v>External intercostal (interspace 5, R5-R6)</x:v>
      </x:c>
      <x:c r="B231" s="24" t="str">
        <x:v>Segment-level fascicle</x:v>
      </x:c>
      <x:c r="C231" s="24" t="str">
        <x:v>Stabilizer</x:v>
      </x:c>
      <x:c r="D231" s="28" t="str">
        <x:v>No</x:v>
      </x:c>
      <x:c r="E231" s="28" t="str">
        <x:v>No</x:v>
      </x:c>
      <x:c r="F231" s="28" t="str">
        <x:v>Yes</x:v>
      </x:c>
      <x:c r="G231" s="24" t="str">
        <x:v>Elevates ribs during inspiration; interspace stiffness</x:v>
      </x:c>
      <x:c r="H231" s="24" t="str">
        <x:v>Inferior margin of rib 5</x:v>
      </x:c>
      <x:c r="I231" s="24" t="str">
        <x:v>Superior margin of rib 6</x:v>
      </x:c>
      <x:c r="J231" s="24" t="str">
        <x:v>Intercostal nerve 5</x:v>
      </x:c>
      <x:c r="K231" s="24" t="str">
        <x:v>T5</x:v>
      </x:c>
      <x:c r="L231" s="24" t="str">
        <x:v>Segmental rib-to-rib muscle attachment</x:v>
      </x:c>
      <x:c r="M231" s="24" t="str">
        <x:v>Costal periosteum/intercostal membrane; no specific direct ligament</x:v>
      </x:c>
      <x:c r="N231" s="30" t="str">
        <x:v>Not established</x:v>
      </x:c>
      <x:c r="O231" s="30" t="str">
        <x:v>Not established</x:v>
      </x:c>
      <x:c r="P231" s="30" t="str">
        <x:v>Mixed Type I and Type II; ratio unverified</x:v>
      </x:c>
      <x:c r="Q231" s="24" t="str">
        <x:v>Published biopsies insufficient to state a reliable per-muscle percentage; no inference from function</x:v>
      </x:c>
      <x:c r="R231" s="32" t="str">
        <x:v>https://www.kenhub.com/en/library/anatomy/thorax</x:v>
      </x:c>
      <x:c r="S231" s="32" t="str">
        <x:v>https://pubmed.ncbi.nlm.nih.gov/39359186/</x:v>
      </x:c>
    </x:row>
    <x:row r="232" ht="53" customHeight="1">
      <x:c r="A232" s="24" t="str">
        <x:v>External intercostal (interspace 6, R6-R7)</x:v>
      </x:c>
      <x:c r="B232" s="24" t="str">
        <x:v>Segment-level fascicle</x:v>
      </x:c>
      <x:c r="C232" s="24" t="str">
        <x:v>Stabilizer</x:v>
      </x:c>
      <x:c r="D232" s="28" t="str">
        <x:v>No</x:v>
      </x:c>
      <x:c r="E232" s="28" t="str">
        <x:v>No</x:v>
      </x:c>
      <x:c r="F232" s="28" t="str">
        <x:v>Yes</x:v>
      </x:c>
      <x:c r="G232" s="24" t="str">
        <x:v>Elevates ribs during inspiration; interspace stiffness</x:v>
      </x:c>
      <x:c r="H232" s="24" t="str">
        <x:v>Inferior margin of rib 6</x:v>
      </x:c>
      <x:c r="I232" s="24" t="str">
        <x:v>Superior margin of rib 7</x:v>
      </x:c>
      <x:c r="J232" s="24" t="str">
        <x:v>Intercostal nerve 6</x:v>
      </x:c>
      <x:c r="K232" s="24" t="str">
        <x:v>T6</x:v>
      </x:c>
      <x:c r="L232" s="24" t="str">
        <x:v>Segmental rib-to-rib muscle attachment</x:v>
      </x:c>
      <x:c r="M232" s="24" t="str">
        <x:v>Costal periosteum/intercostal membrane; no specific direct ligament</x:v>
      </x:c>
      <x:c r="N232" s="30" t="str">
        <x:v>Not established</x:v>
      </x:c>
      <x:c r="O232" s="30" t="str">
        <x:v>Not established</x:v>
      </x:c>
      <x:c r="P232" s="30" t="str">
        <x:v>Mixed Type I and Type II; ratio unverified</x:v>
      </x:c>
      <x:c r="Q232" s="24" t="str">
        <x:v>Published biopsies insufficient to state a reliable per-muscle percentage; no inference from function</x:v>
      </x:c>
      <x:c r="R232" s="32" t="str">
        <x:v>https://www.kenhub.com/en/library/anatomy/thorax</x:v>
      </x:c>
      <x:c r="S232" s="32" t="str">
        <x:v>https://pubmed.ncbi.nlm.nih.gov/39359186/</x:v>
      </x:c>
    </x:row>
    <x:row r="233" ht="53" customHeight="1">
      <x:c r="A233" s="24" t="str">
        <x:v>External intercostal (interspace 7, R7-R8)</x:v>
      </x:c>
      <x:c r="B233" s="24" t="str">
        <x:v>Segment-level fascicle</x:v>
      </x:c>
      <x:c r="C233" s="24" t="str">
        <x:v>Stabilizer</x:v>
      </x:c>
      <x:c r="D233" s="28" t="str">
        <x:v>No</x:v>
      </x:c>
      <x:c r="E233" s="28" t="str">
        <x:v>No</x:v>
      </x:c>
      <x:c r="F233" s="28" t="str">
        <x:v>Yes</x:v>
      </x:c>
      <x:c r="G233" s="24" t="str">
        <x:v>Elevates ribs during inspiration; interspace stiffness</x:v>
      </x:c>
      <x:c r="H233" s="24" t="str">
        <x:v>Inferior margin of rib 7</x:v>
      </x:c>
      <x:c r="I233" s="24" t="str">
        <x:v>Superior margin of rib 8</x:v>
      </x:c>
      <x:c r="J233" s="24" t="str">
        <x:v>Intercostal nerve 7</x:v>
      </x:c>
      <x:c r="K233" s="24" t="str">
        <x:v>T7</x:v>
      </x:c>
      <x:c r="L233" s="24" t="str">
        <x:v>Segmental rib-to-rib muscle attachment</x:v>
      </x:c>
      <x:c r="M233" s="24" t="str">
        <x:v>Costal periosteum/intercostal membrane; no specific direct ligament</x:v>
      </x:c>
      <x:c r="N233" s="30" t="str">
        <x:v>Not established</x:v>
      </x:c>
      <x:c r="O233" s="30" t="str">
        <x:v>Not established</x:v>
      </x:c>
      <x:c r="P233" s="30" t="str">
        <x:v>Mixed Type I and Type II; ratio unverified</x:v>
      </x:c>
      <x:c r="Q233" s="24" t="str">
        <x:v>Published biopsies insufficient to state a reliable per-muscle percentage; no inference from function</x:v>
      </x:c>
      <x:c r="R233" s="32" t="str">
        <x:v>https://www.kenhub.com/en/library/anatomy/thorax</x:v>
      </x:c>
      <x:c r="S233" s="32" t="str">
        <x:v>https://pubmed.ncbi.nlm.nih.gov/39359186/</x:v>
      </x:c>
    </x:row>
    <x:row r="234" ht="53" customHeight="1">
      <x:c r="A234" s="24" t="str">
        <x:v>External intercostal (interspace 8, R8-R9)</x:v>
      </x:c>
      <x:c r="B234" s="24" t="str">
        <x:v>Segment-level fascicle</x:v>
      </x:c>
      <x:c r="C234" s="24" t="str">
        <x:v>Stabilizer</x:v>
      </x:c>
      <x:c r="D234" s="28" t="str">
        <x:v>No</x:v>
      </x:c>
      <x:c r="E234" s="28" t="str">
        <x:v>No</x:v>
      </x:c>
      <x:c r="F234" s="28" t="str">
        <x:v>Yes</x:v>
      </x:c>
      <x:c r="G234" s="24" t="str">
        <x:v>Elevates ribs during inspiration; interspace stiffness</x:v>
      </x:c>
      <x:c r="H234" s="24" t="str">
        <x:v>Inferior margin of rib 8</x:v>
      </x:c>
      <x:c r="I234" s="24" t="str">
        <x:v>Superior margin of rib 9</x:v>
      </x:c>
      <x:c r="J234" s="24" t="str">
        <x:v>Intercostal nerve 8</x:v>
      </x:c>
      <x:c r="K234" s="24" t="str">
        <x:v>T8</x:v>
      </x:c>
      <x:c r="L234" s="24" t="str">
        <x:v>Segmental rib-to-rib muscle attachment</x:v>
      </x:c>
      <x:c r="M234" s="24" t="str">
        <x:v>Costal periosteum/intercostal membrane; no specific direct ligament</x:v>
      </x:c>
      <x:c r="N234" s="30" t="str">
        <x:v>Not established</x:v>
      </x:c>
      <x:c r="O234" s="30" t="str">
        <x:v>Not established</x:v>
      </x:c>
      <x:c r="P234" s="30" t="str">
        <x:v>Mixed Type I and Type II; ratio unverified</x:v>
      </x:c>
      <x:c r="Q234" s="24" t="str">
        <x:v>Published biopsies insufficient to state a reliable per-muscle percentage; no inference from function</x:v>
      </x:c>
      <x:c r="R234" s="32" t="str">
        <x:v>https://www.kenhub.com/en/library/anatomy/thorax</x:v>
      </x:c>
      <x:c r="S234" s="32" t="str">
        <x:v>https://pubmed.ncbi.nlm.nih.gov/39359186/</x:v>
      </x:c>
    </x:row>
    <x:row r="235" ht="53" customHeight="1">
      <x:c r="A235" s="24" t="str">
        <x:v>External intercostal (interspace 9, R9-R10)</x:v>
      </x:c>
      <x:c r="B235" s="24" t="str">
        <x:v>Segment-level fascicle</x:v>
      </x:c>
      <x:c r="C235" s="24" t="str">
        <x:v>Stabilizer</x:v>
      </x:c>
      <x:c r="D235" s="28" t="str">
        <x:v>No</x:v>
      </x:c>
      <x:c r="E235" s="28" t="str">
        <x:v>No</x:v>
      </x:c>
      <x:c r="F235" s="28" t="str">
        <x:v>Yes</x:v>
      </x:c>
      <x:c r="G235" s="24" t="str">
        <x:v>Elevates ribs during inspiration; interspace stiffness</x:v>
      </x:c>
      <x:c r="H235" s="24" t="str">
        <x:v>Inferior margin of rib 9</x:v>
      </x:c>
      <x:c r="I235" s="24" t="str">
        <x:v>Superior margin of rib 10</x:v>
      </x:c>
      <x:c r="J235" s="24" t="str">
        <x:v>Intercostal nerve 9</x:v>
      </x:c>
      <x:c r="K235" s="24" t="str">
        <x:v>T9</x:v>
      </x:c>
      <x:c r="L235" s="24" t="str">
        <x:v>Segmental rib-to-rib muscle attachment</x:v>
      </x:c>
      <x:c r="M235" s="24" t="str">
        <x:v>Costal periosteum/intercostal membrane; no specific direct ligament</x:v>
      </x:c>
      <x:c r="N235" s="30" t="str">
        <x:v>Not established</x:v>
      </x:c>
      <x:c r="O235" s="30" t="str">
        <x:v>Not established</x:v>
      </x:c>
      <x:c r="P235" s="30" t="str">
        <x:v>Mixed Type I and Type II; ratio unverified</x:v>
      </x:c>
      <x:c r="Q235" s="24" t="str">
        <x:v>Published biopsies insufficient to state a reliable per-muscle percentage; no inference from function</x:v>
      </x:c>
      <x:c r="R235" s="32" t="str">
        <x:v>https://www.kenhub.com/en/library/anatomy/thorax</x:v>
      </x:c>
      <x:c r="S235" s="32" t="str">
        <x:v>https://pubmed.ncbi.nlm.nih.gov/39359186/</x:v>
      </x:c>
    </x:row>
    <x:row r="236" ht="53" customHeight="1">
      <x:c r="A236" s="24" t="str">
        <x:v>Innermost intercostal (interspace 1, R1-R2)</x:v>
      </x:c>
      <x:c r="B236" s="24" t="str">
        <x:v>Segment-level fascicle</x:v>
      </x:c>
      <x:c r="C236" s="24" t="str">
        <x:v>Stabilizer</x:v>
      </x:c>
      <x:c r="D236" s="28" t="str">
        <x:v>No</x:v>
      </x:c>
      <x:c r="E236" s="28" t="str">
        <x:v>No</x:v>
      </x:c>
      <x:c r="F236" s="28" t="str">
        <x:v>Yes</x:v>
      </x:c>
      <x:c r="G236" s="24" t="str">
        <x:v>Assists rib movement and stabilizes interspace</x:v>
      </x:c>
      <x:c r="H236" s="24" t="str">
        <x:v>Inferior margin of rib 1</x:v>
      </x:c>
      <x:c r="I236" s="24" t="str">
        <x:v>Superior margin of rib 2</x:v>
      </x:c>
      <x:c r="J236" s="24" t="str">
        <x:v>Intercostal nerve 1</x:v>
      </x:c>
      <x:c r="K236" s="24" t="str">
        <x:v>T1</x:v>
      </x:c>
      <x:c r="L236" s="24" t="str">
        <x:v>Segmental rib-to-rib muscle attachment</x:v>
      </x:c>
      <x:c r="M236" s="24" t="str">
        <x:v>Costal periosteum/intercostal membrane; no specific direct ligament</x:v>
      </x:c>
      <x:c r="N236" s="30" t="str">
        <x:v>Not established</x:v>
      </x:c>
      <x:c r="O236" s="30" t="str">
        <x:v>Not established</x:v>
      </x:c>
      <x:c r="P236" s="30" t="str">
        <x:v>Mixed Type I and Type II; ratio unverified</x:v>
      </x:c>
      <x:c r="Q236" s="24" t="str">
        <x:v>Published biopsies insufficient to state a reliable per-muscle percentage; no inference from function</x:v>
      </x:c>
      <x:c r="R236" s="32" t="str">
        <x:v>https://www.kenhub.com/en/library/anatomy/thorax</x:v>
      </x:c>
      <x:c r="S236" s="32" t="str">
        <x:v>https://pubmed.ncbi.nlm.nih.gov/39359186/</x:v>
      </x:c>
    </x:row>
    <x:row r="237" ht="53" customHeight="1">
      <x:c r="A237" s="24" t="str">
        <x:v>Innermost intercostal (interspace 10, R10-R11)</x:v>
      </x:c>
      <x:c r="B237" s="24" t="str">
        <x:v>Segment-level fascicle</x:v>
      </x:c>
      <x:c r="C237" s="24" t="str">
        <x:v>Stabilizer</x:v>
      </x:c>
      <x:c r="D237" s="28" t="str">
        <x:v>No</x:v>
      </x:c>
      <x:c r="E237" s="28" t="str">
        <x:v>No</x:v>
      </x:c>
      <x:c r="F237" s="28" t="str">
        <x:v>Yes</x:v>
      </x:c>
      <x:c r="G237" s="24" t="str">
        <x:v>Assists rib movement and stabilizes interspace</x:v>
      </x:c>
      <x:c r="H237" s="24" t="str">
        <x:v>Inferior margin of rib 10</x:v>
      </x:c>
      <x:c r="I237" s="24" t="str">
        <x:v>Superior margin of rib 11</x:v>
      </x:c>
      <x:c r="J237" s="24" t="str">
        <x:v>Intercostal nerve 10</x:v>
      </x:c>
      <x:c r="K237" s="24" t="str">
        <x:v>T10</x:v>
      </x:c>
      <x:c r="L237" s="24" t="str">
        <x:v>Segmental rib-to-rib muscle attachment</x:v>
      </x:c>
      <x:c r="M237" s="24" t="str">
        <x:v>Costal periosteum/intercostal membrane; no specific direct ligament</x:v>
      </x:c>
      <x:c r="N237" s="30" t="str">
        <x:v>Not established</x:v>
      </x:c>
      <x:c r="O237" s="30" t="str">
        <x:v>Not established</x:v>
      </x:c>
      <x:c r="P237" s="30" t="str">
        <x:v>Mixed Type I and Type II; ratio unverified</x:v>
      </x:c>
      <x:c r="Q237" s="24" t="str">
        <x:v>Published biopsies insufficient to state a reliable per-muscle percentage; no inference from function</x:v>
      </x:c>
      <x:c r="R237" s="32" t="str">
        <x:v>https://www.kenhub.com/en/library/anatomy/thorax</x:v>
      </x:c>
      <x:c r="S237" s="32" t="str">
        <x:v>https://pubmed.ncbi.nlm.nih.gov/39359186/</x:v>
      </x:c>
    </x:row>
    <x:row r="238" ht="53" customHeight="1">
      <x:c r="A238" s="24" t="str">
        <x:v>Innermost intercostal (interspace 11, R11-R12)</x:v>
      </x:c>
      <x:c r="B238" s="24" t="str">
        <x:v>Segment-level fascicle</x:v>
      </x:c>
      <x:c r="C238" s="24" t="str">
        <x:v>Stabilizer</x:v>
      </x:c>
      <x:c r="D238" s="28" t="str">
        <x:v>No</x:v>
      </x:c>
      <x:c r="E238" s="28" t="str">
        <x:v>No</x:v>
      </x:c>
      <x:c r="F238" s="28" t="str">
        <x:v>Yes</x:v>
      </x:c>
      <x:c r="G238" s="24" t="str">
        <x:v>Assists rib movement and stabilizes interspace</x:v>
      </x:c>
      <x:c r="H238" s="24" t="str">
        <x:v>Inferior margin of rib 11</x:v>
      </x:c>
      <x:c r="I238" s="24" t="str">
        <x:v>Superior margin of rib 12</x:v>
      </x:c>
      <x:c r="J238" s="24" t="str">
        <x:v>Intercostal nerve 11</x:v>
      </x:c>
      <x:c r="K238" s="24" t="str">
        <x:v>T11</x:v>
      </x:c>
      <x:c r="L238" s="24" t="str">
        <x:v>Segmental rib-to-rib muscle attachment</x:v>
      </x:c>
      <x:c r="M238" s="24" t="str">
        <x:v>Costal periosteum/intercostal membrane; no specific direct ligament</x:v>
      </x:c>
      <x:c r="N238" s="30" t="str">
        <x:v>Not established</x:v>
      </x:c>
      <x:c r="O238" s="30" t="str">
        <x:v>Not established</x:v>
      </x:c>
      <x:c r="P238" s="30" t="str">
        <x:v>Mixed Type I and Type II; ratio unverified</x:v>
      </x:c>
      <x:c r="Q238" s="24" t="str">
        <x:v>Published biopsies insufficient to state a reliable per-muscle percentage; no inference from function</x:v>
      </x:c>
      <x:c r="R238" s="32" t="str">
        <x:v>https://www.kenhub.com/en/library/anatomy/thorax</x:v>
      </x:c>
      <x:c r="S238" s="32" t="str">
        <x:v>https://pubmed.ncbi.nlm.nih.gov/39359186/</x:v>
      </x:c>
    </x:row>
    <x:row r="239" ht="53" customHeight="1">
      <x:c r="A239" s="24" t="str">
        <x:v>Innermost intercostal (interspace 2, R2-R3)</x:v>
      </x:c>
      <x:c r="B239" s="24" t="str">
        <x:v>Segment-level fascicle</x:v>
      </x:c>
      <x:c r="C239" s="24" t="str">
        <x:v>Stabilizer</x:v>
      </x:c>
      <x:c r="D239" s="28" t="str">
        <x:v>No</x:v>
      </x:c>
      <x:c r="E239" s="28" t="str">
        <x:v>No</x:v>
      </x:c>
      <x:c r="F239" s="28" t="str">
        <x:v>Yes</x:v>
      </x:c>
      <x:c r="G239" s="24" t="str">
        <x:v>Assists rib movement and stabilizes interspace</x:v>
      </x:c>
      <x:c r="H239" s="24" t="str">
        <x:v>Inferior margin of rib 2</x:v>
      </x:c>
      <x:c r="I239" s="24" t="str">
        <x:v>Superior margin of rib 3</x:v>
      </x:c>
      <x:c r="J239" s="24" t="str">
        <x:v>Intercostal nerve 2</x:v>
      </x:c>
      <x:c r="K239" s="24" t="str">
        <x:v>T2</x:v>
      </x:c>
      <x:c r="L239" s="24" t="str">
        <x:v>Segmental rib-to-rib muscle attachment</x:v>
      </x:c>
      <x:c r="M239" s="24" t="str">
        <x:v>Costal periosteum/intercostal membrane; no specific direct ligament</x:v>
      </x:c>
      <x:c r="N239" s="30" t="str">
        <x:v>Not established</x:v>
      </x:c>
      <x:c r="O239" s="30" t="str">
        <x:v>Not established</x:v>
      </x:c>
      <x:c r="P239" s="30" t="str">
        <x:v>Mixed Type I and Type II; ratio unverified</x:v>
      </x:c>
      <x:c r="Q239" s="24" t="str">
        <x:v>Published biopsies insufficient to state a reliable per-muscle percentage; no inference from function</x:v>
      </x:c>
      <x:c r="R239" s="32" t="str">
        <x:v>https://www.kenhub.com/en/library/anatomy/thorax</x:v>
      </x:c>
      <x:c r="S239" s="32" t="str">
        <x:v>https://pubmed.ncbi.nlm.nih.gov/39359186/</x:v>
      </x:c>
    </x:row>
    <x:row r="240" ht="53" customHeight="1">
      <x:c r="A240" s="24" t="str">
        <x:v>Innermost intercostal (interspace 3, R3-R4)</x:v>
      </x:c>
      <x:c r="B240" s="24" t="str">
        <x:v>Segment-level fascicle</x:v>
      </x:c>
      <x:c r="C240" s="24" t="str">
        <x:v>Stabilizer</x:v>
      </x:c>
      <x:c r="D240" s="28" t="str">
        <x:v>No</x:v>
      </x:c>
      <x:c r="E240" s="28" t="str">
        <x:v>No</x:v>
      </x:c>
      <x:c r="F240" s="28" t="str">
        <x:v>Yes</x:v>
      </x:c>
      <x:c r="G240" s="24" t="str">
        <x:v>Assists rib movement and stabilizes interspace</x:v>
      </x:c>
      <x:c r="H240" s="24" t="str">
        <x:v>Inferior margin of rib 3</x:v>
      </x:c>
      <x:c r="I240" s="24" t="str">
        <x:v>Superior margin of rib 4</x:v>
      </x:c>
      <x:c r="J240" s="24" t="str">
        <x:v>Intercostal nerve 3</x:v>
      </x:c>
      <x:c r="K240" s="24" t="str">
        <x:v>T3</x:v>
      </x:c>
      <x:c r="L240" s="24" t="str">
        <x:v>Segmental rib-to-rib muscle attachment</x:v>
      </x:c>
      <x:c r="M240" s="24" t="str">
        <x:v>Costal periosteum/intercostal membrane; no specific direct ligament</x:v>
      </x:c>
      <x:c r="N240" s="30" t="str">
        <x:v>Not established</x:v>
      </x:c>
      <x:c r="O240" s="30" t="str">
        <x:v>Not established</x:v>
      </x:c>
      <x:c r="P240" s="30" t="str">
        <x:v>Mixed Type I and Type II; ratio unverified</x:v>
      </x:c>
      <x:c r="Q240" s="24" t="str">
        <x:v>Published biopsies insufficient to state a reliable per-muscle percentage; no inference from function</x:v>
      </x:c>
      <x:c r="R240" s="32" t="str">
        <x:v>https://www.kenhub.com/en/library/anatomy/thorax</x:v>
      </x:c>
      <x:c r="S240" s="32" t="str">
        <x:v>https://pubmed.ncbi.nlm.nih.gov/39359186/</x:v>
      </x:c>
    </x:row>
    <x:row r="241" ht="53" customHeight="1">
      <x:c r="A241" s="24" t="str">
        <x:v>Innermost intercostal (interspace 4, R4-R5)</x:v>
      </x:c>
      <x:c r="B241" s="24" t="str">
        <x:v>Segment-level fascicle</x:v>
      </x:c>
      <x:c r="C241" s="24" t="str">
        <x:v>Stabilizer</x:v>
      </x:c>
      <x:c r="D241" s="28" t="str">
        <x:v>No</x:v>
      </x:c>
      <x:c r="E241" s="28" t="str">
        <x:v>No</x:v>
      </x:c>
      <x:c r="F241" s="28" t="str">
        <x:v>Yes</x:v>
      </x:c>
      <x:c r="G241" s="24" t="str">
        <x:v>Assists rib movement and stabilizes interspace</x:v>
      </x:c>
      <x:c r="H241" s="24" t="str">
        <x:v>Inferior margin of rib 4</x:v>
      </x:c>
      <x:c r="I241" s="24" t="str">
        <x:v>Superior margin of rib 5</x:v>
      </x:c>
      <x:c r="J241" s="24" t="str">
        <x:v>Intercostal nerve 4</x:v>
      </x:c>
      <x:c r="K241" s="24" t="str">
        <x:v>T4</x:v>
      </x:c>
      <x:c r="L241" s="24" t="str">
        <x:v>Segmental rib-to-rib muscle attachment</x:v>
      </x:c>
      <x:c r="M241" s="24" t="str">
        <x:v>Costal periosteum/intercostal membrane; no specific direct ligament</x:v>
      </x:c>
      <x:c r="N241" s="30" t="str">
        <x:v>Not established</x:v>
      </x:c>
      <x:c r="O241" s="30" t="str">
        <x:v>Not established</x:v>
      </x:c>
      <x:c r="P241" s="30" t="str">
        <x:v>Mixed Type I and Type II; ratio unverified</x:v>
      </x:c>
      <x:c r="Q241" s="24" t="str">
        <x:v>Published biopsies insufficient to state a reliable per-muscle percentage; no inference from function</x:v>
      </x:c>
      <x:c r="R241" s="32" t="str">
        <x:v>https://www.kenhub.com/en/library/anatomy/thorax</x:v>
      </x:c>
      <x:c r="S241" s="32" t="str">
        <x:v>https://pubmed.ncbi.nlm.nih.gov/39359186/</x:v>
      </x:c>
    </x:row>
    <x:row r="242" ht="53" customHeight="1">
      <x:c r="A242" s="24" t="str">
        <x:v>Innermost intercostal (interspace 5, R5-R6)</x:v>
      </x:c>
      <x:c r="B242" s="24" t="str">
        <x:v>Segment-level fascicle</x:v>
      </x:c>
      <x:c r="C242" s="24" t="str">
        <x:v>Stabilizer</x:v>
      </x:c>
      <x:c r="D242" s="28" t="str">
        <x:v>No</x:v>
      </x:c>
      <x:c r="E242" s="28" t="str">
        <x:v>No</x:v>
      </x:c>
      <x:c r="F242" s="28" t="str">
        <x:v>Yes</x:v>
      </x:c>
      <x:c r="G242" s="24" t="str">
        <x:v>Assists rib movement and stabilizes interspace</x:v>
      </x:c>
      <x:c r="H242" s="24" t="str">
        <x:v>Inferior margin of rib 5</x:v>
      </x:c>
      <x:c r="I242" s="24" t="str">
        <x:v>Superior margin of rib 6</x:v>
      </x:c>
      <x:c r="J242" s="24" t="str">
        <x:v>Intercostal nerve 5</x:v>
      </x:c>
      <x:c r="K242" s="24" t="str">
        <x:v>T5</x:v>
      </x:c>
      <x:c r="L242" s="24" t="str">
        <x:v>Segmental rib-to-rib muscle attachment</x:v>
      </x:c>
      <x:c r="M242" s="24" t="str">
        <x:v>Costal periosteum/intercostal membrane; no specific direct ligament</x:v>
      </x:c>
      <x:c r="N242" s="30" t="str">
        <x:v>Not established</x:v>
      </x:c>
      <x:c r="O242" s="30" t="str">
        <x:v>Not established</x:v>
      </x:c>
      <x:c r="P242" s="30" t="str">
        <x:v>Mixed Type I and Type II; ratio unverified</x:v>
      </x:c>
      <x:c r="Q242" s="24" t="str">
        <x:v>Published biopsies insufficient to state a reliable per-muscle percentage; no inference from function</x:v>
      </x:c>
      <x:c r="R242" s="32" t="str">
        <x:v>https://www.kenhub.com/en/library/anatomy/thorax</x:v>
      </x:c>
      <x:c r="S242" s="32" t="str">
        <x:v>https://pubmed.ncbi.nlm.nih.gov/39359186/</x:v>
      </x:c>
    </x:row>
    <x:row r="243" ht="53" customHeight="1">
      <x:c r="A243" s="24" t="str">
        <x:v>Innermost intercostal (interspace 6, R6-R7)</x:v>
      </x:c>
      <x:c r="B243" s="24" t="str">
        <x:v>Segment-level fascicle</x:v>
      </x:c>
      <x:c r="C243" s="24" t="str">
        <x:v>Stabilizer</x:v>
      </x:c>
      <x:c r="D243" s="28" t="str">
        <x:v>No</x:v>
      </x:c>
      <x:c r="E243" s="28" t="str">
        <x:v>No</x:v>
      </x:c>
      <x:c r="F243" s="28" t="str">
        <x:v>Yes</x:v>
      </x:c>
      <x:c r="G243" s="24" t="str">
        <x:v>Assists rib movement and stabilizes interspace</x:v>
      </x:c>
      <x:c r="H243" s="24" t="str">
        <x:v>Inferior margin of rib 6</x:v>
      </x:c>
      <x:c r="I243" s="24" t="str">
        <x:v>Superior margin of rib 7</x:v>
      </x:c>
      <x:c r="J243" s="24" t="str">
        <x:v>Intercostal nerve 6</x:v>
      </x:c>
      <x:c r="K243" s="24" t="str">
        <x:v>T6</x:v>
      </x:c>
      <x:c r="L243" s="24" t="str">
        <x:v>Segmental rib-to-rib muscle attachment</x:v>
      </x:c>
      <x:c r="M243" s="24" t="str">
        <x:v>Costal periosteum/intercostal membrane; no specific direct ligament</x:v>
      </x:c>
      <x:c r="N243" s="30" t="str">
        <x:v>Not established</x:v>
      </x:c>
      <x:c r="O243" s="30" t="str">
        <x:v>Not established</x:v>
      </x:c>
      <x:c r="P243" s="30" t="str">
        <x:v>Mixed Type I and Type II; ratio unverified</x:v>
      </x:c>
      <x:c r="Q243" s="24" t="str">
        <x:v>Published biopsies insufficient to state a reliable per-muscle percentage; no inference from function</x:v>
      </x:c>
      <x:c r="R243" s="32" t="str">
        <x:v>https://www.kenhub.com/en/library/anatomy/thorax</x:v>
      </x:c>
      <x:c r="S243" s="32" t="str">
        <x:v>https://pubmed.ncbi.nlm.nih.gov/39359186/</x:v>
      </x:c>
    </x:row>
    <x:row r="244" ht="53" customHeight="1">
      <x:c r="A244" s="24" t="str">
        <x:v>Innermost intercostal (interspace 7, R7-R8)</x:v>
      </x:c>
      <x:c r="B244" s="24" t="str">
        <x:v>Segment-level fascicle</x:v>
      </x:c>
      <x:c r="C244" s="24" t="str">
        <x:v>Stabilizer</x:v>
      </x:c>
      <x:c r="D244" s="28" t="str">
        <x:v>No</x:v>
      </x:c>
      <x:c r="E244" s="28" t="str">
        <x:v>No</x:v>
      </x:c>
      <x:c r="F244" s="28" t="str">
        <x:v>Yes</x:v>
      </x:c>
      <x:c r="G244" s="24" t="str">
        <x:v>Assists rib movement and stabilizes interspace</x:v>
      </x:c>
      <x:c r="H244" s="24" t="str">
        <x:v>Inferior margin of rib 7</x:v>
      </x:c>
      <x:c r="I244" s="24" t="str">
        <x:v>Superior margin of rib 8</x:v>
      </x:c>
      <x:c r="J244" s="24" t="str">
        <x:v>Intercostal nerve 7</x:v>
      </x:c>
      <x:c r="K244" s="24" t="str">
        <x:v>T7</x:v>
      </x:c>
      <x:c r="L244" s="24" t="str">
        <x:v>Segmental rib-to-rib muscle attachment</x:v>
      </x:c>
      <x:c r="M244" s="24" t="str">
        <x:v>Costal periosteum/intercostal membrane; no specific direct ligament</x:v>
      </x:c>
      <x:c r="N244" s="30" t="str">
        <x:v>Not established</x:v>
      </x:c>
      <x:c r="O244" s="30" t="str">
        <x:v>Not established</x:v>
      </x:c>
      <x:c r="P244" s="30" t="str">
        <x:v>Mixed Type I and Type II; ratio unverified</x:v>
      </x:c>
      <x:c r="Q244" s="24" t="str">
        <x:v>Published biopsies insufficient to state a reliable per-muscle percentage; no inference from function</x:v>
      </x:c>
      <x:c r="R244" s="32" t="str">
        <x:v>https://www.kenhub.com/en/library/anatomy/thorax</x:v>
      </x:c>
      <x:c r="S244" s="32" t="str">
        <x:v>https://pubmed.ncbi.nlm.nih.gov/39359186/</x:v>
      </x:c>
    </x:row>
    <x:row r="245" ht="53" customHeight="1">
      <x:c r="A245" s="24" t="str">
        <x:v>Innermost intercostal (interspace 8, R8-R9)</x:v>
      </x:c>
      <x:c r="B245" s="24" t="str">
        <x:v>Segment-level fascicle</x:v>
      </x:c>
      <x:c r="C245" s="24" t="str">
        <x:v>Stabilizer</x:v>
      </x:c>
      <x:c r="D245" s="28" t="str">
        <x:v>No</x:v>
      </x:c>
      <x:c r="E245" s="28" t="str">
        <x:v>No</x:v>
      </x:c>
      <x:c r="F245" s="28" t="str">
        <x:v>Yes</x:v>
      </x:c>
      <x:c r="G245" s="24" t="str">
        <x:v>Assists rib movement and stabilizes interspace</x:v>
      </x:c>
      <x:c r="H245" s="24" t="str">
        <x:v>Inferior margin of rib 8</x:v>
      </x:c>
      <x:c r="I245" s="24" t="str">
        <x:v>Superior margin of rib 9</x:v>
      </x:c>
      <x:c r="J245" s="24" t="str">
        <x:v>Intercostal nerve 8</x:v>
      </x:c>
      <x:c r="K245" s="24" t="str">
        <x:v>T8</x:v>
      </x:c>
      <x:c r="L245" s="24" t="str">
        <x:v>Segmental rib-to-rib muscle attachment</x:v>
      </x:c>
      <x:c r="M245" s="24" t="str">
        <x:v>Costal periosteum/intercostal membrane; no specific direct ligament</x:v>
      </x:c>
      <x:c r="N245" s="30" t="str">
        <x:v>Not established</x:v>
      </x:c>
      <x:c r="O245" s="30" t="str">
        <x:v>Not established</x:v>
      </x:c>
      <x:c r="P245" s="30" t="str">
        <x:v>Mixed Type I and Type II; ratio unverified</x:v>
      </x:c>
      <x:c r="Q245" s="24" t="str">
        <x:v>Published biopsies insufficient to state a reliable per-muscle percentage; no inference from function</x:v>
      </x:c>
      <x:c r="R245" s="32" t="str">
        <x:v>https://www.kenhub.com/en/library/anatomy/thorax</x:v>
      </x:c>
      <x:c r="S245" s="32" t="str">
        <x:v>https://pubmed.ncbi.nlm.nih.gov/39359186/</x:v>
      </x:c>
    </x:row>
    <x:row r="246" ht="53" customHeight="1">
      <x:c r="A246" s="24" t="str">
        <x:v>Innermost intercostal (interspace 9, R9-R10)</x:v>
      </x:c>
      <x:c r="B246" s="24" t="str">
        <x:v>Segment-level fascicle</x:v>
      </x:c>
      <x:c r="C246" s="24" t="str">
        <x:v>Stabilizer</x:v>
      </x:c>
      <x:c r="D246" s="28" t="str">
        <x:v>No</x:v>
      </x:c>
      <x:c r="E246" s="28" t="str">
        <x:v>No</x:v>
      </x:c>
      <x:c r="F246" s="28" t="str">
        <x:v>Yes</x:v>
      </x:c>
      <x:c r="G246" s="24" t="str">
        <x:v>Assists rib movement and stabilizes interspace</x:v>
      </x:c>
      <x:c r="H246" s="24" t="str">
        <x:v>Inferior margin of rib 9</x:v>
      </x:c>
      <x:c r="I246" s="24" t="str">
        <x:v>Superior margin of rib 10</x:v>
      </x:c>
      <x:c r="J246" s="24" t="str">
        <x:v>Intercostal nerve 9</x:v>
      </x:c>
      <x:c r="K246" s="24" t="str">
        <x:v>T9</x:v>
      </x:c>
      <x:c r="L246" s="24" t="str">
        <x:v>Segmental rib-to-rib muscle attachment</x:v>
      </x:c>
      <x:c r="M246" s="24" t="str">
        <x:v>Costal periosteum/intercostal membrane; no specific direct ligament</x:v>
      </x:c>
      <x:c r="N246" s="30" t="str">
        <x:v>Not established</x:v>
      </x:c>
      <x:c r="O246" s="30" t="str">
        <x:v>Not established</x:v>
      </x:c>
      <x:c r="P246" s="30" t="str">
        <x:v>Mixed Type I and Type II; ratio unverified</x:v>
      </x:c>
      <x:c r="Q246" s="24" t="str">
        <x:v>Published biopsies insufficient to state a reliable per-muscle percentage; no inference from function</x:v>
      </x:c>
      <x:c r="R246" s="32" t="str">
        <x:v>https://www.kenhub.com/en/library/anatomy/thorax</x:v>
      </x:c>
      <x:c r="S246" s="32" t="str">
        <x:v>https://pubmed.ncbi.nlm.nih.gov/39359186/</x:v>
      </x:c>
    </x:row>
    <x:row r="247" ht="53" customHeight="1">
      <x:c r="A247" s="24" t="str">
        <x:v>Internal intercostal (interspace 1, R1-R2)</x:v>
      </x:c>
      <x:c r="B247" s="24" t="str">
        <x:v>Segment-level fascicle</x:v>
      </x:c>
      <x:c r="C247" s="24" t="str">
        <x:v>Stabilizer</x:v>
      </x:c>
      <x:c r="D247" s="28" t="str">
        <x:v>No</x:v>
      </x:c>
      <x:c r="E247" s="28" t="str">
        <x:v>No</x:v>
      </x:c>
      <x:c r="F247" s="28" t="str">
        <x:v>Yes</x:v>
      </x:c>
      <x:c r="G247" s="24" t="str">
        <x:v>Interosseous portion depresses rib; interchondral portion elevates</x:v>
      </x:c>
      <x:c r="H247" s="24" t="str">
        <x:v>Inferior margin of rib 1</x:v>
      </x:c>
      <x:c r="I247" s="24" t="str">
        <x:v>Superior margin of rib 2</x:v>
      </x:c>
      <x:c r="J247" s="24" t="str">
        <x:v>Intercostal nerve 1</x:v>
      </x:c>
      <x:c r="K247" s="24" t="str">
        <x:v>T1</x:v>
      </x:c>
      <x:c r="L247" s="24" t="str">
        <x:v>Segmental rib-to-rib muscle attachment</x:v>
      </x:c>
      <x:c r="M247" s="24" t="str">
        <x:v>Costal periosteum/intercostal membrane; no specific direct ligament</x:v>
      </x:c>
      <x:c r="N247" s="30" t="str">
        <x:v>Not established</x:v>
      </x:c>
      <x:c r="O247" s="30" t="str">
        <x:v>Not established</x:v>
      </x:c>
      <x:c r="P247" s="30" t="str">
        <x:v>Mixed Type I and Type II; ratio unverified</x:v>
      </x:c>
      <x:c r="Q247" s="24" t="str">
        <x:v>Published biopsies insufficient to state a reliable per-muscle percentage; no inference from function</x:v>
      </x:c>
      <x:c r="R247" s="32" t="str">
        <x:v>https://www.kenhub.com/en/library/anatomy/thorax</x:v>
      </x:c>
      <x:c r="S247" s="32" t="str">
        <x:v>https://pubmed.ncbi.nlm.nih.gov/39359186/</x:v>
      </x:c>
    </x:row>
    <x:row r="248" ht="53" customHeight="1">
      <x:c r="A248" s="24" t="str">
        <x:v>Internal intercostal (interspace 10, R10-R11)</x:v>
      </x:c>
      <x:c r="B248" s="24" t="str">
        <x:v>Segment-level fascicle</x:v>
      </x:c>
      <x:c r="C248" s="24" t="str">
        <x:v>Stabilizer</x:v>
      </x:c>
      <x:c r="D248" s="28" t="str">
        <x:v>No</x:v>
      </x:c>
      <x:c r="E248" s="28" t="str">
        <x:v>No</x:v>
      </x:c>
      <x:c r="F248" s="28" t="str">
        <x:v>Yes</x:v>
      </x:c>
      <x:c r="G248" s="24" t="str">
        <x:v>Interosseous portion depresses rib; interchondral portion elevates</x:v>
      </x:c>
      <x:c r="H248" s="24" t="str">
        <x:v>Inferior margin of rib 10</x:v>
      </x:c>
      <x:c r="I248" s="24" t="str">
        <x:v>Superior margin of rib 11</x:v>
      </x:c>
      <x:c r="J248" s="24" t="str">
        <x:v>Intercostal nerve 10</x:v>
      </x:c>
      <x:c r="K248" s="24" t="str">
        <x:v>T10</x:v>
      </x:c>
      <x:c r="L248" s="24" t="str">
        <x:v>Segmental rib-to-rib muscle attachment</x:v>
      </x:c>
      <x:c r="M248" s="24" t="str">
        <x:v>Costal periosteum/intercostal membrane; no specific direct ligament</x:v>
      </x:c>
      <x:c r="N248" s="30" t="str">
        <x:v>Not established</x:v>
      </x:c>
      <x:c r="O248" s="30" t="str">
        <x:v>Not established</x:v>
      </x:c>
      <x:c r="P248" s="30" t="str">
        <x:v>Mixed Type I and Type II; ratio unverified</x:v>
      </x:c>
      <x:c r="Q248" s="24" t="str">
        <x:v>Published biopsies insufficient to state a reliable per-muscle percentage; no inference from function</x:v>
      </x:c>
      <x:c r="R248" s="32" t="str">
        <x:v>https://www.kenhub.com/en/library/anatomy/thorax</x:v>
      </x:c>
      <x:c r="S248" s="32" t="str">
        <x:v>https://pubmed.ncbi.nlm.nih.gov/39359186/</x:v>
      </x:c>
    </x:row>
    <x:row r="249" ht="53" customHeight="1">
      <x:c r="A249" s="24" t="str">
        <x:v>Internal intercostal (interspace 11, R11-R12)</x:v>
      </x:c>
      <x:c r="B249" s="24" t="str">
        <x:v>Segment-level fascicle</x:v>
      </x:c>
      <x:c r="C249" s="24" t="str">
        <x:v>Stabilizer</x:v>
      </x:c>
      <x:c r="D249" s="28" t="str">
        <x:v>No</x:v>
      </x:c>
      <x:c r="E249" s="28" t="str">
        <x:v>No</x:v>
      </x:c>
      <x:c r="F249" s="28" t="str">
        <x:v>Yes</x:v>
      </x:c>
      <x:c r="G249" s="24" t="str">
        <x:v>Interosseous portion depresses rib; interchondral portion elevates</x:v>
      </x:c>
      <x:c r="H249" s="24" t="str">
        <x:v>Inferior margin of rib 11</x:v>
      </x:c>
      <x:c r="I249" s="24" t="str">
        <x:v>Superior margin of rib 12</x:v>
      </x:c>
      <x:c r="J249" s="24" t="str">
        <x:v>Intercostal nerve 11</x:v>
      </x:c>
      <x:c r="K249" s="24" t="str">
        <x:v>T11</x:v>
      </x:c>
      <x:c r="L249" s="24" t="str">
        <x:v>Segmental rib-to-rib muscle attachment</x:v>
      </x:c>
      <x:c r="M249" s="24" t="str">
        <x:v>Costal periosteum/intercostal membrane; no specific direct ligament</x:v>
      </x:c>
      <x:c r="N249" s="30" t="str">
        <x:v>Not established</x:v>
      </x:c>
      <x:c r="O249" s="30" t="str">
        <x:v>Not established</x:v>
      </x:c>
      <x:c r="P249" s="30" t="str">
        <x:v>Mixed Type I and Type II; ratio unverified</x:v>
      </x:c>
      <x:c r="Q249" s="24" t="str">
        <x:v>Published biopsies insufficient to state a reliable per-muscle percentage; no inference from function</x:v>
      </x:c>
      <x:c r="R249" s="32" t="str">
        <x:v>https://www.kenhub.com/en/library/anatomy/thorax</x:v>
      </x:c>
      <x:c r="S249" s="32" t="str">
        <x:v>https://pubmed.ncbi.nlm.nih.gov/39359186/</x:v>
      </x:c>
    </x:row>
    <x:row r="250" ht="53" customHeight="1">
      <x:c r="A250" s="24" t="str">
        <x:v>Internal intercostal (interspace 2, R2-R3)</x:v>
      </x:c>
      <x:c r="B250" s="24" t="str">
        <x:v>Segment-level fascicle</x:v>
      </x:c>
      <x:c r="C250" s="24" t="str">
        <x:v>Stabilizer</x:v>
      </x:c>
      <x:c r="D250" s="28" t="str">
        <x:v>No</x:v>
      </x:c>
      <x:c r="E250" s="28" t="str">
        <x:v>No</x:v>
      </x:c>
      <x:c r="F250" s="28" t="str">
        <x:v>Yes</x:v>
      </x:c>
      <x:c r="G250" s="24" t="str">
        <x:v>Interosseous portion depresses rib; interchondral portion elevates</x:v>
      </x:c>
      <x:c r="H250" s="24" t="str">
        <x:v>Inferior margin of rib 2</x:v>
      </x:c>
      <x:c r="I250" s="24" t="str">
        <x:v>Superior margin of rib 3</x:v>
      </x:c>
      <x:c r="J250" s="24" t="str">
        <x:v>Intercostal nerve 2</x:v>
      </x:c>
      <x:c r="K250" s="24" t="str">
        <x:v>T2</x:v>
      </x:c>
      <x:c r="L250" s="24" t="str">
        <x:v>Segmental rib-to-rib muscle attachment</x:v>
      </x:c>
      <x:c r="M250" s="24" t="str">
        <x:v>Costal periosteum/intercostal membrane; no specific direct ligament</x:v>
      </x:c>
      <x:c r="N250" s="30" t="str">
        <x:v>Not established</x:v>
      </x:c>
      <x:c r="O250" s="30" t="str">
        <x:v>Not established</x:v>
      </x:c>
      <x:c r="P250" s="30" t="str">
        <x:v>Mixed Type I and Type II; ratio unverified</x:v>
      </x:c>
      <x:c r="Q250" s="24" t="str">
        <x:v>Published biopsies insufficient to state a reliable per-muscle percentage; no inference from function</x:v>
      </x:c>
      <x:c r="R250" s="32" t="str">
        <x:v>https://www.kenhub.com/en/library/anatomy/thorax</x:v>
      </x:c>
      <x:c r="S250" s="32" t="str">
        <x:v>https://pubmed.ncbi.nlm.nih.gov/39359186/</x:v>
      </x:c>
    </x:row>
    <x:row r="251" ht="53" customHeight="1">
      <x:c r="A251" s="24" t="str">
        <x:v>Internal intercostal (interspace 3, R3-R4)</x:v>
      </x:c>
      <x:c r="B251" s="24" t="str">
        <x:v>Segment-level fascicle</x:v>
      </x:c>
      <x:c r="C251" s="24" t="str">
        <x:v>Stabilizer</x:v>
      </x:c>
      <x:c r="D251" s="28" t="str">
        <x:v>No</x:v>
      </x:c>
      <x:c r="E251" s="28" t="str">
        <x:v>No</x:v>
      </x:c>
      <x:c r="F251" s="28" t="str">
        <x:v>Yes</x:v>
      </x:c>
      <x:c r="G251" s="24" t="str">
        <x:v>Interosseous portion depresses rib; interchondral portion elevates</x:v>
      </x:c>
      <x:c r="H251" s="24" t="str">
        <x:v>Inferior margin of rib 3</x:v>
      </x:c>
      <x:c r="I251" s="24" t="str">
        <x:v>Superior margin of rib 4</x:v>
      </x:c>
      <x:c r="J251" s="24" t="str">
        <x:v>Intercostal nerve 3</x:v>
      </x:c>
      <x:c r="K251" s="24" t="str">
        <x:v>T3</x:v>
      </x:c>
      <x:c r="L251" s="24" t="str">
        <x:v>Segmental rib-to-rib muscle attachment</x:v>
      </x:c>
      <x:c r="M251" s="24" t="str">
        <x:v>Costal periosteum/intercostal membrane; no specific direct ligament</x:v>
      </x:c>
      <x:c r="N251" s="30" t="str">
        <x:v>Not established</x:v>
      </x:c>
      <x:c r="O251" s="30" t="str">
        <x:v>Not established</x:v>
      </x:c>
      <x:c r="P251" s="30" t="str">
        <x:v>Mixed Type I and Type II; ratio unverified</x:v>
      </x:c>
      <x:c r="Q251" s="24" t="str">
        <x:v>Published biopsies insufficient to state a reliable per-muscle percentage; no inference from function</x:v>
      </x:c>
      <x:c r="R251" s="32" t="str">
        <x:v>https://www.kenhub.com/en/library/anatomy/thorax</x:v>
      </x:c>
      <x:c r="S251" s="32" t="str">
        <x:v>https://pubmed.ncbi.nlm.nih.gov/39359186/</x:v>
      </x:c>
    </x:row>
    <x:row r="252" ht="53" customHeight="1">
      <x:c r="A252" s="24" t="str">
        <x:v>Internal intercostal (interspace 4, R4-R5)</x:v>
      </x:c>
      <x:c r="B252" s="24" t="str">
        <x:v>Segment-level fascicle</x:v>
      </x:c>
      <x:c r="C252" s="24" t="str">
        <x:v>Stabilizer</x:v>
      </x:c>
      <x:c r="D252" s="28" t="str">
        <x:v>No</x:v>
      </x:c>
      <x:c r="E252" s="28" t="str">
        <x:v>No</x:v>
      </x:c>
      <x:c r="F252" s="28" t="str">
        <x:v>Yes</x:v>
      </x:c>
      <x:c r="G252" s="24" t="str">
        <x:v>Interosseous portion depresses rib; interchondral portion elevates</x:v>
      </x:c>
      <x:c r="H252" s="24" t="str">
        <x:v>Inferior margin of rib 4</x:v>
      </x:c>
      <x:c r="I252" s="24" t="str">
        <x:v>Superior margin of rib 5</x:v>
      </x:c>
      <x:c r="J252" s="24" t="str">
        <x:v>Intercostal nerve 4</x:v>
      </x:c>
      <x:c r="K252" s="24" t="str">
        <x:v>T4</x:v>
      </x:c>
      <x:c r="L252" s="24" t="str">
        <x:v>Segmental rib-to-rib muscle attachment</x:v>
      </x:c>
      <x:c r="M252" s="24" t="str">
        <x:v>Costal periosteum/intercostal membrane; no specific direct ligament</x:v>
      </x:c>
      <x:c r="N252" s="30" t="str">
        <x:v>Not established</x:v>
      </x:c>
      <x:c r="O252" s="30" t="str">
        <x:v>Not established</x:v>
      </x:c>
      <x:c r="P252" s="30" t="str">
        <x:v>Mixed Type I and Type II; ratio unverified</x:v>
      </x:c>
      <x:c r="Q252" s="24" t="str">
        <x:v>Published biopsies insufficient to state a reliable per-muscle percentage; no inference from function</x:v>
      </x:c>
      <x:c r="R252" s="32" t="str">
        <x:v>https://www.kenhub.com/en/library/anatomy/thorax</x:v>
      </x:c>
      <x:c r="S252" s="32" t="str">
        <x:v>https://pubmed.ncbi.nlm.nih.gov/39359186/</x:v>
      </x:c>
    </x:row>
    <x:row r="253" ht="53" customHeight="1">
      <x:c r="A253" s="24" t="str">
        <x:v>Internal intercostal (interspace 5, R5-R6)</x:v>
      </x:c>
      <x:c r="B253" s="24" t="str">
        <x:v>Segment-level fascicle</x:v>
      </x:c>
      <x:c r="C253" s="24" t="str">
        <x:v>Stabilizer</x:v>
      </x:c>
      <x:c r="D253" s="28" t="str">
        <x:v>No</x:v>
      </x:c>
      <x:c r="E253" s="28" t="str">
        <x:v>No</x:v>
      </x:c>
      <x:c r="F253" s="28" t="str">
        <x:v>Yes</x:v>
      </x:c>
      <x:c r="G253" s="24" t="str">
        <x:v>Interosseous portion depresses rib; interchondral portion elevates</x:v>
      </x:c>
      <x:c r="H253" s="24" t="str">
        <x:v>Inferior margin of rib 5</x:v>
      </x:c>
      <x:c r="I253" s="24" t="str">
        <x:v>Superior margin of rib 6</x:v>
      </x:c>
      <x:c r="J253" s="24" t="str">
        <x:v>Intercostal nerve 5</x:v>
      </x:c>
      <x:c r="K253" s="24" t="str">
        <x:v>T5</x:v>
      </x:c>
      <x:c r="L253" s="24" t="str">
        <x:v>Segmental rib-to-rib muscle attachment</x:v>
      </x:c>
      <x:c r="M253" s="24" t="str">
        <x:v>Costal periosteum/intercostal membrane; no specific direct ligament</x:v>
      </x:c>
      <x:c r="N253" s="30" t="str">
        <x:v>Not established</x:v>
      </x:c>
      <x:c r="O253" s="30" t="str">
        <x:v>Not established</x:v>
      </x:c>
      <x:c r="P253" s="30" t="str">
        <x:v>Mixed Type I and Type II; ratio unverified</x:v>
      </x:c>
      <x:c r="Q253" s="24" t="str">
        <x:v>Published biopsies insufficient to state a reliable per-muscle percentage; no inference from function</x:v>
      </x:c>
      <x:c r="R253" s="32" t="str">
        <x:v>https://www.kenhub.com/en/library/anatomy/thorax</x:v>
      </x:c>
      <x:c r="S253" s="32" t="str">
        <x:v>https://pubmed.ncbi.nlm.nih.gov/39359186/</x:v>
      </x:c>
    </x:row>
    <x:row r="254" ht="53" customHeight="1">
      <x:c r="A254" s="24" t="str">
        <x:v>Internal intercostal (interspace 6, R6-R7)</x:v>
      </x:c>
      <x:c r="B254" s="24" t="str">
        <x:v>Segment-level fascicle</x:v>
      </x:c>
      <x:c r="C254" s="24" t="str">
        <x:v>Stabilizer</x:v>
      </x:c>
      <x:c r="D254" s="28" t="str">
        <x:v>No</x:v>
      </x:c>
      <x:c r="E254" s="28" t="str">
        <x:v>No</x:v>
      </x:c>
      <x:c r="F254" s="28" t="str">
        <x:v>Yes</x:v>
      </x:c>
      <x:c r="G254" s="24" t="str">
        <x:v>Interosseous portion depresses rib; interchondral portion elevates</x:v>
      </x:c>
      <x:c r="H254" s="24" t="str">
        <x:v>Inferior margin of rib 6</x:v>
      </x:c>
      <x:c r="I254" s="24" t="str">
        <x:v>Superior margin of rib 7</x:v>
      </x:c>
      <x:c r="J254" s="24" t="str">
        <x:v>Intercostal nerve 6</x:v>
      </x:c>
      <x:c r="K254" s="24" t="str">
        <x:v>T6</x:v>
      </x:c>
      <x:c r="L254" s="24" t="str">
        <x:v>Segmental rib-to-rib muscle attachment</x:v>
      </x:c>
      <x:c r="M254" s="24" t="str">
        <x:v>Costal periosteum/intercostal membrane; no specific direct ligament</x:v>
      </x:c>
      <x:c r="N254" s="30" t="str">
        <x:v>Not established</x:v>
      </x:c>
      <x:c r="O254" s="30" t="str">
        <x:v>Not established</x:v>
      </x:c>
      <x:c r="P254" s="30" t="str">
        <x:v>Mixed Type I and Type II; ratio unverified</x:v>
      </x:c>
      <x:c r="Q254" s="24" t="str">
        <x:v>Published biopsies insufficient to state a reliable per-muscle percentage; no inference from function</x:v>
      </x:c>
      <x:c r="R254" s="32" t="str">
        <x:v>https://www.kenhub.com/en/library/anatomy/thorax</x:v>
      </x:c>
      <x:c r="S254" s="32" t="str">
        <x:v>https://pubmed.ncbi.nlm.nih.gov/39359186/</x:v>
      </x:c>
    </x:row>
    <x:row r="255" ht="53" customHeight="1">
      <x:c r="A255" s="24" t="str">
        <x:v>Internal intercostal (interspace 7, R7-R8)</x:v>
      </x:c>
      <x:c r="B255" s="24" t="str">
        <x:v>Segment-level fascicle</x:v>
      </x:c>
      <x:c r="C255" s="24" t="str">
        <x:v>Stabilizer</x:v>
      </x:c>
      <x:c r="D255" s="28" t="str">
        <x:v>No</x:v>
      </x:c>
      <x:c r="E255" s="28" t="str">
        <x:v>No</x:v>
      </x:c>
      <x:c r="F255" s="28" t="str">
        <x:v>Yes</x:v>
      </x:c>
      <x:c r="G255" s="24" t="str">
        <x:v>Interosseous portion depresses rib; interchondral portion elevates</x:v>
      </x:c>
      <x:c r="H255" s="24" t="str">
        <x:v>Inferior margin of rib 7</x:v>
      </x:c>
      <x:c r="I255" s="24" t="str">
        <x:v>Superior margin of rib 8</x:v>
      </x:c>
      <x:c r="J255" s="24" t="str">
        <x:v>Intercostal nerve 7</x:v>
      </x:c>
      <x:c r="K255" s="24" t="str">
        <x:v>T7</x:v>
      </x:c>
      <x:c r="L255" s="24" t="str">
        <x:v>Segmental rib-to-rib muscle attachment</x:v>
      </x:c>
      <x:c r="M255" s="24" t="str">
        <x:v>Costal periosteum/intercostal membrane; no specific direct ligament</x:v>
      </x:c>
      <x:c r="N255" s="30" t="str">
        <x:v>Not established</x:v>
      </x:c>
      <x:c r="O255" s="30" t="str">
        <x:v>Not established</x:v>
      </x:c>
      <x:c r="P255" s="30" t="str">
        <x:v>Mixed Type I and Type II; ratio unverified</x:v>
      </x:c>
      <x:c r="Q255" s="24" t="str">
        <x:v>Published biopsies insufficient to state a reliable per-muscle percentage; no inference from function</x:v>
      </x:c>
      <x:c r="R255" s="32" t="str">
        <x:v>https://www.kenhub.com/en/library/anatomy/thorax</x:v>
      </x:c>
      <x:c r="S255" s="32" t="str">
        <x:v>https://pubmed.ncbi.nlm.nih.gov/39359186/</x:v>
      </x:c>
    </x:row>
    <x:row r="256" ht="53" customHeight="1">
      <x:c r="A256" s="24" t="str">
        <x:v>Internal intercostal (interspace 8, R8-R9)</x:v>
      </x:c>
      <x:c r="B256" s="24" t="str">
        <x:v>Segment-level fascicle</x:v>
      </x:c>
      <x:c r="C256" s="24" t="str">
        <x:v>Stabilizer</x:v>
      </x:c>
      <x:c r="D256" s="28" t="str">
        <x:v>No</x:v>
      </x:c>
      <x:c r="E256" s="28" t="str">
        <x:v>No</x:v>
      </x:c>
      <x:c r="F256" s="28" t="str">
        <x:v>Yes</x:v>
      </x:c>
      <x:c r="G256" s="24" t="str">
        <x:v>Interosseous portion depresses rib; interchondral portion elevates</x:v>
      </x:c>
      <x:c r="H256" s="24" t="str">
        <x:v>Inferior margin of rib 8</x:v>
      </x:c>
      <x:c r="I256" s="24" t="str">
        <x:v>Superior margin of rib 9</x:v>
      </x:c>
      <x:c r="J256" s="24" t="str">
        <x:v>Intercostal nerve 8</x:v>
      </x:c>
      <x:c r="K256" s="24" t="str">
        <x:v>T8</x:v>
      </x:c>
      <x:c r="L256" s="24" t="str">
        <x:v>Segmental rib-to-rib muscle attachment</x:v>
      </x:c>
      <x:c r="M256" s="24" t="str">
        <x:v>Costal periosteum/intercostal membrane; no specific direct ligament</x:v>
      </x:c>
      <x:c r="N256" s="30" t="str">
        <x:v>Not established</x:v>
      </x:c>
      <x:c r="O256" s="30" t="str">
        <x:v>Not established</x:v>
      </x:c>
      <x:c r="P256" s="30" t="str">
        <x:v>Mixed Type I and Type II; ratio unverified</x:v>
      </x:c>
      <x:c r="Q256" s="24" t="str">
        <x:v>Published biopsies insufficient to state a reliable per-muscle percentage; no inference from function</x:v>
      </x:c>
      <x:c r="R256" s="32" t="str">
        <x:v>https://www.kenhub.com/en/library/anatomy/thorax</x:v>
      </x:c>
      <x:c r="S256" s="32" t="str">
        <x:v>https://pubmed.ncbi.nlm.nih.gov/39359186/</x:v>
      </x:c>
    </x:row>
    <x:row r="257" ht="53" customHeight="1">
      <x:c r="A257" s="24" t="str">
        <x:v>Internal intercostal (interspace 9, R9-R10)</x:v>
      </x:c>
      <x:c r="B257" s="24" t="str">
        <x:v>Segment-level fascicle</x:v>
      </x:c>
      <x:c r="C257" s="24" t="str">
        <x:v>Stabilizer</x:v>
      </x:c>
      <x:c r="D257" s="28" t="str">
        <x:v>No</x:v>
      </x:c>
      <x:c r="E257" s="28" t="str">
        <x:v>No</x:v>
      </x:c>
      <x:c r="F257" s="28" t="str">
        <x:v>Yes</x:v>
      </x:c>
      <x:c r="G257" s="24" t="str">
        <x:v>Interosseous portion depresses rib; interchondral portion elevates</x:v>
      </x:c>
      <x:c r="H257" s="24" t="str">
        <x:v>Inferior margin of rib 9</x:v>
      </x:c>
      <x:c r="I257" s="24" t="str">
        <x:v>Superior margin of rib 10</x:v>
      </x:c>
      <x:c r="J257" s="24" t="str">
        <x:v>Intercostal nerve 9</x:v>
      </x:c>
      <x:c r="K257" s="24" t="str">
        <x:v>T9</x:v>
      </x:c>
      <x:c r="L257" s="24" t="str">
        <x:v>Segmental rib-to-rib muscle attachment</x:v>
      </x:c>
      <x:c r="M257" s="24" t="str">
        <x:v>Costal periosteum/intercostal membrane; no specific direct ligament</x:v>
      </x:c>
      <x:c r="N257" s="30" t="str">
        <x:v>Not established</x:v>
      </x:c>
      <x:c r="O257" s="30" t="str">
        <x:v>Not established</x:v>
      </x:c>
      <x:c r="P257" s="30" t="str">
        <x:v>Mixed Type I and Type II; ratio unverified</x:v>
      </x:c>
      <x:c r="Q257" s="24" t="str">
        <x:v>Published biopsies insufficient to state a reliable per-muscle percentage; no inference from function</x:v>
      </x:c>
      <x:c r="R257" s="32" t="str">
        <x:v>https://www.kenhub.com/en/library/anatomy/thorax</x:v>
      </x:c>
      <x:c r="S257" s="32" t="str">
        <x:v>https://pubmed.ncbi.nlm.nih.gov/39359186/</x:v>
      </x:c>
    </x:row>
    <x:row r="258" ht="53" customHeight="1">
      <x:c r="A258" s="24" t="str">
        <x:v>Corrugator supercilii</x:v>
      </x:c>
      <x:c r="B258" s="24" t="str">
        <x:v>Brow</x:v>
      </x:c>
      <x:c r="C258" s="24" t="str">
        <x:v>Other</x:v>
      </x:c>
      <x:c r="D258" s="28" t="str">
        <x:v>No</x:v>
      </x:c>
      <x:c r="E258" s="28" t="str">
        <x:v>No</x:v>
      </x:c>
      <x:c r="F258" s="28" t="str">
        <x:v>No</x:v>
      </x:c>
      <x:c r="G258" s="24" t="str">
        <x:v>Draws eyebrows medially/down, vertical wrinkles</x:v>
      </x:c>
      <x:c r="H258" s="24" t="str">
        <x:v>Medial end superciliary arch frontal bone</x:v>
      </x:c>
      <x:c r="I258" s="24" t="str">
        <x:v>Deep skin medial eyebrow</x:v>
      </x:c>
      <x:c r="J258" s="24" t="str">
        <x:v>Temporal branch facial nerve</x:v>
      </x:c>
      <x:c r="K258" s="24" t="str">
        <x:v>CN VII; no spinal root</x:v>
      </x:c>
      <x:c r="L258" s="24" t="str">
        <x:v>Dermal fibrous insertion</x:v>
      </x:c>
      <x:c r="M258" s="24" t="str">
        <x:v>No specific direct ligament attachment</x:v>
      </x:c>
      <x:c r="N258" s="30" t="str">
        <x:v>Not established</x:v>
      </x:c>
      <x:c r="O258" s="30" t="str">
        <x:v>Not established</x:v>
      </x:c>
      <x:c r="P258" s="30" t="str">
        <x:v>Mixed Type I and Type II; ratio unverified</x:v>
      </x:c>
      <x:c r="Q258" s="24" t="str">
        <x:v>Published biopsies insufficient to state a reliable per-muscle percentage; no inference from function</x:v>
      </x:c>
      <x:c r="R258" s="32" t="str">
        <x:v>https://www.kenhub.com/en/library/anatomy/head-anatomy</x:v>
      </x:c>
      <x:c r="S258" s="32" t="str">
        <x:v>https://pubmed.ncbi.nlm.nih.gov/39359186/</x:v>
      </x:c>
    </x:row>
    <x:row r="259" ht="53" customHeight="1">
      <x:c r="A259" s="24" t="str">
        <x:v>Levator anguli oris</x:v>
      </x:c>
      <x:c r="B259" s="24" t="str">
        <x:v>Cheek</x:v>
      </x:c>
      <x:c r="C259" s="24" t="str">
        <x:v>Other</x:v>
      </x:c>
      <x:c r="D259" s="28" t="str">
        <x:v>No</x:v>
      </x:c>
      <x:c r="E259" s="28" t="str">
        <x:v>No</x:v>
      </x:c>
      <x:c r="F259" s="28" t="str">
        <x:v>No</x:v>
      </x:c>
      <x:c r="G259" s="24" t="str">
        <x:v>Raises mouth corner</x:v>
      </x:c>
      <x:c r="H259" s="24" t="str">
        <x:v>Canine fossa of maxilla</x:v>
      </x:c>
      <x:c r="I259" s="24" t="str">
        <x:v>Modiolus at mouth angle</x:v>
      </x:c>
      <x:c r="J259" s="24" t="str">
        <x:v>Buccal facial branches</x:v>
      </x:c>
      <x:c r="K259" s="24" t="str">
        <x:v>CN VII; no spinal root</x:v>
      </x:c>
      <x:c r="L259" s="24" t="str">
        <x:v>Modiolus junction</x:v>
      </x:c>
      <x:c r="M259" s="24" t="str">
        <x:v>No specific ligament attachment</x:v>
      </x:c>
      <x:c r="N259" s="30" t="str">
        <x:v>Not established</x:v>
      </x:c>
      <x:c r="O259" s="30" t="str">
        <x:v>Not established</x:v>
      </x:c>
      <x:c r="P259" s="30" t="str">
        <x:v>Mixed Type I and Type II; ratio unverified</x:v>
      </x:c>
      <x:c r="Q259" s="24" t="str">
        <x:v>Published biopsies insufficient to state a reliable per-muscle percentage; no inference from function</x:v>
      </x:c>
      <x:c r="R259" s="32" t="str">
        <x:v>https://www.kenhub.com/en/library/anatomy/head-anatomy</x:v>
      </x:c>
      <x:c r="S259" s="32" t="str">
        <x:v>https://pubmed.ncbi.nlm.nih.gov/39359186/</x:v>
      </x:c>
    </x:row>
    <x:row r="260" ht="53" customHeight="1">
      <x:c r="A260" s="24" t="str">
        <x:v>Zygomaticus major</x:v>
      </x:c>
      <x:c r="B260" s="24" t="str">
        <x:v>Cheek</x:v>
      </x:c>
      <x:c r="C260" s="24" t="str">
        <x:v>Other</x:v>
      </x:c>
      <x:c r="D260" s="28" t="str">
        <x:v>No</x:v>
      </x:c>
      <x:c r="E260" s="28" t="str">
        <x:v>No</x:v>
      </x:c>
      <x:c r="F260" s="28" t="str">
        <x:v>No</x:v>
      </x:c>
      <x:c r="G260" s="24" t="str">
        <x:v>Elevates and laterally draws mouth angle (smile)</x:v>
      </x:c>
      <x:c r="H260" s="24" t="str">
        <x:v>Lateral zygomatic bone</x:v>
      </x:c>
      <x:c r="I260" s="24" t="str">
        <x:v>Modiolus at angle of mouth</x:v>
      </x:c>
      <x:c r="J260" s="24" t="str">
        <x:v>Zygomatic/buccal facial branches</x:v>
      </x:c>
      <x:c r="K260" s="24" t="str">
        <x:v>CN VII; no spinal root</x:v>
      </x:c>
      <x:c r="L260" s="24" t="str">
        <x:v>Modiolus fibromuscular junction</x:v>
      </x:c>
      <x:c r="M260" s="24" t="str">
        <x:v>No specific ligament attachment</x:v>
      </x:c>
      <x:c r="N260" s="30" t="str">
        <x:v>Not established</x:v>
      </x:c>
      <x:c r="O260" s="30" t="str">
        <x:v>Not established</x:v>
      </x:c>
      <x:c r="P260" s="30" t="str">
        <x:v>Mixed Type I and Type II; ratio unverified</x:v>
      </x:c>
      <x:c r="Q260" s="24" t="str">
        <x:v>Published biopsies insufficient to state a reliable per-muscle percentage; no inference from function</x:v>
      </x:c>
      <x:c r="R260" s="32" t="str">
        <x:v>https://www.kenhub.com/en/library/anatomy/head-anatomy</x:v>
      </x:c>
      <x:c r="S260" s="32" t="str">
        <x:v>https://pubmed.ncbi.nlm.nih.gov/39359186/</x:v>
      </x:c>
    </x:row>
    <x:row r="261" ht="53" customHeight="1">
      <x:c r="A261" s="24" t="str">
        <x:v>Buccinator</x:v>
      </x:c>
      <x:c r="B261" s="24" t="str">
        <x:v>Cheek deep</x:v>
      </x:c>
      <x:c r="C261" s="24" t="str">
        <x:v>Stabilizer</x:v>
      </x:c>
      <x:c r="D261" s="28" t="str">
        <x:v>No</x:v>
      </x:c>
      <x:c r="E261" s="28" t="str">
        <x:v>No</x:v>
      </x:c>
      <x:c r="F261" s="28" t="str">
        <x:v>Yes</x:v>
      </x:c>
      <x:c r="G261" s="24" t="str">
        <x:v>Compresses cheek against molars; blowing/chewing</x:v>
      </x:c>
      <x:c r="H261" s="24" t="str">
        <x:v>Alveolar processes maxilla/mandible; pterygomandibular raphe</x:v>
      </x:c>
      <x:c r="I261" s="24" t="str">
        <x:v>Orbicularis oris and modiolus</x:v>
      </x:c>
      <x:c r="J261" s="24" t="str">
        <x:v>Buccal branches facial nerve (not buccal nerve V3 motor)</x:v>
      </x:c>
      <x:c r="K261" s="24" t="str">
        <x:v>CN VII; no spinal root</x:v>
      </x:c>
      <x:c r="L261" s="24" t="str">
        <x:v>Pterygomandibular raphe fibrous origin</x:v>
      </x:c>
      <x:c r="M261" s="24" t="str">
        <x:v>Pterygomandibular raphe direct origin (not ligament)</x:v>
      </x:c>
      <x:c r="N261" s="30" t="str">
        <x:v>Not established</x:v>
      </x:c>
      <x:c r="O261" s="30" t="str">
        <x:v>Not established</x:v>
      </x:c>
      <x:c r="P261" s="30" t="str">
        <x:v>Mixed Type I and Type II; ratio unverified</x:v>
      </x:c>
      <x:c r="Q261" s="24" t="str">
        <x:v>Published biopsies insufficient to state a reliable per-muscle percentage; no inference from function</x:v>
      </x:c>
      <x:c r="R261" s="32" t="str">
        <x:v>https://www.kenhub.com/en/library/anatomy/head-anatomy</x:v>
      </x:c>
      <x:c r="S261" s="32" t="str">
        <x:v>https://pubmed.ncbi.nlm.nih.gov/39359186/</x:v>
      </x:c>
    </x:row>
    <x:row r="262" ht="53" customHeight="1">
      <x:c r="A262" s="24" t="str">
        <x:v>Risorius</x:v>
      </x:c>
      <x:c r="B262" s="24" t="str">
        <x:v>Cheek superficial</x:v>
      </x:c>
      <x:c r="C262" s="24" t="str">
        <x:v>Other</x:v>
      </x:c>
      <x:c r="D262" s="28" t="str">
        <x:v>No</x:v>
      </x:c>
      <x:c r="E262" s="28" t="str">
        <x:v>No</x:v>
      </x:c>
      <x:c r="F262" s="28" t="str">
        <x:v>No</x:v>
      </x:c>
      <x:c r="G262" s="24" t="str">
        <x:v>Retracts mouth corner laterally</x:v>
      </x:c>
      <x:c r="H262" s="24" t="str">
        <x:v>Parotid/masseteric fascia</x:v>
      </x:c>
      <x:c r="I262" s="24" t="str">
        <x:v>Modiolus at mouth angle</x:v>
      </x:c>
      <x:c r="J262" s="24" t="str">
        <x:v>Buccal facial branches</x:v>
      </x:c>
      <x:c r="K262" s="24" t="str">
        <x:v>CN VII; no spinal root</x:v>
      </x:c>
      <x:c r="L262" s="24" t="str">
        <x:v>Thin fascial fibers</x:v>
      </x:c>
      <x:c r="M262" s="24" t="str">
        <x:v>Parotidomasseteric fascia is fascia, not ligament</x:v>
      </x:c>
      <x:c r="N262" s="30" t="str">
        <x:v>Not established</x:v>
      </x:c>
      <x:c r="O262" s="30" t="str">
        <x:v>Not established</x:v>
      </x:c>
      <x:c r="P262" s="30" t="str">
        <x:v>Mixed Type I and Type II; ratio unverified</x:v>
      </x:c>
      <x:c r="Q262" s="24" t="str">
        <x:v>Published biopsies insufficient to state a reliable per-muscle percentage; no inference from function</x:v>
      </x:c>
      <x:c r="R262" s="32" t="str">
        <x:v>https://www.kenhub.com/en/library/anatomy/head-anatomy</x:v>
      </x:c>
      <x:c r="S262" s="32" t="str">
        <x:v>https://pubmed.ncbi.nlm.nih.gov/39359186/</x:v>
      </x:c>
    </x:row>
    <x:row r="263" ht="53" customHeight="1">
      <x:c r="A263" s="24" t="str">
        <x:v>Mentalis</x:v>
      </x:c>
      <x:c r="B263" s="24" t="str">
        <x:v>Chin</x:v>
      </x:c>
      <x:c r="C263" s="24" t="str">
        <x:v>Other</x:v>
      </x:c>
      <x:c r="D263" s="28" t="str">
        <x:v>No</x:v>
      </x:c>
      <x:c r="E263" s="28" t="str">
        <x:v>No</x:v>
      </x:c>
      <x:c r="F263" s="28" t="str">
        <x:v>No</x:v>
      </x:c>
      <x:c r="G263" s="24" t="str">
        <x:v>Elevates/protrudes lower lip; wrinkles chin</x:v>
      </x:c>
      <x:c r="H263" s="24" t="str">
        <x:v>Incisive fossa of mandible</x:v>
      </x:c>
      <x:c r="I263" s="24" t="str">
        <x:v>Skin chin</x:v>
      </x:c>
      <x:c r="J263" s="24" t="str">
        <x:v>Marginal mandibular facial branch</x:v>
      </x:c>
      <x:c r="K263" s="24" t="str">
        <x:v>CN VII; no spinal root</x:v>
      </x:c>
      <x:c r="L263" s="24" t="str">
        <x:v>Dermal insertion</x:v>
      </x:c>
      <x:c r="M263" s="24" t="str">
        <x:v>No direct ligament attachment</x:v>
      </x:c>
      <x:c r="N263" s="30" t="str">
        <x:v>Not established</x:v>
      </x:c>
      <x:c r="O263" s="30" t="str">
        <x:v>Not established</x:v>
      </x:c>
      <x:c r="P263" s="30" t="str">
        <x:v>Mixed Type I and Type II; ratio unverified</x:v>
      </x:c>
      <x:c r="Q263" s="24" t="str">
        <x:v>Published biopsies insufficient to state a reliable per-muscle percentage; no inference from function</x:v>
      </x:c>
      <x:c r="R263" s="32" t="str">
        <x:v>https://www.kenhub.com/en/library/anatomy/head-anatomy</x:v>
      </x:c>
      <x:c r="S263" s="32" t="str">
        <x:v>https://pubmed.ncbi.nlm.nih.gov/39359186/</x:v>
      </x:c>
    </x:row>
    <x:row r="264" ht="53" customHeight="1">
      <x:c r="A264" s="24" t="str">
        <x:v>Antitragicus</x:v>
      </x:c>
      <x:c r="B264" s="24" t="str">
        <x:v>Ear pinna</x:v>
      </x:c>
      <x:c r="C264" s="24" t="str">
        <x:v>Other</x:v>
      </x:c>
      <x:c r="D264" s="28" t="str">
        <x:v>No</x:v>
      </x:c>
      <x:c r="E264" s="28" t="str">
        <x:v>No</x:v>
      </x:c>
      <x:c r="F264" s="28" t="str">
        <x:v>No</x:v>
      </x:c>
      <x:c r="G264" s="24" t="str">
        <x:v>Minor antitragus/helix movement</x:v>
      </x:c>
      <x:c r="H264" s="24" t="str">
        <x:v>Antitragus cartilage</x:v>
      </x:c>
      <x:c r="I264" s="24" t="str">
        <x:v>Cauda helicis region</x:v>
      </x:c>
      <x:c r="J264" s="24" t="str">
        <x:v>Facial nerve auricular branches</x:v>
      </x:c>
      <x:c r="K264" s="24" t="str">
        <x:v>CN VII; no spinal root</x:v>
      </x:c>
      <x:c r="L264" s="24" t="str">
        <x:v>Short cartilage attachment</x:v>
      </x:c>
      <x:c r="M264" s="24" t="str">
        <x:v>Auricular perichondrium</x:v>
      </x:c>
      <x:c r="N264" s="30" t="str">
        <x:v>Not established</x:v>
      </x:c>
      <x:c r="O264" s="30" t="str">
        <x:v>Not established</x:v>
      </x:c>
      <x:c r="P264" s="30" t="str">
        <x:v>Mixed Type I and Type II; ratio unverified</x:v>
      </x:c>
      <x:c r="Q264" s="24" t="str">
        <x:v>Published biopsies insufficient to state a reliable per-muscle percentage; no inference from function</x:v>
      </x:c>
      <x:c r="R264" s="32" t="str">
        <x:v>https://www.kenhub.com/en/library/anatomy/head-anatomy</x:v>
      </x:c>
      <x:c r="S264" s="32" t="str">
        <x:v>https://pubmed.ncbi.nlm.nih.gov/39359186/</x:v>
      </x:c>
    </x:row>
    <x:row r="265" ht="53" customHeight="1">
      <x:c r="A265" s="24" t="str">
        <x:v>Helicis major (intrinsic auricular)</x:v>
      </x:c>
      <x:c r="B265" s="24" t="str">
        <x:v>Ear pinna</x:v>
      </x:c>
      <x:c r="C265" s="24" t="str">
        <x:v>Other</x:v>
      </x:c>
      <x:c r="D265" s="28" t="str">
        <x:v>No</x:v>
      </x:c>
      <x:c r="E265" s="28" t="str">
        <x:v>No</x:v>
      </x:c>
      <x:c r="F265" s="28" t="str">
        <x:v>No</x:v>
      </x:c>
      <x:c r="G265" s="24" t="str">
        <x:v>Minor helix shape change</x:v>
      </x:c>
      <x:c r="H265" s="24" t="str">
        <x:v>Spine of helix</x:v>
      </x:c>
      <x:c r="I265" s="24" t="str">
        <x:v>Anterior border of helix</x:v>
      </x:c>
      <x:c r="J265" s="24" t="str">
        <x:v>Facial nerve auricular branches</x:v>
      </x:c>
      <x:c r="K265" s="24" t="str">
        <x:v>CN VII; no spinal root</x:v>
      </x:c>
      <x:c r="L265" s="24" t="str">
        <x:v>Intrachondral/fascial slips</x:v>
      </x:c>
      <x:c r="M265" s="24" t="str">
        <x:v>Auricular perichondrium</x:v>
      </x:c>
      <x:c r="N265" s="30" t="str">
        <x:v>Not established</x:v>
      </x:c>
      <x:c r="O265" s="30" t="str">
        <x:v>Not established</x:v>
      </x:c>
      <x:c r="P265" s="30" t="str">
        <x:v>Mixed Type I and Type II; ratio unverified</x:v>
      </x:c>
      <x:c r="Q265" s="24" t="str">
        <x:v>Published biopsies insufficient to state a reliable per-muscle percentage; no inference from function</x:v>
      </x:c>
      <x:c r="R265" s="32" t="str">
        <x:v>https://www.kenhub.com/en/library/anatomy/head-anatomy</x:v>
      </x:c>
      <x:c r="S265" s="32" t="str">
        <x:v>https://pubmed.ncbi.nlm.nih.gov/39359186/</x:v>
      </x:c>
    </x:row>
    <x:row r="266" ht="53" customHeight="1">
      <x:c r="A266" s="24" t="str">
        <x:v>Helicis minor (intrinsic auricular)</x:v>
      </x:c>
      <x:c r="B266" s="24" t="str">
        <x:v>Ear pinna</x:v>
      </x:c>
      <x:c r="C266" s="24" t="str">
        <x:v>Other</x:v>
      </x:c>
      <x:c r="D266" s="28" t="str">
        <x:v>No</x:v>
      </x:c>
      <x:c r="E266" s="28" t="str">
        <x:v>No</x:v>
      </x:c>
      <x:c r="F266" s="28" t="str">
        <x:v>No</x:v>
      </x:c>
      <x:c r="G266" s="24" t="str">
        <x:v>Minor helix shape change</x:v>
      </x:c>
      <x:c r="H266" s="24" t="str">
        <x:v>Root of helix</x:v>
      </x:c>
      <x:c r="I266" s="24" t="str">
        <x:v>Nearby anterior helix</x:v>
      </x:c>
      <x:c r="J266" s="24" t="str">
        <x:v>Facial nerve auricular branches</x:v>
      </x:c>
      <x:c r="K266" s="24" t="str">
        <x:v>CN VII; no spinal root</x:v>
      </x:c>
      <x:c r="L266" s="24" t="str">
        <x:v>Short dermal/cartilaginous fibers</x:v>
      </x:c>
      <x:c r="M266" s="24" t="str">
        <x:v>Perichondrium of helix</x:v>
      </x:c>
      <x:c r="N266" s="30" t="str">
        <x:v>Not established</x:v>
      </x:c>
      <x:c r="O266" s="30" t="str">
        <x:v>Not established</x:v>
      </x:c>
      <x:c r="P266" s="30" t="str">
        <x:v>Mixed Type I and Type II; ratio unverified</x:v>
      </x:c>
      <x:c r="Q266" s="24" t="str">
        <x:v>Published biopsies insufficient to state a reliable per-muscle percentage; no inference from function</x:v>
      </x:c>
      <x:c r="R266" s="32" t="str">
        <x:v>https://www.kenhub.com/en/library/anatomy/head-anatomy</x:v>
      </x:c>
      <x:c r="S266" s="32" t="str">
        <x:v>https://pubmed.ncbi.nlm.nih.gov/39359186/</x:v>
      </x:c>
    </x:row>
    <x:row r="267" ht="53" customHeight="1">
      <x:c r="A267" s="24" t="str">
        <x:v>Tragicus</x:v>
      </x:c>
      <x:c r="B267" s="24" t="str">
        <x:v>Ear pinna</x:v>
      </x:c>
      <x:c r="C267" s="24" t="str">
        <x:v>Other</x:v>
      </x:c>
      <x:c r="D267" s="28" t="str">
        <x:v>No</x:v>
      </x:c>
      <x:c r="E267" s="28" t="str">
        <x:v>No</x:v>
      </x:c>
      <x:c r="F267" s="28" t="str">
        <x:v>No</x:v>
      </x:c>
      <x:c r="G267" s="24" t="str">
        <x:v>Alters tragus shape</x:v>
      </x:c>
      <x:c r="H267" s="24" t="str">
        <x:v>Lateral tragal cartilage</x:v>
      </x:c>
      <x:c r="I267" s="24" t="str">
        <x:v>Skin/cartilage tragus</x:v>
      </x:c>
      <x:c r="J267" s="24" t="str">
        <x:v>Facial nerve auricular branches</x:v>
      </x:c>
      <x:c r="K267" s="24" t="str">
        <x:v>CN VII; no spinal root</x:v>
      </x:c>
      <x:c r="L267" s="24" t="str">
        <x:v>Dermal/cartilage insertion</x:v>
      </x:c>
      <x:c r="M267" s="24" t="str">
        <x:v>Tragal cartilage fibrous covering</x:v>
      </x:c>
      <x:c r="N267" s="30" t="str">
        <x:v>Not established</x:v>
      </x:c>
      <x:c r="O267" s="30" t="str">
        <x:v>Not established</x:v>
      </x:c>
      <x:c r="P267" s="30" t="str">
        <x:v>Mixed Type I and Type II; ratio unverified</x:v>
      </x:c>
      <x:c r="Q267" s="24" t="str">
        <x:v>Published biopsies insufficient to state a reliable per-muscle percentage; no inference from function</x:v>
      </x:c>
      <x:c r="R267" s="32" t="str">
        <x:v>https://www.kenhub.com/en/library/anatomy/head-anatomy</x:v>
      </x:c>
      <x:c r="S267" s="32" t="str">
        <x:v>https://pubmed.ncbi.nlm.nih.gov/39359186/</x:v>
      </x:c>
    </x:row>
    <x:row r="268" ht="53" customHeight="1">
      <x:c r="A268" s="24" t="str">
        <x:v>Oblique auricular muscle</x:v>
      </x:c>
      <x:c r="B268" s="24" t="str">
        <x:v>Ear pinna posterior</x:v>
      </x:c>
      <x:c r="C268" s="24" t="str">
        <x:v>Other</x:v>
      </x:c>
      <x:c r="D268" s="28" t="str">
        <x:v>No</x:v>
      </x:c>
      <x:c r="E268" s="28" t="str">
        <x:v>No</x:v>
      </x:c>
      <x:c r="F268" s="28" t="str">
        <x:v>No</x:v>
      </x:c>
      <x:c r="G268" s="24" t="str">
        <x:v>Minor ear shape adjustments</x:v>
      </x:c>
      <x:c r="H268" s="24" t="str">
        <x:v>Posterior conchal eminence</x:v>
      </x:c>
      <x:c r="I268" s="24" t="str">
        <x:v>Posterior triangular fossa</x:v>
      </x:c>
      <x:c r="J268" s="24" t="str">
        <x:v>Facial nerve auricular branches</x:v>
      </x:c>
      <x:c r="K268" s="24" t="str">
        <x:v>CN VII; no spinal root</x:v>
      </x:c>
      <x:c r="L268" s="24" t="str">
        <x:v>Short fascicular attachment</x:v>
      </x:c>
      <x:c r="M268" s="24" t="str">
        <x:v>Auricular perichondrium</x:v>
      </x:c>
      <x:c r="N268" s="30" t="str">
        <x:v>Not established</x:v>
      </x:c>
      <x:c r="O268" s="30" t="str">
        <x:v>Not established</x:v>
      </x:c>
      <x:c r="P268" s="30" t="str">
        <x:v>Mixed Type I and Type II; ratio unverified</x:v>
      </x:c>
      <x:c r="Q268" s="24" t="str">
        <x:v>Published biopsies insufficient to state a reliable per-muscle percentage; no inference from function</x:v>
      </x:c>
      <x:c r="R268" s="32" t="str">
        <x:v>https://www.kenhub.com/en/library/anatomy/head-anatomy</x:v>
      </x:c>
      <x:c r="S268" s="32" t="str">
        <x:v>https://pubmed.ncbi.nlm.nih.gov/39359186/</x:v>
      </x:c>
    </x:row>
    <x:row r="269" ht="53" customHeight="1">
      <x:c r="A269" s="24" t="str">
        <x:v>Transverse auricular muscle</x:v>
      </x:c>
      <x:c r="B269" s="24" t="str">
        <x:v>Ear pinna posterior</x:v>
      </x:c>
      <x:c r="C269" s="24" t="str">
        <x:v>Other</x:v>
      </x:c>
      <x:c r="D269" s="28" t="str">
        <x:v>No</x:v>
      </x:c>
      <x:c r="E269" s="28" t="str">
        <x:v>No</x:v>
      </x:c>
      <x:c r="F269" s="28" t="str">
        <x:v>No</x:v>
      </x:c>
      <x:c r="G269" s="24" t="str">
        <x:v>Flattens ear contours</x:v>
      </x:c>
      <x:c r="H269" s="24" t="str">
        <x:v>Convexity of concha posterior surface</x:v>
      </x:c>
      <x:c r="I269" s="24" t="str">
        <x:v>Eminence of scapha</x:v>
      </x:c>
      <x:c r="J269" s="24" t="str">
        <x:v>Facial nerve auricular branches</x:v>
      </x:c>
      <x:c r="K269" s="24" t="str">
        <x:v>CN VII; no spinal root</x:v>
      </x:c>
      <x:c r="L269" s="24" t="str">
        <x:v>Short auricular fascial slips</x:v>
      </x:c>
      <x:c r="M269" s="24" t="str">
        <x:v>Auricular perichondrium</x:v>
      </x:c>
      <x:c r="N269" s="30" t="str">
        <x:v>Not established</x:v>
      </x:c>
      <x:c r="O269" s="30" t="str">
        <x:v>Not established</x:v>
      </x:c>
      <x:c r="P269" s="30" t="str">
        <x:v>Mixed Type I and Type II; ratio unverified</x:v>
      </x:c>
      <x:c r="Q269" s="24" t="str">
        <x:v>Published biopsies insufficient to state a reliable per-muscle percentage; no inference from function</x:v>
      </x:c>
      <x:c r="R269" s="32" t="str">
        <x:v>https://www.kenhub.com/en/library/anatomy/head-anatomy</x:v>
      </x:c>
      <x:c r="S269" s="32" t="str">
        <x:v>https://pubmed.ncbi.nlm.nih.gov/39359186/</x:v>
      </x:c>
    </x:row>
    <x:row r="270" ht="53" customHeight="1">
      <x:c r="A270" s="24" t="str">
        <x:v>Auricularis anterior</x:v>
      </x:c>
      <x:c r="B270" s="24" t="str">
        <x:v>External auricle</x:v>
      </x:c>
      <x:c r="C270" s="24" t="str">
        <x:v>Other</x:v>
      </x:c>
      <x:c r="D270" s="28" t="str">
        <x:v>No</x:v>
      </x:c>
      <x:c r="E270" s="28" t="str">
        <x:v>No</x:v>
      </x:c>
      <x:c r="F270" s="28" t="str">
        <x:v>No</x:v>
      </x:c>
      <x:c r="G270" s="24" t="str">
        <x:v>Draws ear forward</x:v>
      </x:c>
      <x:c r="H270" s="24" t="str">
        <x:v>Temporal fascia</x:v>
      </x:c>
      <x:c r="I270" s="24" t="str">
        <x:v>Anterior helix of auricle</x:v>
      </x:c>
      <x:c r="J270" s="24" t="str">
        <x:v>Temporal facial nerve</x:v>
      </x:c>
      <x:c r="K270" s="24" t="str">
        <x:v>CN VII; no spinal root</x:v>
      </x:c>
      <x:c r="L270" s="24" t="str">
        <x:v>Fibrous auricular insertion</x:v>
      </x:c>
      <x:c r="M270" s="24" t="str">
        <x:v>Auricular cartilage perichondrium</x:v>
      </x:c>
      <x:c r="N270" s="30" t="str">
        <x:v>Not established</x:v>
      </x:c>
      <x:c r="O270" s="30" t="str">
        <x:v>Not established</x:v>
      </x:c>
      <x:c r="P270" s="30" t="str">
        <x:v>Mixed Type I and Type II; ratio unverified</x:v>
      </x:c>
      <x:c r="Q270" s="24" t="str">
        <x:v>Published biopsies insufficient to state a reliable per-muscle percentage; no inference from function</x:v>
      </x:c>
      <x:c r="R270" s="32" t="str">
        <x:v>https://www.kenhub.com/en/library/anatomy/head-anatomy</x:v>
      </x:c>
      <x:c r="S270" s="32" t="str">
        <x:v>https://pubmed.ncbi.nlm.nih.gov/39359186/</x:v>
      </x:c>
    </x:row>
    <x:row r="271" ht="53" customHeight="1">
      <x:c r="A271" s="24" t="str">
        <x:v>Auricularis posterior</x:v>
      </x:c>
      <x:c r="B271" s="24" t="str">
        <x:v>External auricle</x:v>
      </x:c>
      <x:c r="C271" s="24" t="str">
        <x:v>Other</x:v>
      </x:c>
      <x:c r="D271" s="28" t="str">
        <x:v>No</x:v>
      </x:c>
      <x:c r="E271" s="28" t="str">
        <x:v>No</x:v>
      </x:c>
      <x:c r="F271" s="28" t="str">
        <x:v>No</x:v>
      </x:c>
      <x:c r="G271" s="24" t="str">
        <x:v>Retracts ear</x:v>
      </x:c>
      <x:c r="H271" s="24" t="str">
        <x:v>Mastoid region temporal bone</x:v>
      </x:c>
      <x:c r="I271" s="24" t="str">
        <x:v>Posterior auricular cartilage</x:v>
      </x:c>
      <x:c r="J271" s="24" t="str">
        <x:v>Posterior auricular facial nerve</x:v>
      </x:c>
      <x:c r="K271" s="24" t="str">
        <x:v>CN VII; no spinal root</x:v>
      </x:c>
      <x:c r="L271" s="24" t="str">
        <x:v>Small auricular tendons</x:v>
      </x:c>
      <x:c r="M271" s="24" t="str">
        <x:v>Auricular cartilage fibrous tissues</x:v>
      </x:c>
      <x:c r="N271" s="30" t="str">
        <x:v>Not established</x:v>
      </x:c>
      <x:c r="O271" s="30" t="str">
        <x:v>Not established</x:v>
      </x:c>
      <x:c r="P271" s="30" t="str">
        <x:v>Mixed Type I and Type II; ratio unverified</x:v>
      </x:c>
      <x:c r="Q271" s="24" t="str">
        <x:v>Published biopsies insufficient to state a reliable per-muscle percentage; no inference from function</x:v>
      </x:c>
      <x:c r="R271" s="32" t="str">
        <x:v>https://www.kenhub.com/en/library/anatomy/head-anatomy</x:v>
      </x:c>
      <x:c r="S271" s="32" t="str">
        <x:v>https://pubmed.ncbi.nlm.nih.gov/39359186/</x:v>
      </x:c>
    </x:row>
    <x:row r="272" ht="53" customHeight="1">
      <x:c r="A272" s="24" t="str">
        <x:v>Auricularis superior</x:v>
      </x:c>
      <x:c r="B272" s="24" t="str">
        <x:v>External auricle</x:v>
      </x:c>
      <x:c r="C272" s="24" t="str">
        <x:v>Other</x:v>
      </x:c>
      <x:c r="D272" s="28" t="str">
        <x:v>No</x:v>
      </x:c>
      <x:c r="E272" s="28" t="str">
        <x:v>No</x:v>
      </x:c>
      <x:c r="F272" s="28" t="str">
        <x:v>No</x:v>
      </x:c>
      <x:c r="G272" s="24" t="str">
        <x:v>Elevates ear</x:v>
      </x:c>
      <x:c r="H272" s="24" t="str">
        <x:v>Epicranial aponeurosis</x:v>
      </x:c>
      <x:c r="I272" s="24" t="str">
        <x:v>Upper auricular cartilage</x:v>
      </x:c>
      <x:c r="J272" s="24" t="str">
        <x:v>Temporal facial nerve</x:v>
      </x:c>
      <x:c r="K272" s="24" t="str">
        <x:v>CN VII; no spinal root</x:v>
      </x:c>
      <x:c r="L272" s="24" t="str">
        <x:v>Epicranial aponeurosis</x:v>
      </x:c>
      <x:c r="M272" s="24" t="str">
        <x:v>Auricular perichondrium, not ligament</x:v>
      </x:c>
      <x:c r="N272" s="30" t="str">
        <x:v>Not established</x:v>
      </x:c>
      <x:c r="O272" s="30" t="str">
        <x:v>Not established</x:v>
      </x:c>
      <x:c r="P272" s="30" t="str">
        <x:v>Mixed Type I and Type II; ratio unverified</x:v>
      </x:c>
      <x:c r="Q272" s="24" t="str">
        <x:v>Published biopsies insufficient to state a reliable per-muscle percentage; no inference from function</x:v>
      </x:c>
      <x:c r="R272" s="32" t="str">
        <x:v>https://www.kenhub.com/en/library/anatomy/head-anatomy</x:v>
      </x:c>
      <x:c r="S272" s="32" t="str">
        <x:v>https://pubmed.ncbi.nlm.nih.gov/39359186/</x:v>
      </x:c>
    </x:row>
    <x:row r="273" ht="53" customHeight="1">
      <x:c r="A273" s="24" t="str">
        <x:v>Genioglossus</x:v>
      </x:c>
      <x:c r="B273" s="24" t="str">
        <x:v>Extrinsic tongue</x:v>
      </x:c>
      <x:c r="C273" s="24" t="str">
        <x:v>Stabilizer</x:v>
      </x:c>
      <x:c r="D273" s="28" t="str">
        <x:v>No</x:v>
      </x:c>
      <x:c r="E273" s="28" t="str">
        <x:v>No</x:v>
      </x:c>
      <x:c r="F273" s="28" t="str">
        <x:v>Yes</x:v>
      </x:c>
      <x:c r="G273" s="24" t="str">
        <x:v>Protrudes tongue; prevents posterior airway collapse</x:v>
      </x:c>
      <x:c r="H273" s="24" t="str">
        <x:v>Superior mental spine mandible</x:v>
      </x:c>
      <x:c r="I273" s="24" t="str">
        <x:v>Throughout tongue dorsum; some to hyoid</x:v>
      </x:c>
      <x:c r="J273" s="24" t="str">
        <x:v>Hypoglossal nerve</x:v>
      </x:c>
      <x:c r="K273" s="24" t="str">
        <x:v>CN XII; no spinal root</x:v>
      </x:c>
      <x:c r="L273" s="24" t="str">
        <x:v>Muscular insertion fibers to tongue/hyoid</x:v>
      </x:c>
      <x:c r="M273" s="24" t="str">
        <x:v>Lingual septum as fibrous scaffold</x:v>
      </x:c>
      <x:c r="N273" s="30" t="str">
        <x:v>Not established</x:v>
      </x:c>
      <x:c r="O273" s="30" t="str">
        <x:v>Not established</x:v>
      </x:c>
      <x:c r="P273" s="30" t="str">
        <x:v>Mixed Type I and Type II; ratio unverified</x:v>
      </x:c>
      <x:c r="Q273" s="24" t="str">
        <x:v>Published biopsies insufficient to state a reliable per-muscle percentage; no inference from function</x:v>
      </x:c>
      <x:c r="R273" s="32" t="str">
        <x:v>https://www.kenhub.com/en/library/anatomy/head-anatomy</x:v>
      </x:c>
      <x:c r="S273" s="32" t="str">
        <x:v>https://pubmed.ncbi.nlm.nih.gov/39359186/</x:v>
      </x:c>
    </x:row>
    <x:row r="274" ht="53" customHeight="1">
      <x:c r="A274" s="24" t="str">
        <x:v>Hyoglossus</x:v>
      </x:c>
      <x:c r="B274" s="24" t="str">
        <x:v>Extrinsic tongue</x:v>
      </x:c>
      <x:c r="C274" s="24" t="str">
        <x:v>Other</x:v>
      </x:c>
      <x:c r="D274" s="28" t="str">
        <x:v>No</x:v>
      </x:c>
      <x:c r="E274" s="28" t="str">
        <x:v>No</x:v>
      </x:c>
      <x:c r="F274" s="28" t="str">
        <x:v>No</x:v>
      </x:c>
      <x:c r="G274" s="24" t="str">
        <x:v>Depresses and retracts tongue</x:v>
      </x:c>
      <x:c r="H274" s="24" t="str">
        <x:v>Greater horn and body hyoid</x:v>
      </x:c>
      <x:c r="I274" s="24" t="str">
        <x:v>Side of tongue</x:v>
      </x:c>
      <x:c r="J274" s="24" t="str">
        <x:v>Hypoglossal nerve</x:v>
      </x:c>
      <x:c r="K274" s="24" t="str">
        <x:v>CN XII; no spinal root</x:v>
      </x:c>
      <x:c r="L274" s="24" t="str">
        <x:v>Hyoid origin tendon</x:v>
      </x:c>
      <x:c r="M274" s="24" t="str">
        <x:v>Stylohyoid ligament near greater horn, not direct insertion</x:v>
      </x:c>
      <x:c r="N274" s="30" t="str">
        <x:v>Not established</x:v>
      </x:c>
      <x:c r="O274" s="30" t="str">
        <x:v>Not established</x:v>
      </x:c>
      <x:c r="P274" s="30" t="str">
        <x:v>Mixed Type I and Type II; ratio unverified</x:v>
      </x:c>
      <x:c r="Q274" s="24" t="str">
        <x:v>Published biopsies insufficient to state a reliable per-muscle percentage; no inference from function</x:v>
      </x:c>
      <x:c r="R274" s="32" t="str">
        <x:v>https://www.kenhub.com/en/library/anatomy/head-anatomy</x:v>
      </x:c>
      <x:c r="S274" s="32" t="str">
        <x:v>https://pubmed.ncbi.nlm.nih.gov/39359186/</x:v>
      </x:c>
    </x:row>
    <x:row r="275" ht="53" customHeight="1">
      <x:c r="A275" s="24" t="str">
        <x:v>Styloglossus</x:v>
      </x:c>
      <x:c r="B275" s="24" t="str">
        <x:v>Extrinsic tongue</x:v>
      </x:c>
      <x:c r="C275" s="24" t="str">
        <x:v>Other</x:v>
      </x:c>
      <x:c r="D275" s="28" t="str">
        <x:v>No</x:v>
      </x:c>
      <x:c r="E275" s="28" t="str">
        <x:v>No</x:v>
      </x:c>
      <x:c r="F275" s="28" t="str">
        <x:v>No</x:v>
      </x:c>
      <x:c r="G275" s="24" t="str">
        <x:v>Retracts/elevates sides of tongue</x:v>
      </x:c>
      <x:c r="H275" s="24" t="str">
        <x:v>Styloid process and stylohyoid ligament</x:v>
      </x:c>
      <x:c r="I275" s="24" t="str">
        <x:v>Side and inferior tongue</x:v>
      </x:c>
      <x:c r="J275" s="24" t="str">
        <x:v>Hypoglossal nerve</x:v>
      </x:c>
      <x:c r="K275" s="24" t="str">
        <x:v>CN XII; no spinal root</x:v>
      </x:c>
      <x:c r="L275" s="24" t="str">
        <x:v>Styloid origin tendon</x:v>
      </x:c>
      <x:c r="M275" s="24" t="str">
        <x:v>Stylohyoid ligament direct origin fibers</x:v>
      </x:c>
      <x:c r="N275" s="30" t="str">
        <x:v>Not established</x:v>
      </x:c>
      <x:c r="O275" s="30" t="str">
        <x:v>Not established</x:v>
      </x:c>
      <x:c r="P275" s="30" t="str">
        <x:v>Mixed Type I and Type II; ratio unverified</x:v>
      </x:c>
      <x:c r="Q275" s="24" t="str">
        <x:v>Published biopsies insufficient to state a reliable per-muscle percentage; no inference from function</x:v>
      </x:c>
      <x:c r="R275" s="32" t="str">
        <x:v>https://www.kenhub.com/en/library/anatomy/head-anatomy</x:v>
      </x:c>
      <x:c r="S275" s="32" t="str">
        <x:v>https://pubmed.ncbi.nlm.nih.gov/39359186/</x:v>
      </x:c>
    </x:row>
    <x:row r="276" ht="53" customHeight="1">
      <x:c r="A276" s="24" t="str">
        <x:v>Palatoglossus</x:v>
      </x:c>
      <x:c r="B276" s="24" t="str">
        <x:v>Extrinsic tongue / soft palate</x:v>
      </x:c>
      <x:c r="C276" s="24" t="str">
        <x:v>Stabilizer</x:v>
      </x:c>
      <x:c r="D276" s="28" t="str">
        <x:v>No</x:v>
      </x:c>
      <x:c r="E276" s="28" t="str">
        <x:v>No</x:v>
      </x:c>
      <x:c r="F276" s="28" t="str">
        <x:v>Yes</x:v>
      </x:c>
      <x:c r="G276" s="24" t="str">
        <x:v>Elevates posterior tongue; closes oropharyngeal isthmus</x:v>
      </x:c>
      <x:c r="H276" s="24" t="str">
        <x:v>Palatine aponeurosis</x:v>
      </x:c>
      <x:c r="I276" s="24" t="str">
        <x:v>Side of posterior tongue</x:v>
      </x:c>
      <x:c r="J276" s="24" t="str">
        <x:v>Pharyngeal plexus via vagus nerve</x:v>
      </x:c>
      <x:c r="K276" s="24" t="str">
        <x:v>CN X; no spinal root</x:v>
      </x:c>
      <x:c r="L276" s="24" t="str">
        <x:v>Palatine aponeurosis</x:v>
      </x:c>
      <x:c r="M276" s="24" t="str">
        <x:v>Palatine aponeurosis fibrous origin</x:v>
      </x:c>
      <x:c r="N276" s="30" t="str">
        <x:v>Not established</x:v>
      </x:c>
      <x:c r="O276" s="30" t="str">
        <x:v>Not established</x:v>
      </x:c>
      <x:c r="P276" s="30" t="str">
        <x:v>Mixed Type I and Type II; ratio unverified</x:v>
      </x:c>
      <x:c r="Q276" s="24" t="str">
        <x:v>Published biopsies insufficient to state a reliable per-muscle percentage; no inference from function</x:v>
      </x:c>
      <x:c r="R276" s="32" t="str">
        <x:v>https://www.kenhub.com/en/library/anatomy/head-anatomy</x:v>
      </x:c>
      <x:c r="S276" s="32" t="str">
        <x:v>https://pubmed.ncbi.nlm.nih.gov/39359186/</x:v>
      </x:c>
    </x:row>
    <x:row r="277" ht="53" customHeight="1">
      <x:c r="A277" s="24" t="str">
        <x:v>Orbicularis oculi palpebral part</x:v>
      </x:c>
      <x:c r="B277" s="24" t="str">
        <x:v>Eyelids</x:v>
      </x:c>
      <x:c r="C277" s="24" t="str">
        <x:v>Stabilizer</x:v>
      </x:c>
      <x:c r="D277" s="28" t="str">
        <x:v>No</x:v>
      </x:c>
      <x:c r="E277" s="28" t="str">
        <x:v>No</x:v>
      </x:c>
      <x:c r="F277" s="28" t="str">
        <x:v>Yes</x:v>
      </x:c>
      <x:c r="G277" s="24" t="str">
        <x:v>Gentle eyelid closure; blink</x:v>
      </x:c>
      <x:c r="H277" s="24" t="str">
        <x:v>Medial palpebral ligament</x:v>
      </x:c>
      <x:c r="I277" s="24" t="str">
        <x:v>Lateral palpebral raphe</x:v>
      </x:c>
      <x:c r="J277" s="24" t="str">
        <x:v>Temporal and zygomatic facial branches</x:v>
      </x:c>
      <x:c r="K277" s="24" t="str">
        <x:v>CN VII; no spinal root</x:v>
      </x:c>
      <x:c r="L277" s="24" t="str">
        <x:v>Palpebral raphe fibrous attachment</x:v>
      </x:c>
      <x:c r="M277" s="24" t="str">
        <x:v>Medial palpebral ligament direct origin</x:v>
      </x:c>
      <x:c r="N277" s="30" t="str">
        <x:v>Not established</x:v>
      </x:c>
      <x:c r="O277" s="30" t="str">
        <x:v>Not established</x:v>
      </x:c>
      <x:c r="P277" s="30" t="str">
        <x:v>Mixed Type I and Type II; ratio unverified</x:v>
      </x:c>
      <x:c r="Q277" s="24" t="str">
        <x:v>Published biopsies insufficient to state a reliable per-muscle percentage; no inference from function</x:v>
      </x:c>
      <x:c r="R277" s="32" t="str">
        <x:v>https://www.kenhub.com/en/library/anatomy/head-anatomy</x:v>
      </x:c>
      <x:c r="S277" s="32" t="str">
        <x:v>https://pubmed.ncbi.nlm.nih.gov/39359186/</x:v>
      </x:c>
    </x:row>
    <x:row r="278" ht="53" customHeight="1">
      <x:c r="A278" s="24" t="str">
        <x:v>Inferior longitudinal tongue muscle</x:v>
      </x:c>
      <x:c r="B278" s="24" t="str">
        <x:v>Intrinsic tongue</x:v>
      </x:c>
      <x:c r="C278" s="24" t="str">
        <x:v>Other</x:v>
      </x:c>
      <x:c r="D278" s="28" t="str">
        <x:v>No</x:v>
      </x:c>
      <x:c r="E278" s="28" t="str">
        <x:v>No</x:v>
      </x:c>
      <x:c r="F278" s="28" t="str">
        <x:v>No</x:v>
      </x:c>
      <x:c r="G278" s="24" t="str">
        <x:v>Shortens tongue; curls tip downward</x:v>
      </x:c>
      <x:c r="H278" s="24" t="str">
        <x:v>Root of tongue and hyoid vicinity</x:v>
      </x:c>
      <x:c r="I278" s="24" t="str">
        <x:v>Tongue apex</x:v>
      </x:c>
      <x:c r="J278" s="24" t="str">
        <x:v>Hypoglossal nerve</x:v>
      </x:c>
      <x:c r="K278" s="24" t="str">
        <x:v>CN XII; no spinal root</x:v>
      </x:c>
      <x:c r="L278" s="24" t="str">
        <x:v>Intralingual fascicles</x:v>
      </x:c>
      <x:c r="M278" s="24" t="str">
        <x:v>Lingual septum</x:v>
      </x:c>
      <x:c r="N278" s="30" t="str">
        <x:v>Not established</x:v>
      </x:c>
      <x:c r="O278" s="30" t="str">
        <x:v>Not established</x:v>
      </x:c>
      <x:c r="P278" s="30" t="str">
        <x:v>Mixed Type I and Type II; ratio unverified</x:v>
      </x:c>
      <x:c r="Q278" s="24" t="str">
        <x:v>Published biopsies insufficient to state a reliable per-muscle percentage; no inference from function</x:v>
      </x:c>
      <x:c r="R278" s="32" t="str">
        <x:v>https://www.kenhub.com/en/library/anatomy/head-anatomy</x:v>
      </x:c>
      <x:c r="S278" s="32" t="str">
        <x:v>https://pubmed.ncbi.nlm.nih.gov/39359186/</x:v>
      </x:c>
    </x:row>
    <x:row r="279" ht="53" customHeight="1">
      <x:c r="A279" s="24" t="str">
        <x:v>Superior longitudinal tongue muscle</x:v>
      </x:c>
      <x:c r="B279" s="24" t="str">
        <x:v>Intrinsic tongue</x:v>
      </x:c>
      <x:c r="C279" s="24" t="str">
        <x:v>Other</x:v>
      </x:c>
      <x:c r="D279" s="28" t="str">
        <x:v>No</x:v>
      </x:c>
      <x:c r="E279" s="28" t="str">
        <x:v>No</x:v>
      </x:c>
      <x:c r="F279" s="28" t="str">
        <x:v>No</x:v>
      </x:c>
      <x:c r="G279" s="24" t="str">
        <x:v>Shortens tongue; curls tip/sides upward</x:v>
      </x:c>
      <x:c r="H279" s="24" t="str">
        <x:v>Submucosal tissue and posterior tongue fibrous septum</x:v>
      </x:c>
      <x:c r="I279" s="24" t="str">
        <x:v>Tip and margins of tongue</x:v>
      </x:c>
      <x:c r="J279" s="24" t="str">
        <x:v>Hypoglossal nerve</x:v>
      </x:c>
      <x:c r="K279" s="24" t="str">
        <x:v>CN XII; no spinal root</x:v>
      </x:c>
      <x:c r="L279" s="24" t="str">
        <x:v>Intralingual fibrous septa, no long tendon</x:v>
      </x:c>
      <x:c r="M279" s="24" t="str">
        <x:v>Lingual septum, not ligament</x:v>
      </x:c>
      <x:c r="N279" s="30" t="str">
        <x:v>Not established</x:v>
      </x:c>
      <x:c r="O279" s="30" t="str">
        <x:v>Not established</x:v>
      </x:c>
      <x:c r="P279" s="30" t="str">
        <x:v>Mixed Type I and Type II; ratio unverified</x:v>
      </x:c>
      <x:c r="Q279" s="24" t="str">
        <x:v>Published biopsies insufficient to state a reliable per-muscle percentage; no inference from function</x:v>
      </x:c>
      <x:c r="R279" s="32" t="str">
        <x:v>https://www.kenhub.com/en/library/anatomy/head-anatomy</x:v>
      </x:c>
      <x:c r="S279" s="32" t="str">
        <x:v>https://pubmed.ncbi.nlm.nih.gov/39359186/</x:v>
      </x:c>
    </x:row>
    <x:row r="280" ht="53" customHeight="1">
      <x:c r="A280" s="24" t="str">
        <x:v>Transverse tongue muscle</x:v>
      </x:c>
      <x:c r="B280" s="24" t="str">
        <x:v>Intrinsic tongue</x:v>
      </x:c>
      <x:c r="C280" s="24" t="str">
        <x:v>Stabilizer</x:v>
      </x:c>
      <x:c r="D280" s="28" t="str">
        <x:v>No</x:v>
      </x:c>
      <x:c r="E280" s="28" t="str">
        <x:v>No</x:v>
      </x:c>
      <x:c r="F280" s="28" t="str">
        <x:v>Yes</x:v>
      </x:c>
      <x:c r="G280" s="24" t="str">
        <x:v>Narrows/elongates tongue</x:v>
      </x:c>
      <x:c r="H280" s="24" t="str">
        <x:v>Median fibrous lingual septum</x:v>
      </x:c>
      <x:c r="I280" s="24" t="str">
        <x:v>Lateral tongue margins</x:v>
      </x:c>
      <x:c r="J280" s="24" t="str">
        <x:v>Hypoglossal nerve</x:v>
      </x:c>
      <x:c r="K280" s="24" t="str">
        <x:v>CN XII; no spinal root</x:v>
      </x:c>
      <x:c r="L280" s="24" t="str">
        <x:v>Fibrous lingual septum direct origin</x:v>
      </x:c>
      <x:c r="M280" s="24" t="str">
        <x:v>Lingual septum fibrous tissue</x:v>
      </x:c>
      <x:c r="N280" s="30" t="str">
        <x:v>Not established</x:v>
      </x:c>
      <x:c r="O280" s="30" t="str">
        <x:v>Not established</x:v>
      </x:c>
      <x:c r="P280" s="30" t="str">
        <x:v>Mixed Type I and Type II; ratio unverified</x:v>
      </x:c>
      <x:c r="Q280" s="24" t="str">
        <x:v>Published biopsies insufficient to state a reliable per-muscle percentage; no inference from function</x:v>
      </x:c>
      <x:c r="R280" s="32" t="str">
        <x:v>https://www.kenhub.com/en/library/anatomy/head-anatomy</x:v>
      </x:c>
      <x:c r="S280" s="32" t="str">
        <x:v>https://pubmed.ncbi.nlm.nih.gov/39359186/</x:v>
      </x:c>
    </x:row>
    <x:row r="281" ht="53" customHeight="1">
      <x:c r="A281" s="24" t="str">
        <x:v>Vertical tongue muscle</x:v>
      </x:c>
      <x:c r="B281" s="24" t="str">
        <x:v>Intrinsic tongue</x:v>
      </x:c>
      <x:c r="C281" s="24" t="str">
        <x:v>Other</x:v>
      </x:c>
      <x:c r="D281" s="28" t="str">
        <x:v>No</x:v>
      </x:c>
      <x:c r="E281" s="28" t="str">
        <x:v>No</x:v>
      </x:c>
      <x:c r="F281" s="28" t="str">
        <x:v>No</x:v>
      </x:c>
      <x:c r="G281" s="24" t="str">
        <x:v>Flattens/broadens tongue</x:v>
      </x:c>
      <x:c r="H281" s="24" t="str">
        <x:v>Dorsal tongue aponeurosis</x:v>
      </x:c>
      <x:c r="I281" s="24" t="str">
        <x:v>Inferior tongue surface</x:v>
      </x:c>
      <x:c r="J281" s="24" t="str">
        <x:v>Hypoglossal nerve</x:v>
      </x:c>
      <x:c r="K281" s="24" t="str">
        <x:v>CN XII; no spinal root</x:v>
      </x:c>
      <x:c r="L281" s="24" t="str">
        <x:v>Lingual aponeurosis</x:v>
      </x:c>
      <x:c r="M281" s="24" t="str">
        <x:v>Fibrous aponeurosis (not ligament)</x:v>
      </x:c>
      <x:c r="N281" s="30" t="str">
        <x:v>Not established</x:v>
      </x:c>
      <x:c r="O281" s="30" t="str">
        <x:v>Not established</x:v>
      </x:c>
      <x:c r="P281" s="30" t="str">
        <x:v>Mixed Type I and Type II; ratio unverified</x:v>
      </x:c>
      <x:c r="Q281" s="24" t="str">
        <x:v>Published biopsies insufficient to state a reliable per-muscle percentage; no inference from function</x:v>
      </x:c>
      <x:c r="R281" s="32" t="str">
        <x:v>https://www.kenhub.com/en/library/anatomy/head-anatomy</x:v>
      </x:c>
      <x:c r="S281" s="32" t="str">
        <x:v>https://pubmed.ncbi.nlm.nih.gov/39359186/</x:v>
      </x:c>
    </x:row>
    <x:row r="282" ht="53" customHeight="1">
      <x:c r="A282" s="24" t="str">
        <x:v>Orbicularis oris marginal part</x:v>
      </x:c>
      <x:c r="B282" s="24" t="str">
        <x:v>Lips</x:v>
      </x:c>
      <x:c r="C282" s="24" t="str">
        <x:v>Stabilizer</x:v>
      </x:c>
      <x:c r="D282" s="28" t="str">
        <x:v>No</x:v>
      </x:c>
      <x:c r="E282" s="28" t="str">
        <x:v>No</x:v>
      </x:c>
      <x:c r="F282" s="28" t="str">
        <x:v>Yes</x:v>
      </x:c>
      <x:c r="G282" s="24" t="str">
        <x:v>Purses/protrudes lips</x:v>
      </x:c>
      <x:c r="H282" s="24" t="str">
        <x:v>Modiolus and surrounding perioral muscle fibers</x:v>
      </x:c>
      <x:c r="I282" s="24" t="str">
        <x:v>Skin and mucosa of lip vermilion</x:v>
      </x:c>
      <x:c r="J282" s="24" t="str">
        <x:v>Buccal and marginal mandibular facial branches</x:v>
      </x:c>
      <x:c r="K282" s="24" t="str">
        <x:v>CN VII; no spinal root</x:v>
      </x:c>
      <x:c r="L282" s="24" t="str">
        <x:v>Musculofascial modiolus attachments</x:v>
      </x:c>
      <x:c r="M282" s="24" t="str">
        <x:v>No independent ligament attachment</x:v>
      </x:c>
      <x:c r="N282" s="30" t="str">
        <x:v>Not established</x:v>
      </x:c>
      <x:c r="O282" s="30" t="str">
        <x:v>Not established</x:v>
      </x:c>
      <x:c r="P282" s="30" t="str">
        <x:v>Mixed Type I and Type II; ratio unverified</x:v>
      </x:c>
      <x:c r="Q282" s="24" t="str">
        <x:v>Published biopsies insufficient to state a reliable per-muscle percentage; no inference from function</x:v>
      </x:c>
      <x:c r="R282" s="32" t="str">
        <x:v>https://www.kenhub.com/en/library/anatomy/head-anatomy</x:v>
      </x:c>
      <x:c r="S282" s="32" t="str">
        <x:v>https://pubmed.ncbi.nlm.nih.gov/39359186/</x:v>
      </x:c>
    </x:row>
    <x:row r="283" ht="53" customHeight="1">
      <x:c r="A283" s="24" t="str">
        <x:v>Orbicularis oris peripheral part</x:v>
      </x:c>
      <x:c r="B283" s="24" t="str">
        <x:v>Lips</x:v>
      </x:c>
      <x:c r="C283" s="24" t="str">
        <x:v>Stabilizer</x:v>
      </x:c>
      <x:c r="D283" s="28" t="str">
        <x:v>No</x:v>
      </x:c>
      <x:c r="E283" s="28" t="str">
        <x:v>No</x:v>
      </x:c>
      <x:c r="F283" s="28" t="str">
        <x:v>Yes</x:v>
      </x:c>
      <x:c r="G283" s="24" t="str">
        <x:v>Closes and compresses lips</x:v>
      </x:c>
      <x:c r="H283" s="24" t="str">
        <x:v>Maxillary/mandibular perioral fascicles and modiolus</x:v>
      </x:c>
      <x:c r="I283" s="24" t="str">
        <x:v>Dermis upper/lower lips</x:v>
      </x:c>
      <x:c r="J283" s="24" t="str">
        <x:v>Buccal/marginal mandibular facial branches</x:v>
      </x:c>
      <x:c r="K283" s="24" t="str">
        <x:v>CN VII; no spinal root</x:v>
      </x:c>
      <x:c r="L283" s="24" t="str">
        <x:v>Modiolus/fascial fiber attachments</x:v>
      </x:c>
      <x:c r="M283" s="24" t="str">
        <x:v>No independent ligament attachment</x:v>
      </x:c>
      <x:c r="N283" s="30" t="str">
        <x:v>Not established</x:v>
      </x:c>
      <x:c r="O283" s="30" t="str">
        <x:v>Not established</x:v>
      </x:c>
      <x:c r="P283" s="30" t="str">
        <x:v>Mixed Type I and Type II; ratio unverified</x:v>
      </x:c>
      <x:c r="Q283" s="24" t="str">
        <x:v>Published biopsies insufficient to state a reliable per-muscle percentage; no inference from function</x:v>
      </x:c>
      <x:c r="R283" s="32" t="str">
        <x:v>https://www.kenhub.com/en/library/anatomy/head-anatomy</x:v>
      </x:c>
      <x:c r="S283" s="32" t="str">
        <x:v>https://pubmed.ncbi.nlm.nih.gov/39359186/</x:v>
      </x:c>
    </x:row>
    <x:row r="284" ht="53" customHeight="1">
      <x:c r="A284" s="24" t="str">
        <x:v>Depressor anguli oris</x:v>
      </x:c>
      <x:c r="B284" s="24" t="str">
        <x:v>Lower face</x:v>
      </x:c>
      <x:c r="C284" s="24" t="str">
        <x:v>Other</x:v>
      </x:c>
      <x:c r="D284" s="28" t="str">
        <x:v>No</x:v>
      </x:c>
      <x:c r="E284" s="28" t="str">
        <x:v>No</x:v>
      </x:c>
      <x:c r="F284" s="28" t="str">
        <x:v>No</x:v>
      </x:c>
      <x:c r="G284" s="24" t="str">
        <x:v>Depresses angle of mouth</x:v>
      </x:c>
      <x:c r="H284" s="24" t="str">
        <x:v>Oblique line mandible</x:v>
      </x:c>
      <x:c r="I284" s="24" t="str">
        <x:v>Modiolus at mouth angle</x:v>
      </x:c>
      <x:c r="J284" s="24" t="str">
        <x:v>Marginal mandibular facial branch</x:v>
      </x:c>
      <x:c r="K284" s="24" t="str">
        <x:v>CN VII; no spinal root</x:v>
      </x:c>
      <x:c r="L284" s="24" t="str">
        <x:v>Modiolus insertion</x:v>
      </x:c>
      <x:c r="M284" s="24" t="str">
        <x:v>No direct ligament attachment</x:v>
      </x:c>
      <x:c r="N284" s="30" t="str">
        <x:v>Not established</x:v>
      </x:c>
      <x:c r="O284" s="30" t="str">
        <x:v>Not established</x:v>
      </x:c>
      <x:c r="P284" s="30" t="str">
        <x:v>Mixed Type I and Type II; ratio unverified</x:v>
      </x:c>
      <x:c r="Q284" s="24" t="str">
        <x:v>Published biopsies insufficient to state a reliable per-muscle percentage; no inference from function</x:v>
      </x:c>
      <x:c r="R284" s="32" t="str">
        <x:v>https://www.kenhub.com/en/library/anatomy/head-anatomy</x:v>
      </x:c>
      <x:c r="S284" s="32" t="str">
        <x:v>https://pubmed.ncbi.nlm.nih.gov/39359186/</x:v>
      </x:c>
    </x:row>
    <x:row r="285" ht="53" customHeight="1">
      <x:c r="A285" s="24" t="str">
        <x:v>Depressor labii inferioris</x:v>
      </x:c>
      <x:c r="B285" s="24" t="str">
        <x:v>Lower face</x:v>
      </x:c>
      <x:c r="C285" s="24" t="str">
        <x:v>Other</x:v>
      </x:c>
      <x:c r="D285" s="28" t="str">
        <x:v>No</x:v>
      </x:c>
      <x:c r="E285" s="28" t="str">
        <x:v>No</x:v>
      </x:c>
      <x:c r="F285" s="28" t="str">
        <x:v>No</x:v>
      </x:c>
      <x:c r="G285" s="24" t="str">
        <x:v>Depresses/everts lower lip</x:v>
      </x:c>
      <x:c r="H285" s="24" t="str">
        <x:v>Oblique line mandible</x:v>
      </x:c>
      <x:c r="I285" s="24" t="str">
        <x:v>Skin lower lip</x:v>
      </x:c>
      <x:c r="J285" s="24" t="str">
        <x:v>Marginal mandibular facial branch</x:v>
      </x:c>
      <x:c r="K285" s="24" t="str">
        <x:v>CN VII; no spinal root</x:v>
      </x:c>
      <x:c r="L285" s="24" t="str">
        <x:v>Dermal fascicles</x:v>
      </x:c>
      <x:c r="M285" s="24" t="str">
        <x:v>No direct ligament attachment</x:v>
      </x:c>
      <x:c r="N285" s="30" t="str">
        <x:v>Not established</x:v>
      </x:c>
      <x:c r="O285" s="30" t="str">
        <x:v>Not established</x:v>
      </x:c>
      <x:c r="P285" s="30" t="str">
        <x:v>Mixed Type I and Type II; ratio unverified</x:v>
      </x:c>
      <x:c r="Q285" s="24" t="str">
        <x:v>Published biopsies insufficient to state a reliable per-muscle percentage; no inference from function</x:v>
      </x:c>
      <x:c r="R285" s="32" t="str">
        <x:v>https://www.kenhub.com/en/library/anatomy/head-anatomy</x:v>
      </x:c>
      <x:c r="S285" s="32" t="str">
        <x:v>https://pubmed.ncbi.nlm.nih.gov/39359186/</x:v>
      </x:c>
    </x:row>
    <x:row r="286" ht="53" customHeight="1">
      <x:c r="A286" s="24" t="str">
        <x:v>Masseter deep portion</x:v>
      </x:c>
      <x:c r="B286" s="24" t="str">
        <x:v>Mastication</x:v>
      </x:c>
      <x:c r="C286" s="24" t="str">
        <x:v>Stabilizer</x:v>
      </x:c>
      <x:c r="D286" s="28" t="str">
        <x:v>No</x:v>
      </x:c>
      <x:c r="E286" s="28" t="str">
        <x:v>No</x:v>
      </x:c>
      <x:c r="F286" s="28" t="str">
        <x:v>Yes</x:v>
      </x:c>
      <x:c r="G286" s="24" t="str">
        <x:v>Elevates/retracts mandible</x:v>
      </x:c>
      <x:c r="H286" s="24" t="str">
        <x:v>Posterior zygomatic arch</x:v>
      </x:c>
      <x:c r="I286" s="24" t="str">
        <x:v>Lateral ramus and coronoid process mandible</x:v>
      </x:c>
      <x:c r="J286" s="24" t="str">
        <x:v>Masseteric nerve (V3)</x:v>
      </x:c>
      <x:c r="K286" s="24" t="str">
        <x:v>CN V3; no spinal motor root</x:v>
      </x:c>
      <x:c r="L286" s="24" t="str">
        <x:v>Deep masseter insertion tendon</x:v>
      </x:c>
      <x:c r="M286" s="24" t="str">
        <x:v>TMJ lateral ligament nearby, no direct insertion</x:v>
      </x:c>
      <x:c r="N286" s="30" t="str">
        <x:v>Not established</x:v>
      </x:c>
      <x:c r="O286" s="30" t="str">
        <x:v>Not established</x:v>
      </x:c>
      <x:c r="P286" s="30" t="str">
        <x:v>Mixed Type I and Type II; ratio unverified</x:v>
      </x:c>
      <x:c r="Q286" s="24" t="str">
        <x:v>Published biopsies insufficient to state a reliable per-muscle percentage; no inference from function</x:v>
      </x:c>
      <x:c r="R286" s="32" t="str">
        <x:v>https://www.kenhub.com/en/library/anatomy/head-anatomy</x:v>
      </x:c>
      <x:c r="S286" s="32" t="str">
        <x:v>https://pubmed.ncbi.nlm.nih.gov/39359186/</x:v>
      </x:c>
    </x:row>
    <x:row r="287" ht="53" customHeight="1">
      <x:c r="A287" s="24" t="str">
        <x:v>Masseter superficial portion</x:v>
      </x:c>
      <x:c r="B287" s="24" t="str">
        <x:v>Mastication</x:v>
      </x:c>
      <x:c r="C287" s="24" t="str">
        <x:v>Stabilizer</x:v>
      </x:c>
      <x:c r="D287" s="28" t="str">
        <x:v>No</x:v>
      </x:c>
      <x:c r="E287" s="28" t="str">
        <x:v>No</x:v>
      </x:c>
      <x:c r="F287" s="28" t="str">
        <x:v>Yes</x:v>
      </x:c>
      <x:c r="G287" s="24" t="str">
        <x:v>Elevates and protrudes mandible</x:v>
      </x:c>
      <x:c r="H287" s="24" t="str">
        <x:v>Zygomatic process maxilla; anterior zygomatic arch</x:v>
      </x:c>
      <x:c r="I287" s="24" t="str">
        <x:v>Lateral angle and inferior ramus mandible</x:v>
      </x:c>
      <x:c r="J287" s="24" t="str">
        <x:v>Masseteric nerve (V3)</x:v>
      </x:c>
      <x:c r="K287" s="24" t="str">
        <x:v>CN V3; no spinal motor root</x:v>
      </x:c>
      <x:c r="L287" s="24" t="str">
        <x:v>Masseteric aponeurosis</x:v>
      </x:c>
      <x:c r="M287" s="24" t="str">
        <x:v>Sphenomandibular ligament medial to ramus, not direct muscle attachment</x:v>
      </x:c>
      <x:c r="N287" s="30" t="str">
        <x:v>Not established</x:v>
      </x:c>
      <x:c r="O287" s="30" t="str">
        <x:v>Not established</x:v>
      </x:c>
      <x:c r="P287" s="30" t="str">
        <x:v>Mixed Type I and Type II; ratio unverified</x:v>
      </x:c>
      <x:c r="Q287" s="24" t="str">
        <x:v>Published biopsies insufficient to state a reliable per-muscle percentage; no inference from function</x:v>
      </x:c>
      <x:c r="R287" s="32" t="str">
        <x:v>https://www.kenhub.com/en/library/anatomy/head-anatomy</x:v>
      </x:c>
      <x:c r="S287" s="32" t="str">
        <x:v>https://pubmed.ncbi.nlm.nih.gov/39359186/</x:v>
      </x:c>
    </x:row>
    <x:row r="288" ht="53" customHeight="1">
      <x:c r="A288" s="24" t="str">
        <x:v>Medial pterygoid deep head</x:v>
      </x:c>
      <x:c r="B288" s="24" t="str">
        <x:v>Mastication</x:v>
      </x:c>
      <x:c r="C288" s="24" t="str">
        <x:v>Stabilizer</x:v>
      </x:c>
      <x:c r="D288" s="28" t="str">
        <x:v>No</x:v>
      </x:c>
      <x:c r="E288" s="28" t="str">
        <x:v>No</x:v>
      </x:c>
      <x:c r="F288" s="28" t="str">
        <x:v>Yes</x:v>
      </x:c>
      <x:c r="G288" s="24" t="str">
        <x:v>Elevates/protrudes mandible; grinding movement</x:v>
      </x:c>
      <x:c r="H288" s="24" t="str">
        <x:v>Medial surface lateral pterygoid plate and pyramidal palatine process</x:v>
      </x:c>
      <x:c r="I288" s="24" t="str">
        <x:v>Medial mandibular angle/ramus</x:v>
      </x:c>
      <x:c r="J288" s="24" t="str">
        <x:v>Nerve to medial pterygoid (V3)</x:v>
      </x:c>
      <x:c r="K288" s="24" t="str">
        <x:v>CN V3; no spinal motor root</x:v>
      </x:c>
      <x:c r="L288" s="24" t="str">
        <x:v>Pterygoid insertion tendon</x:v>
      </x:c>
      <x:c r="M288" s="24" t="str">
        <x:v>Sphenomandibular ligament lies nearby</x:v>
      </x:c>
      <x:c r="N288" s="30" t="str">
        <x:v>Not established</x:v>
      </x:c>
      <x:c r="O288" s="30" t="str">
        <x:v>Not established</x:v>
      </x:c>
      <x:c r="P288" s="30" t="str">
        <x:v>Mixed Type I and Type II; ratio unverified</x:v>
      </x:c>
      <x:c r="Q288" s="24" t="str">
        <x:v>Published biopsies insufficient to state a reliable per-muscle percentage; no inference from function</x:v>
      </x:c>
      <x:c r="R288" s="32" t="str">
        <x:v>https://www.kenhub.com/en/library/anatomy/head-anatomy</x:v>
      </x:c>
      <x:c r="S288" s="32" t="str">
        <x:v>https://pubmed.ncbi.nlm.nih.gov/39359186/</x:v>
      </x:c>
    </x:row>
    <x:row r="289" ht="53" customHeight="1">
      <x:c r="A289" s="24" t="str">
        <x:v>Medial pterygoid superficial head</x:v>
      </x:c>
      <x:c r="B289" s="24" t="str">
        <x:v>Mastication</x:v>
      </x:c>
      <x:c r="C289" s="24" t="str">
        <x:v>Stabilizer</x:v>
      </x:c>
      <x:c r="D289" s="28" t="str">
        <x:v>No</x:v>
      </x:c>
      <x:c r="E289" s="28" t="str">
        <x:v>No</x:v>
      </x:c>
      <x:c r="F289" s="28" t="str">
        <x:v>Yes</x:v>
      </x:c>
      <x:c r="G289" s="24" t="str">
        <x:v>Elevates/protrudes mandible</x:v>
      </x:c>
      <x:c r="H289" s="24" t="str">
        <x:v>Maxillary tuberosity</x:v>
      </x:c>
      <x:c r="I289" s="24" t="str">
        <x:v>Medial mandibular angle/ramus</x:v>
      </x:c>
      <x:c r="J289" s="24" t="str">
        <x:v>Nerve to medial pterygoid (V3)</x:v>
      </x:c>
      <x:c r="K289" s="24" t="str">
        <x:v>CN V3; no spinal motor root</x:v>
      </x:c>
      <x:c r="L289" s="24" t="str">
        <x:v>Fibrous insertion tendon</x:v>
      </x:c>
      <x:c r="M289" s="24" t="str">
        <x:v>Sphenomandibular ligament nearby</x:v>
      </x:c>
      <x:c r="N289" s="30" t="str">
        <x:v>Not established</x:v>
      </x:c>
      <x:c r="O289" s="30" t="str">
        <x:v>Not established</x:v>
      </x:c>
      <x:c r="P289" s="30" t="str">
        <x:v>Mixed Type I and Type II; ratio unverified</x:v>
      </x:c>
      <x:c r="Q289" s="24" t="str">
        <x:v>Published biopsies insufficient to state a reliable per-muscle percentage; no inference from function</x:v>
      </x:c>
      <x:c r="R289" s="32" t="str">
        <x:v>https://www.kenhub.com/en/library/anatomy/head-anatomy</x:v>
      </x:c>
      <x:c r="S289" s="32" t="str">
        <x:v>https://pubmed.ncbi.nlm.nih.gov/39359186/</x:v>
      </x:c>
    </x:row>
    <x:row r="290" ht="53" customHeight="1">
      <x:c r="A290" s="24" t="str">
        <x:v>Temporalis anterior fibers</x:v>
      </x:c>
      <x:c r="B290" s="24" t="str">
        <x:v>Mastication</x:v>
      </x:c>
      <x:c r="C290" s="24" t="str">
        <x:v>Stabilizer</x:v>
      </x:c>
      <x:c r="D290" s="28" t="str">
        <x:v>No</x:v>
      </x:c>
      <x:c r="E290" s="28" t="str">
        <x:v>No</x:v>
      </x:c>
      <x:c r="F290" s="28" t="str">
        <x:v>Yes</x:v>
      </x:c>
      <x:c r="G290" s="24" t="str">
        <x:v>Elevates mandible</x:v>
      </x:c>
      <x:c r="H290" s="24" t="str">
        <x:v>Anterior temporal fossa; temporal fascia</x:v>
      </x:c>
      <x:c r="I290" s="24" t="str">
        <x:v>Coronoid process/anterior mandibular ramus</x:v>
      </x:c>
      <x:c r="J290" s="24" t="str">
        <x:v>Deep temporal nerves (V3)</x:v>
      </x:c>
      <x:c r="K290" s="24" t="str">
        <x:v>CN V3; no spinal motor root</x:v>
      </x:c>
      <x:c r="L290" s="24" t="str">
        <x:v>Temporalis tendon</x:v>
      </x:c>
      <x:c r="M290" s="24" t="str">
        <x:v>Temporal fascia direct origin; TMJ ligament nearby</x:v>
      </x:c>
      <x:c r="N290" s="30" t="str">
        <x:v>Not established</x:v>
      </x:c>
      <x:c r="O290" s="30" t="str">
        <x:v>Not established</x:v>
      </x:c>
      <x:c r="P290" s="30" t="str">
        <x:v>Mixed Type I and Type II; ratio unverified</x:v>
      </x:c>
      <x:c r="Q290" s="24" t="str">
        <x:v>Published biopsies insufficient to state a reliable per-muscle percentage; no inference from function</x:v>
      </x:c>
      <x:c r="R290" s="32" t="str">
        <x:v>https://www.kenhub.com/en/library/anatomy/head-anatomy</x:v>
      </x:c>
      <x:c r="S290" s="32" t="str">
        <x:v>https://pubmed.ncbi.nlm.nih.gov/39359186/</x:v>
      </x:c>
    </x:row>
    <x:row r="291" ht="53" customHeight="1">
      <x:c r="A291" s="24" t="str">
        <x:v>Temporalis posterior fibers</x:v>
      </x:c>
      <x:c r="B291" s="24" t="str">
        <x:v>Mastication</x:v>
      </x:c>
      <x:c r="C291" s="24" t="str">
        <x:v>Stabilizer</x:v>
      </x:c>
      <x:c r="D291" s="28" t="str">
        <x:v>No</x:v>
      </x:c>
      <x:c r="E291" s="28" t="str">
        <x:v>No</x:v>
      </x:c>
      <x:c r="F291" s="28" t="str">
        <x:v>Yes</x:v>
      </x:c>
      <x:c r="G291" s="24" t="str">
        <x:v>Retracts and elevates mandible</x:v>
      </x:c>
      <x:c r="H291" s="24" t="str">
        <x:v>Posterior temporal fossa; temporal fascia</x:v>
      </x:c>
      <x:c r="I291" s="24" t="str">
        <x:v>Coronoid process of mandible</x:v>
      </x:c>
      <x:c r="J291" s="24" t="str">
        <x:v>Deep temporal nerves (V3)</x:v>
      </x:c>
      <x:c r="K291" s="24" t="str">
        <x:v>CN V3; no spinal motor root</x:v>
      </x:c>
      <x:c r="L291" s="24" t="str">
        <x:v>Temporalis tendon</x:v>
      </x:c>
      <x:c r="M291" s="24" t="str">
        <x:v>Temporal fascia origin</x:v>
      </x:c>
      <x:c r="N291" s="30" t="str">
        <x:v>Not established</x:v>
      </x:c>
      <x:c r="O291" s="30" t="str">
        <x:v>Not established</x:v>
      </x:c>
      <x:c r="P291" s="30" t="str">
        <x:v>Mixed Type I and Type II; ratio unverified</x:v>
      </x:c>
      <x:c r="Q291" s="24" t="str">
        <x:v>Published biopsies insufficient to state a reliable per-muscle percentage; no inference from function</x:v>
      </x:c>
      <x:c r="R291" s="32" t="str">
        <x:v>https://www.kenhub.com/en/library/anatomy/head-anatomy</x:v>
      </x:c>
      <x:c r="S291" s="32" t="str">
        <x:v>https://pubmed.ncbi.nlm.nih.gov/39359186/</x:v>
      </x:c>
    </x:row>
    <x:row r="292" ht="53" customHeight="1">
      <x:c r="A292" s="24" t="str">
        <x:v>Lateral pterygoid inferior head</x:v>
      </x:c>
      <x:c r="B292" s="24" t="str">
        <x:v>Mastication / TMJ</x:v>
      </x:c>
      <x:c r="C292" s="24" t="str">
        <x:v>Other</x:v>
      </x:c>
      <x:c r="D292" s="28" t="str">
        <x:v>No</x:v>
      </x:c>
      <x:c r="E292" s="28" t="str">
        <x:v>No</x:v>
      </x:c>
      <x:c r="F292" s="28" t="str">
        <x:v>No</x:v>
      </x:c>
      <x:c r="G292" s="24" t="str">
        <x:v>Protrudes/depresses mandible; side-to-side chewing</x:v>
      </x:c>
      <x:c r="H292" s="24" t="str">
        <x:v>Lateral surface lateral pterygoid plate</x:v>
      </x:c>
      <x:c r="I292" s="24" t="str">
        <x:v>Pterygoid fovea of mandibular neck</x:v>
      </x:c>
      <x:c r="J292" s="24" t="str">
        <x:v>Nerve to lateral pterygoid (V3)</x:v>
      </x:c>
      <x:c r="K292" s="24" t="str">
        <x:v>CN V3; no spinal motor root</x:v>
      </x:c>
      <x:c r="L292" s="24" t="str">
        <x:v>Pterygoid fovea insertion tendon</x:v>
      </x:c>
      <x:c r="M292" s="24" t="str">
        <x:v>TMJ capsular ligament complex nearby</x:v>
      </x:c>
      <x:c r="N292" s="30" t="str">
        <x:v>Not established</x:v>
      </x:c>
      <x:c r="O292" s="30" t="str">
        <x:v>Not established</x:v>
      </x:c>
      <x:c r="P292" s="30" t="str">
        <x:v>Mixed Type I and Type II; ratio unverified</x:v>
      </x:c>
      <x:c r="Q292" s="24" t="str">
        <x:v>Published biopsies insufficient to state a reliable per-muscle percentage; no inference from function</x:v>
      </x:c>
      <x:c r="R292" s="32" t="str">
        <x:v>https://www.kenhub.com/en/library/anatomy/head-anatomy</x:v>
      </x:c>
      <x:c r="S292" s="32" t="str">
        <x:v>https://pubmed.ncbi.nlm.nih.gov/39359186/</x:v>
      </x:c>
    </x:row>
    <x:row r="293" ht="53" customHeight="1">
      <x:c r="A293" s="24" t="str">
        <x:v>Lateral pterygoid superior head</x:v>
      </x:c>
      <x:c r="B293" s="24" t="str">
        <x:v>Mastication / TMJ</x:v>
      </x:c>
      <x:c r="C293" s="24" t="str">
        <x:v>Stabilizer</x:v>
      </x:c>
      <x:c r="D293" s="28" t="str">
        <x:v>No</x:v>
      </x:c>
      <x:c r="E293" s="28" t="str">
        <x:v>No</x:v>
      </x:c>
      <x:c r="F293" s="28" t="str">
        <x:v>Yes</x:v>
      </x:c>
      <x:c r="G293" s="24" t="str">
        <x:v>Stabilizes articular disc and jaw during closing</x:v>
      </x:c>
      <x:c r="H293" s="24" t="str">
        <x:v>Infratemporal surface/crest greater wing sphenoid</x:v>
      </x:c>
      <x:c r="I293" s="24" t="str">
        <x:v>TMJ articular disc/capsule and pterygoid fovea mandibular neck</x:v>
      </x:c>
      <x:c r="J293" s="24" t="str">
        <x:v>Nerve to lateral pterygoid (V3)</x:v>
      </x:c>
      <x:c r="K293" s="24" t="str">
        <x:v>CN V3; no spinal motor root</x:v>
      </x:c>
      <x:c r="L293" s="24" t="str">
        <x:v>Capsulodiscal fibrous attachment</x:v>
      </x:c>
      <x:c r="M293" s="24" t="str">
        <x:v>TMJ capsule and lateral ligament adjacent</x:v>
      </x:c>
      <x:c r="N293" s="30" t="str">
        <x:v>Not established</x:v>
      </x:c>
      <x:c r="O293" s="30" t="str">
        <x:v>Not established</x:v>
      </x:c>
      <x:c r="P293" s="30" t="str">
        <x:v>Mixed Type I and Type II; ratio unverified</x:v>
      </x:c>
      <x:c r="Q293" s="24" t="str">
        <x:v>Published biopsies insufficient to state a reliable per-muscle percentage; no inference from function</x:v>
      </x:c>
      <x:c r="R293" s="32" t="str">
        <x:v>https://www.kenhub.com/en/library/anatomy/head-anatomy</x:v>
      </x:c>
      <x:c r="S293" s="32" t="str">
        <x:v>https://pubmed.ncbi.nlm.nih.gov/39359186/</x:v>
      </x:c>
    </x:row>
    <x:row r="294" ht="53" customHeight="1">
      <x:c r="A294" s="24" t="str">
        <x:v>Orbicularis oculi lacrimal part (Horner muscle)</x:v>
      </x:c>
      <x:c r="B294" s="24" t="str">
        <x:v>Medial eyelid</x:v>
      </x:c>
      <x:c r="C294" s="24" t="str">
        <x:v>Stabilizer</x:v>
      </x:c>
      <x:c r="D294" s="28" t="str">
        <x:v>No</x:v>
      </x:c>
      <x:c r="E294" s="28" t="str">
        <x:v>No</x:v>
      </x:c>
      <x:c r="F294" s="28" t="str">
        <x:v>Yes</x:v>
      </x:c>
      <x:c r="G294" s="24" t="str">
        <x:v>Drains tears via lacrimal pump; eyelid closure</x:v>
      </x:c>
      <x:c r="H294" s="24" t="str">
        <x:v>Posterior lacrimal crest/lacrimal fascia</x:v>
      </x:c>
      <x:c r="I294" s="24" t="str">
        <x:v>Medial tarsal plates</x:v>
      </x:c>
      <x:c r="J294" s="24" t="str">
        <x:v>Zygomatic branch facial nerve</x:v>
      </x:c>
      <x:c r="K294" s="24" t="str">
        <x:v>CN VII; no spinal root</x:v>
      </x:c>
      <x:c r="L294" s="24" t="str">
        <x:v>Tarsal tendon/fibrous slips</x:v>
      </x:c>
      <x:c r="M294" s="24" t="str">
        <x:v>Medial canthal tendon/lacrimal fascia</x:v>
      </x:c>
      <x:c r="N294" s="30" t="str">
        <x:v>Not established</x:v>
      </x:c>
      <x:c r="O294" s="30" t="str">
        <x:v>Not established</x:v>
      </x:c>
      <x:c r="P294" s="30" t="str">
        <x:v>Mixed Type I and Type II; ratio unverified</x:v>
      </x:c>
      <x:c r="Q294" s="24" t="str">
        <x:v>Published biopsies insufficient to state a reliable per-muscle percentage; no inference from function</x:v>
      </x:c>
      <x:c r="R294" s="32" t="str">
        <x:v>https://www.kenhub.com/en/library/anatomy/head-anatomy</x:v>
      </x:c>
      <x:c r="S294" s="32" t="str">
        <x:v>https://pubmed.ncbi.nlm.nih.gov/39359186/</x:v>
      </x:c>
    </x:row>
    <x:row r="295" ht="53" customHeight="1">
      <x:c r="A295" s="24" t="str">
        <x:v>Procerus</x:v>
      </x:c>
      <x:c r="B295" s="24" t="str">
        <x:v>Nasal bridge</x:v>
      </x:c>
      <x:c r="C295" s="24" t="str">
        <x:v>Other</x:v>
      </x:c>
      <x:c r="D295" s="28" t="str">
        <x:v>No</x:v>
      </x:c>
      <x:c r="E295" s="28" t="str">
        <x:v>No</x:v>
      </x:c>
      <x:c r="F295" s="28" t="str">
        <x:v>No</x:v>
      </x:c>
      <x:c r="G295" s="24" t="str">
        <x:v>Depresses medial brow; transverse nasal wrinkles</x:v>
      </x:c>
      <x:c r="H295" s="24" t="str">
        <x:v>Nasal bone and upper lateral nasal cartilage</x:v>
      </x:c>
      <x:c r="I295" s="24" t="str">
        <x:v>Skin between eyebrows</x:v>
      </x:c>
      <x:c r="J295" s="24" t="str">
        <x:v>Temporal/buccal facial branches</x:v>
      </x:c>
      <x:c r="K295" s="24" t="str">
        <x:v>CN VII; no spinal root</x:v>
      </x:c>
      <x:c r="L295" s="24" t="str">
        <x:v>Fibrous dermal insertion</x:v>
      </x:c>
      <x:c r="M295" s="24" t="str">
        <x:v>No specific direct ligament attachment</x:v>
      </x:c>
      <x:c r="N295" s="30" t="str">
        <x:v>Not established</x:v>
      </x:c>
      <x:c r="O295" s="30" t="str">
        <x:v>Not established</x:v>
      </x:c>
      <x:c r="P295" s="30" t="str">
        <x:v>Mixed Type I and Type II; ratio unverified</x:v>
      </x:c>
      <x:c r="Q295" s="24" t="str">
        <x:v>Published biopsies insufficient to state a reliable per-muscle percentage; no inference from function</x:v>
      </x:c>
      <x:c r="R295" s="32" t="str">
        <x:v>https://www.kenhub.com/en/library/anatomy/head-anatomy</x:v>
      </x:c>
      <x:c r="S295" s="32" t="str">
        <x:v>https://pubmed.ncbi.nlm.nih.gov/39359186/</x:v>
      </x:c>
    </x:row>
    <x:row r="296" ht="53" customHeight="1">
      <x:c r="A296" s="24" t="str">
        <x:v>Depressor septi nasi</x:v>
      </x:c>
      <x:c r="B296" s="24" t="str">
        <x:v>Nose</x:v>
      </x:c>
      <x:c r="C296" s="24" t="str">
        <x:v>Other</x:v>
      </x:c>
      <x:c r="D296" s="28" t="str">
        <x:v>No</x:v>
      </x:c>
      <x:c r="E296" s="28" t="str">
        <x:v>No</x:v>
      </x:c>
      <x:c r="F296" s="28" t="str">
        <x:v>No</x:v>
      </x:c>
      <x:c r="G296" s="24" t="str">
        <x:v>Draws septum downward, narrows nostrils</x:v>
      </x:c>
      <x:c r="H296" s="24" t="str">
        <x:v>Incisive fossa of maxilla</x:v>
      </x:c>
      <x:c r="I296" s="24" t="str">
        <x:v>Mobile nasal septum/columella</x:v>
      </x:c>
      <x:c r="J296" s="24" t="str">
        <x:v>Buccal facial branches</x:v>
      </x:c>
      <x:c r="K296" s="24" t="str">
        <x:v>CN VII; no spinal root</x:v>
      </x:c>
      <x:c r="L296" s="24" t="str">
        <x:v>Fibrous septal insertion</x:v>
      </x:c>
      <x:c r="M296" s="24" t="str">
        <x:v>Nasal septal cartilage connective tissue</x:v>
      </x:c>
      <x:c r="N296" s="30" t="str">
        <x:v>Not established</x:v>
      </x:c>
      <x:c r="O296" s="30" t="str">
        <x:v>Not established</x:v>
      </x:c>
      <x:c r="P296" s="30" t="str">
        <x:v>Mixed Type I and Type II; ratio unverified</x:v>
      </x:c>
      <x:c r="Q296" s="24" t="str">
        <x:v>Published biopsies insufficient to state a reliable per-muscle percentage; no inference from function</x:v>
      </x:c>
      <x:c r="R296" s="32" t="str">
        <x:v>https://www.kenhub.com/en/library/anatomy/head-anatomy</x:v>
      </x:c>
      <x:c r="S296" s="32" t="str">
        <x:v>https://pubmed.ncbi.nlm.nih.gov/39359186/</x:v>
      </x:c>
    </x:row>
    <x:row r="297" ht="53" customHeight="1">
      <x:c r="A297" s="24" t="str">
        <x:v>Nasalis alar part (dilator naris)</x:v>
      </x:c>
      <x:c r="B297" s="24" t="str">
        <x:v>Nose</x:v>
      </x:c>
      <x:c r="C297" s="24" t="str">
        <x:v>Other</x:v>
      </x:c>
      <x:c r="D297" s="28" t="str">
        <x:v>No</x:v>
      </x:c>
      <x:c r="E297" s="28" t="str">
        <x:v>No</x:v>
      </x:c>
      <x:c r="F297" s="28" t="str">
        <x:v>No</x:v>
      </x:c>
      <x:c r="G297" s="24" t="str">
        <x:v>Dilates nostril</x:v>
      </x:c>
      <x:c r="H297" s="24" t="str">
        <x:v>Maxilla near lateral incisor</x:v>
      </x:c>
      <x:c r="I297" s="24" t="str">
        <x:v>Greater alar cartilage/skin of nostril</x:v>
      </x:c>
      <x:c r="J297" s="24" t="str">
        <x:v>Buccal facial branches</x:v>
      </x:c>
      <x:c r="K297" s="24" t="str">
        <x:v>CN VII; no spinal root</x:v>
      </x:c>
      <x:c r="L297" s="24" t="str">
        <x:v>Dermal/cartilage fascicles</x:v>
      </x:c>
      <x:c r="M297" s="24" t="str">
        <x:v>Alar cartilaginous connective tissue</x:v>
      </x:c>
      <x:c r="N297" s="30" t="str">
        <x:v>Not established</x:v>
      </x:c>
      <x:c r="O297" s="30" t="str">
        <x:v>Not established</x:v>
      </x:c>
      <x:c r="P297" s="30" t="str">
        <x:v>Mixed Type I and Type II; ratio unverified</x:v>
      </x:c>
      <x:c r="Q297" s="24" t="str">
        <x:v>Published biopsies insufficient to state a reliable per-muscle percentage; no inference from function</x:v>
      </x:c>
      <x:c r="R297" s="32" t="str">
        <x:v>https://www.kenhub.com/en/library/anatomy/head-anatomy</x:v>
      </x:c>
      <x:c r="S297" s="32" t="str">
        <x:v>https://pubmed.ncbi.nlm.nih.gov/39359186/</x:v>
      </x:c>
    </x:row>
    <x:row r="298" ht="53" customHeight="1">
      <x:c r="A298" s="24" t="str">
        <x:v>Nasalis transverse part (compressor naris)</x:v>
      </x:c>
      <x:c r="B298" s="24" t="str">
        <x:v>Nose</x:v>
      </x:c>
      <x:c r="C298" s="24" t="str">
        <x:v>Other</x:v>
      </x:c>
      <x:c r="D298" s="28" t="str">
        <x:v>No</x:v>
      </x:c>
      <x:c r="E298" s="28" t="str">
        <x:v>No</x:v>
      </x:c>
      <x:c r="F298" s="28" t="str">
        <x:v>No</x:v>
      </x:c>
      <x:c r="G298" s="24" t="str">
        <x:v>Compresses nasal opening</x:v>
      </x:c>
      <x:c r="H298" s="24" t="str">
        <x:v>Maxilla lateral to nose</x:v>
      </x:c>
      <x:c r="I298" s="24" t="str">
        <x:v>Aponeurosis bridge of nose</x:v>
      </x:c>
      <x:c r="J298" s="24" t="str">
        <x:v>Buccal facial branches</x:v>
      </x:c>
      <x:c r="K298" s="24" t="str">
        <x:v>CN VII; no spinal root</x:v>
      </x:c>
      <x:c r="L298" s="24" t="str">
        <x:v>Dorsal nasal aponeurosis</x:v>
      </x:c>
      <x:c r="M298" s="24" t="str">
        <x:v>Nasal cartilage fibrous attachments</x:v>
      </x:c>
      <x:c r="N298" s="30" t="str">
        <x:v>Not established</x:v>
      </x:c>
      <x:c r="O298" s="30" t="str">
        <x:v>Not established</x:v>
      </x:c>
      <x:c r="P298" s="30" t="str">
        <x:v>Mixed Type I and Type II; ratio unverified</x:v>
      </x:c>
      <x:c r="Q298" s="24" t="str">
        <x:v>Published biopsies insufficient to state a reliable per-muscle percentage; no inference from function</x:v>
      </x:c>
      <x:c r="R298" s="32" t="str">
        <x:v>https://www.kenhub.com/en/library/anatomy/head-anatomy</x:v>
      </x:c>
      <x:c r="S298" s="32" t="str">
        <x:v>https://pubmed.ncbi.nlm.nih.gov/39359186/</x:v>
      </x:c>
    </x:row>
    <x:row r="299" ht="53" customHeight="1">
      <x:c r="A299" s="24" t="str">
        <x:v>Levator labii superioris alaeque nasi</x:v>
      </x:c>
      <x:c r="B299" s="24" t="str">
        <x:v>Nose upper lip</x:v>
      </x:c>
      <x:c r="C299" s="24" t="str">
        <x:v>Other</x:v>
      </x:c>
      <x:c r="D299" s="28" t="str">
        <x:v>No</x:v>
      </x:c>
      <x:c r="E299" s="28" t="str">
        <x:v>No</x:v>
      </x:c>
      <x:c r="F299" s="28" t="str">
        <x:v>No</x:v>
      </x:c>
      <x:c r="G299" s="24" t="str">
        <x:v>Raises upper lip/dilates nostril</x:v>
      </x:c>
      <x:c r="H299" s="24" t="str">
        <x:v>Frontal process of maxilla</x:v>
      </x:c>
      <x:c r="I299" s="24" t="str">
        <x:v>Alar cartilage and upper lip skin</x:v>
      </x:c>
      <x:c r="J299" s="24" t="str">
        <x:v>Buccal facial branches</x:v>
      </x:c>
      <x:c r="K299" s="24" t="str">
        <x:v>CN VII; no spinal root</x:v>
      </x:c>
      <x:c r="L299" s="24" t="str">
        <x:v>Dermal insertions</x:v>
      </x:c>
      <x:c r="M299" s="24" t="str">
        <x:v>No specific ligament attachment</x:v>
      </x:c>
      <x:c r="N299" s="30" t="str">
        <x:v>Not established</x:v>
      </x:c>
      <x:c r="O299" s="30" t="str">
        <x:v>Not established</x:v>
      </x:c>
      <x:c r="P299" s="30" t="str">
        <x:v>Mixed Type I and Type II; ratio unverified</x:v>
      </x:c>
      <x:c r="Q299" s="24" t="str">
        <x:v>Published biopsies insufficient to state a reliable per-muscle percentage; no inference from function</x:v>
      </x:c>
      <x:c r="R299" s="32" t="str">
        <x:v>https://www.kenhub.com/en/library/anatomy/head-anatomy</x:v>
      </x:c>
      <x:c r="S299" s="32" t="str">
        <x:v>https://pubmed.ncbi.nlm.nih.gov/39359186/</x:v>
      </x:c>
    </x:row>
    <x:row r="300" ht="53" customHeight="1">
      <x:c r="A300" s="24" t="str">
        <x:v>Orbicularis oculi orbital part</x:v>
      </x:c>
      <x:c r="B300" s="24" t="str">
        <x:v>Periorbital</x:v>
      </x:c>
      <x:c r="C300" s="24" t="str">
        <x:v>Stabilizer</x:v>
      </x:c>
      <x:c r="D300" s="28" t="str">
        <x:v>No</x:v>
      </x:c>
      <x:c r="E300" s="28" t="str">
        <x:v>No</x:v>
      </x:c>
      <x:c r="F300" s="28" t="str">
        <x:v>Yes</x:v>
      </x:c>
      <x:c r="G300" s="24" t="str">
        <x:v>Forceful eyelid closure</x:v>
      </x:c>
      <x:c r="H300" s="24" t="str">
        <x:v>Medial orbital margin; medial palpebral ligament</x:v>
      </x:c>
      <x:c r="I300" s="24" t="str">
        <x:v>Skin around orbital rim</x:v>
      </x:c>
      <x:c r="J300" s="24" t="str">
        <x:v>Temporal and zygomatic branches facial nerve</x:v>
      </x:c>
      <x:c r="K300" s="24" t="str">
        <x:v>CN VII; no spinal root</x:v>
      </x:c>
      <x:c r="L300" s="24" t="str">
        <x:v>Medial canthal tendon/medial palpebral ligament</x:v>
      </x:c>
      <x:c r="M300" s="24" t="str">
        <x:v>Medial palpebral ligament direct origin</x:v>
      </x:c>
      <x:c r="N300" s="30" t="str">
        <x:v>Not established</x:v>
      </x:c>
      <x:c r="O300" s="30" t="str">
        <x:v>Not established</x:v>
      </x:c>
      <x:c r="P300" s="30" t="str">
        <x:v>Mixed Type I and Type II; ratio unverified</x:v>
      </x:c>
      <x:c r="Q300" s="24" t="str">
        <x:v>Published biopsies insufficient to state a reliable per-muscle percentage; no inference from function</x:v>
      </x:c>
      <x:c r="R300" s="32" t="str">
        <x:v>https://www.kenhub.com/en/library/anatomy/head-anatomy</x:v>
      </x:c>
      <x:c r="S300" s="32" t="str">
        <x:v>https://pubmed.ncbi.nlm.nih.gov/39359186/</x:v>
      </x:c>
    </x:row>
    <x:row r="301" ht="53" customHeight="1">
      <x:c r="A301" s="24" t="str">
        <x:v>Frontalis (occipitofrontalis frontal belly)</x:v>
      </x:c>
      <x:c r="B301" s="24" t="str">
        <x:v>Scalp</x:v>
      </x:c>
      <x:c r="C301" s="24" t="str">
        <x:v>Other</x:v>
      </x:c>
      <x:c r="D301" s="28" t="str">
        <x:v>No</x:v>
      </x:c>
      <x:c r="E301" s="28" t="str">
        <x:v>No</x:v>
      </x:c>
      <x:c r="F301" s="28" t="str">
        <x:v>No</x:v>
      </x:c>
      <x:c r="G301" s="24" t="str">
        <x:v>Raises eyebrows; wrinkles forehead</x:v>
      </x:c>
      <x:c r="H301" s="24" t="str">
        <x:v>Epicranial aponeurosis</x:v>
      </x:c>
      <x:c r="I301" s="24" t="str">
        <x:v>Skin eyebrows/root nose</x:v>
      </x:c>
      <x:c r="J301" s="24" t="str">
        <x:v>Temporal branches facial nerve</x:v>
      </x:c>
      <x:c r="K301" s="24" t="str">
        <x:v>CN VII; no spinal root</x:v>
      </x:c>
      <x:c r="L301" s="24" t="str">
        <x:v>Epicranial aponeurosis</x:v>
      </x:c>
      <x:c r="M301" s="24" t="str">
        <x:v>No direct ligament attachment</x:v>
      </x:c>
      <x:c r="N301" s="30" t="str">
        <x:v>Not established</x:v>
      </x:c>
      <x:c r="O301" s="30" t="str">
        <x:v>Not established</x:v>
      </x:c>
      <x:c r="P301" s="30" t="str">
        <x:v>Mixed Type I and Type II; ratio unverified</x:v>
      </x:c>
      <x:c r="Q301" s="24" t="str">
        <x:v>Published biopsies insufficient to state a reliable per-muscle percentage; no inference from function</x:v>
      </x:c>
      <x:c r="R301" s="32" t="str">
        <x:v>https://www.kenhub.com/en/library/anatomy/head-anatomy</x:v>
      </x:c>
      <x:c r="S301" s="32" t="str">
        <x:v>https://pubmed.ncbi.nlm.nih.gov/39359186/</x:v>
      </x:c>
    </x:row>
    <x:row r="302" ht="53" customHeight="1">
      <x:c r="A302" s="24" t="str">
        <x:v>Occipitalis (occipitofrontalis occipital belly)</x:v>
      </x:c>
      <x:c r="B302" s="24" t="str">
        <x:v>Scalp</x:v>
      </x:c>
      <x:c r="C302" s="24" t="str">
        <x:v>Other</x:v>
      </x:c>
      <x:c r="D302" s="28" t="str">
        <x:v>No</x:v>
      </x:c>
      <x:c r="E302" s="28" t="str">
        <x:v>No</x:v>
      </x:c>
      <x:c r="F302" s="28" t="str">
        <x:v>No</x:v>
      </x:c>
      <x:c r="G302" s="24" t="str">
        <x:v>Retracts scalp</x:v>
      </x:c>
      <x:c r="H302" s="24" t="str">
        <x:v>Lateral superior nuchal line; mastoid part temporal bone</x:v>
      </x:c>
      <x:c r="I302" s="24" t="str">
        <x:v>Epicranial aponeurosis</x:v>
      </x:c>
      <x:c r="J302" s="24" t="str">
        <x:v>Posterior auricular branch facial nerve</x:v>
      </x:c>
      <x:c r="K302" s="24" t="str">
        <x:v>CN VII; no spinal root</x:v>
      </x:c>
      <x:c r="L302" s="24" t="str">
        <x:v>Galea aponeurotica (epicranial aponeurosis)</x:v>
      </x:c>
      <x:c r="M302" s="24" t="str">
        <x:v>Nuchal ligament nearby, no direct attachment</x:v>
      </x:c>
      <x:c r="N302" s="30" t="str">
        <x:v>Not established</x:v>
      </x:c>
      <x:c r="O302" s="30" t="str">
        <x:v>Not established</x:v>
      </x:c>
      <x:c r="P302" s="30" t="str">
        <x:v>Mixed Type I and Type II; ratio unverified</x:v>
      </x:c>
      <x:c r="Q302" s="24" t="str">
        <x:v>Published biopsies insufficient to state a reliable per-muscle percentage; no inference from function</x:v>
      </x:c>
      <x:c r="R302" s="32" t="str">
        <x:v>https://www.kenhub.com/en/library/anatomy/head-anatomy</x:v>
      </x:c>
      <x:c r="S302" s="32" t="str">
        <x:v>https://pubmed.ncbi.nlm.nih.gov/39359186/</x:v>
      </x:c>
    </x:row>
    <x:row r="303" ht="53" customHeight="1">
      <x:c r="A303" s="24" t="str">
        <x:v>Temporoparietalis</x:v>
      </x:c>
      <x:c r="B303" s="24" t="str">
        <x:v>Scalp</x:v>
      </x:c>
      <x:c r="C303" s="24" t="str">
        <x:v>Other</x:v>
      </x:c>
      <x:c r="D303" s="28" t="str">
        <x:v>No</x:v>
      </x:c>
      <x:c r="E303" s="28" t="str">
        <x:v>No</x:v>
      </x:c>
      <x:c r="F303" s="28" t="str">
        <x:v>No</x:v>
      </x:c>
      <x:c r="G303" s="24" t="str">
        <x:v>Tenses scalp; moves auricle slightly</x:v>
      </x:c>
      <x:c r="H303" s="24" t="str">
        <x:v>Fascia above auricle</x:v>
      </x:c>
      <x:c r="I303" s="24" t="str">
        <x:v>Epicranial aponeurosis</x:v>
      </x:c>
      <x:c r="J303" s="24" t="str">
        <x:v>Temporal branches facial nerve</x:v>
      </x:c>
      <x:c r="K303" s="24" t="str">
        <x:v>CN VII; no spinal root</x:v>
      </x:c>
      <x:c r="L303" s="24" t="str">
        <x:v>Epicranial aponeurosis</x:v>
      </x:c>
      <x:c r="M303" s="24" t="str">
        <x:v>Auricular fascia, no known direct ligament</x:v>
      </x:c>
      <x:c r="N303" s="30" t="str">
        <x:v>Not established</x:v>
      </x:c>
      <x:c r="O303" s="30" t="str">
        <x:v>Not established</x:v>
      </x:c>
      <x:c r="P303" s="30" t="str">
        <x:v>Mixed Type I and Type II; ratio unverified</x:v>
      </x:c>
      <x:c r="Q303" s="24" t="str">
        <x:v>Published biopsies insufficient to state a reliable per-muscle percentage; no inference from function</x:v>
      </x:c>
      <x:c r="R303" s="32" t="str">
        <x:v>https://www.kenhub.com/en/library/anatomy/head-anatomy</x:v>
      </x:c>
      <x:c r="S303" s="32" t="str">
        <x:v>https://pubmed.ncbi.nlm.nih.gov/39359186/</x:v>
      </x:c>
    </x:row>
    <x:row r="304" ht="53" customHeight="1">
      <x:c r="A304" s="24" t="str">
        <x:v>Levator labii superioris</x:v>
      </x:c>
      <x:c r="B304" s="24" t="str">
        <x:v>Upper lip</x:v>
      </x:c>
      <x:c r="C304" s="24" t="str">
        <x:v>Other</x:v>
      </x:c>
      <x:c r="D304" s="28" t="str">
        <x:v>No</x:v>
      </x:c>
      <x:c r="E304" s="28" t="str">
        <x:v>No</x:v>
      </x:c>
      <x:c r="F304" s="28" t="str">
        <x:v>No</x:v>
      </x:c>
      <x:c r="G304" s="24" t="str">
        <x:v>Raises upper lip</x:v>
      </x:c>
      <x:c r="H304" s="24" t="str">
        <x:v>Infraorbital margin maxilla</x:v>
      </x:c>
      <x:c r="I304" s="24" t="str">
        <x:v>Skin/muscle upper lip</x:v>
      </x:c>
      <x:c r="J304" s="24" t="str">
        <x:v>Zygomatic/buccal facial branches</x:v>
      </x:c>
      <x:c r="K304" s="24" t="str">
        <x:v>CN VII; no spinal root</x:v>
      </x:c>
      <x:c r="L304" s="24" t="str">
        <x:v>Dermal fibers</x:v>
      </x:c>
      <x:c r="M304" s="24" t="str">
        <x:v>No specific ligament attachment</x:v>
      </x:c>
      <x:c r="N304" s="30" t="str">
        <x:v>Not established</x:v>
      </x:c>
      <x:c r="O304" s="30" t="str">
        <x:v>Not established</x:v>
      </x:c>
      <x:c r="P304" s="30" t="str">
        <x:v>Mixed Type I and Type II; ratio unverified</x:v>
      </x:c>
      <x:c r="Q304" s="24" t="str">
        <x:v>Published biopsies insufficient to state a reliable per-muscle percentage; no inference from function</x:v>
      </x:c>
      <x:c r="R304" s="32" t="str">
        <x:v>https://www.kenhub.com/en/library/anatomy/head-anatomy</x:v>
      </x:c>
      <x:c r="S304" s="32" t="str">
        <x:v>https://pubmed.ncbi.nlm.nih.gov/39359186/</x:v>
      </x:c>
    </x:row>
    <x:row r="305" ht="53" customHeight="1">
      <x:c r="A305" s="24" t="str">
        <x:v>Zygomaticus minor</x:v>
      </x:c>
      <x:c r="B305" s="24" t="str">
        <x:v>Upper lip</x:v>
      </x:c>
      <x:c r="C305" s="24" t="str">
        <x:v>Other</x:v>
      </x:c>
      <x:c r="D305" s="28" t="str">
        <x:v>No</x:v>
      </x:c>
      <x:c r="E305" s="28" t="str">
        <x:v>No</x:v>
      </x:c>
      <x:c r="F305" s="28" t="str">
        <x:v>No</x:v>
      </x:c>
      <x:c r="G305" s="24" t="str">
        <x:v>Elevates upper lip</x:v>
      </x:c>
      <x:c r="H305" s="24" t="str">
        <x:v>Zygomatic bone lateral malar region</x:v>
      </x:c>
      <x:c r="I305" s="24" t="str">
        <x:v>Upper lip skin/orbicularis oris</x:v>
      </x:c>
      <x:c r="J305" s="24" t="str">
        <x:v>Zygomatic/buccal facial branches</x:v>
      </x:c>
      <x:c r="K305" s="24" t="str">
        <x:v>CN VII; no spinal root</x:v>
      </x:c>
      <x:c r="L305" s="24" t="str">
        <x:v>Dermal musculofascial insertion</x:v>
      </x:c>
      <x:c r="M305" s="24" t="str">
        <x:v>No specific ligament attachment</x:v>
      </x:c>
      <x:c r="N305" s="30" t="str">
        <x:v>Not established</x:v>
      </x:c>
      <x:c r="O305" s="30" t="str">
        <x:v>Not established</x:v>
      </x:c>
      <x:c r="P305" s="30" t="str">
        <x:v>Mixed Type I and Type II; ratio unverified</x:v>
      </x:c>
      <x:c r="Q305" s="24" t="str">
        <x:v>Published biopsies insufficient to state a reliable per-muscle percentage; no inference from function</x:v>
      </x:c>
      <x:c r="R305" s="32" t="str">
        <x:v>https://www.kenhub.com/en/library/anatomy/head-anatomy</x:v>
      </x:c>
      <x:c r="S305" s="32" t="str">
        <x:v>https://pubmed.ncbi.nlm.nih.gov/39359186/</x:v>
      </x:c>
    </x:row>
    <x:row r="306" ht="53" customHeight="1">
      <x:c r="A306" s="24" t="str">
        <x:v>Aryepiglottic muscle</x:v>
      </x:c>
      <x:c r="B306" s="24" t="str">
        <x:v>Intrinsic laryngeal</x:v>
      </x:c>
      <x:c r="C306" s="24" t="str">
        <x:v>Stabilizer</x:v>
      </x:c>
      <x:c r="D306" s="28" t="str">
        <x:v>No</x:v>
      </x:c>
      <x:c r="E306" s="28" t="str">
        <x:v>No</x:v>
      </x:c>
      <x:c r="F306" s="28" t="str">
        <x:v>Yes</x:v>
      </x:c>
      <x:c r="G306" s="24" t="str">
        <x:v>Narrows laryngeal inlet during swallow</x:v>
      </x:c>
      <x:c r="H306" s="24" t="str">
        <x:v>Apex arytenoid via oblique arytenoid continuation</x:v>
      </x:c>
      <x:c r="I306" s="24" t="str">
        <x:v>Lateral edge epiglottis</x:v>
      </x:c>
      <x:c r="J306" s="24" t="str">
        <x:v>Recurrent laryngeal nerve</x:v>
      </x:c>
      <x:c r="K306" s="24" t="str">
        <x:v>CN X; no spinal root</x:v>
      </x:c>
      <x:c r="L306" s="24" t="str">
        <x:v>Aryepiglottic fold fibrous insertion</x:v>
      </x:c>
      <x:c r="M306" s="24" t="str">
        <x:v>Quadrangular membrane under aryepiglottic fold</x:v>
      </x:c>
      <x:c r="N306" s="30" t="str">
        <x:v>Not established for this specific muscle</x:v>
      </x:c>
      <x:c r="O306" s="30" t="str">
        <x:v>Not established for this specific muscle</x:v>
      </x:c>
      <x:c r="P306" s="30" t="str">
        <x:v>Mixed/specialized; not quantified</x:v>
      </x:c>
      <x:c r="Q306" s="24" t="str">
        <x:v>Laryngeal and swallowing muscles vary in specialized fiber isoforms; no defensible per-muscle percentage provided</x:v>
      </x:c>
      <x:c r="R306" s="32" t="str">
        <x:v>https://www.kenhub.com/en/library/anatomy/muscles-and-walls-of-the-pharynx</x:v>
      </x:c>
      <x:c r="S306" s="32" t="str">
        <x:v>https://pmc.ncbi.nlm.nih.gov/articles/PMC11212792/</x:v>
      </x:c>
    </x:row>
    <x:row r="307" ht="53" customHeight="1">
      <x:c r="A307" s="24" t="str">
        <x:v>Cricothyroid oblique part</x:v>
      </x:c>
      <x:c r="B307" s="24" t="str">
        <x:v>Intrinsic laryngeal</x:v>
      </x:c>
      <x:c r="C307" s="24" t="str">
        <x:v>Stabilizer</x:v>
      </x:c>
      <x:c r="D307" s="28" t="str">
        <x:v>No</x:v>
      </x:c>
      <x:c r="E307" s="28" t="str">
        <x:v>No</x:v>
      </x:c>
      <x:c r="F307" s="28" t="str">
        <x:v>Yes</x:v>
      </x:c>
      <x:c r="G307" s="24" t="str">
        <x:v>Lengthens/tenses vocal folds</x:v>
      </x:c>
      <x:c r="H307" s="24" t="str">
        <x:v>Cricoid cartilage lateral arch</x:v>
      </x:c>
      <x:c r="I307" s="24" t="str">
        <x:v>Inferior horn thyroid cartilage</x:v>
      </x:c>
      <x:c r="J307" s="24" t="str">
        <x:v>External branch superior laryngeal nerve</x:v>
      </x:c>
      <x:c r="K307" s="24" t="str">
        <x:v>CN X; no spinal root</x:v>
      </x:c>
      <x:c r="L307" s="24" t="str">
        <x:v>Short oblique tendon</x:v>
      </x:c>
      <x:c r="M307" s="24" t="str">
        <x:v>Cricothyroid joint ligament complex adjacent</x:v>
      </x:c>
      <x:c r="N307" s="30" t="str">
        <x:v>Not established for this specific muscle</x:v>
      </x:c>
      <x:c r="O307" s="30" t="str">
        <x:v>Not established for this specific muscle</x:v>
      </x:c>
      <x:c r="P307" s="30" t="str">
        <x:v>Mixed/specialized; not quantified</x:v>
      </x:c>
      <x:c r="Q307" s="24" t="str">
        <x:v>Laryngeal and swallowing muscles vary in specialized fiber isoforms; no defensible per-muscle percentage provided</x:v>
      </x:c>
      <x:c r="R307" s="32" t="str">
        <x:v>https://www.kenhub.com/en/library/anatomy/muscles-and-walls-of-the-pharynx</x:v>
      </x:c>
      <x:c r="S307" s="32" t="str">
        <x:v>https://pmc.ncbi.nlm.nih.gov/articles/PMC11212792/</x:v>
      </x:c>
    </x:row>
    <x:row r="308" ht="53" customHeight="1">
      <x:c r="A308" s="24" t="str">
        <x:v>Cricothyroid straight part</x:v>
      </x:c>
      <x:c r="B308" s="24" t="str">
        <x:v>Intrinsic laryngeal</x:v>
      </x:c>
      <x:c r="C308" s="24" t="str">
        <x:v>Stabilizer</x:v>
      </x:c>
      <x:c r="D308" s="28" t="str">
        <x:v>No</x:v>
      </x:c>
      <x:c r="E308" s="28" t="str">
        <x:v>No</x:v>
      </x:c>
      <x:c r="F308" s="28" t="str">
        <x:v>Yes</x:v>
      </x:c>
      <x:c r="G308" s="24" t="str">
        <x:v>Tilts thyroid cartilage forward to tense vocal folds</x:v>
      </x:c>
      <x:c r="H308" s="24" t="str">
        <x:v>Anterolateral arch cricoid cartilage</x:v>
      </x:c>
      <x:c r="I308" s="24" t="str">
        <x:v>Inferior border lamina thyroid cartilage</x:v>
      </x:c>
      <x:c r="J308" s="24" t="str">
        <x:v>External branch superior laryngeal nerve</x:v>
      </x:c>
      <x:c r="K308" s="24" t="str">
        <x:v>CN X; no spinal root</x:v>
      </x:c>
      <x:c r="L308" s="24" t="str">
        <x:v>Short cartilage-to-cartilage tendon</x:v>
      </x:c>
      <x:c r="M308" s="24" t="str">
        <x:v>Cricothyroid ligament/membrane adjacent</x:v>
      </x:c>
      <x:c r="N308" s="30" t="str">
        <x:v>Not established for this specific muscle</x:v>
      </x:c>
      <x:c r="O308" s="30" t="str">
        <x:v>Not established for this specific muscle</x:v>
      </x:c>
      <x:c r="P308" s="30" t="str">
        <x:v>Mixed/specialized; not quantified</x:v>
      </x:c>
      <x:c r="Q308" s="24" t="str">
        <x:v>Laryngeal and swallowing muscles vary in specialized fiber isoforms; no defensible per-muscle percentage provided</x:v>
      </x:c>
      <x:c r="R308" s="32" t="str">
        <x:v>https://www.kenhub.com/en/library/anatomy/muscles-and-walls-of-the-pharynx</x:v>
      </x:c>
      <x:c r="S308" s="32" t="str">
        <x:v>https://pmc.ncbi.nlm.nih.gov/articles/PMC11212792/</x:v>
      </x:c>
    </x:row>
    <x:row r="309" ht="53" customHeight="1">
      <x:c r="A309" s="24" t="str">
        <x:v>Lateral cricoarytenoid</x:v>
      </x:c>
      <x:c r="B309" s="24" t="str">
        <x:v>Intrinsic laryngeal</x:v>
      </x:c>
      <x:c r="C309" s="24" t="str">
        <x:v>Stabilizer</x:v>
      </x:c>
      <x:c r="D309" s="28" t="str">
        <x:v>No</x:v>
      </x:c>
      <x:c r="E309" s="28" t="str">
        <x:v>No</x:v>
      </x:c>
      <x:c r="F309" s="28" t="str">
        <x:v>Yes</x:v>
      </x:c>
      <x:c r="G309" s="24" t="str">
        <x:v>Adducts vocal processes; closes glottis</x:v>
      </x:c>
      <x:c r="H309" s="24" t="str">
        <x:v>Superior/lateral arch cricoid cartilage</x:v>
      </x:c>
      <x:c r="I309" s="24" t="str">
        <x:v>Muscular process arytenoid cartilage</x:v>
      </x:c>
      <x:c r="J309" s="24" t="str">
        <x:v>Recurrent laryngeal nerve</x:v>
      </x:c>
      <x:c r="K309" s="24" t="str">
        <x:v>CN X; no spinal root</x:v>
      </x:c>
      <x:c r="L309" s="24" t="str">
        <x:v>Arytenoid muscular process tendon</x:v>
      </x:c>
      <x:c r="M309" s="24" t="str">
        <x:v>Cricoarytenoid capsule nearby</x:v>
      </x:c>
      <x:c r="N309" s="30" t="str">
        <x:v>Not established for this specific muscle</x:v>
      </x:c>
      <x:c r="O309" s="30" t="str">
        <x:v>Not established for this specific muscle</x:v>
      </x:c>
      <x:c r="P309" s="30" t="str">
        <x:v>Mixed/specialized; not quantified</x:v>
      </x:c>
      <x:c r="Q309" s="24" t="str">
        <x:v>Laryngeal and swallowing muscles vary in specialized fiber isoforms; no defensible per-muscle percentage provided</x:v>
      </x:c>
      <x:c r="R309" s="32" t="str">
        <x:v>https://www.kenhub.com/en/library/anatomy/muscles-and-walls-of-the-pharynx</x:v>
      </x:c>
      <x:c r="S309" s="32" t="str">
        <x:v>https://pmc.ncbi.nlm.nih.gov/articles/PMC11212792/</x:v>
      </x:c>
    </x:row>
    <x:row r="310" ht="53" customHeight="1">
      <x:c r="A310" s="24" t="str">
        <x:v>Oblique arytenoid</x:v>
      </x:c>
      <x:c r="B310" s="24" t="str">
        <x:v>Intrinsic laryngeal</x:v>
      </x:c>
      <x:c r="C310" s="24" t="str">
        <x:v>Stabilizer</x:v>
      </x:c>
      <x:c r="D310" s="28" t="str">
        <x:v>No</x:v>
      </x:c>
      <x:c r="E310" s="28" t="str">
        <x:v>No</x:v>
      </x:c>
      <x:c r="F310" s="28" t="str">
        <x:v>Yes</x:v>
      </x:c>
      <x:c r="G310" s="24" t="str">
        <x:v>Closes laryngeal inlet, assists adduction</x:v>
      </x:c>
      <x:c r="H310" s="24" t="str">
        <x:v>Muscular process of one arytenoid</x:v>
      </x:c>
      <x:c r="I310" s="24" t="str">
        <x:v>Apex of opposite arytenoid</x:v>
      </x:c>
      <x:c r="J310" s="24" t="str">
        <x:v>Recurrent laryngeal nerve</x:v>
      </x:c>
      <x:c r="K310" s="24" t="str">
        <x:v>CN X; no spinal root</x:v>
      </x:c>
      <x:c r="L310" s="24" t="str">
        <x:v>Short arytenoid aponeurosis</x:v>
      </x:c>
      <x:c r="M310" s="24" t="str">
        <x:v>Quadrangular membrane continuation near apex</x:v>
      </x:c>
      <x:c r="N310" s="30" t="str">
        <x:v>Not established for this specific muscle</x:v>
      </x:c>
      <x:c r="O310" s="30" t="str">
        <x:v>Not established for this specific muscle</x:v>
      </x:c>
      <x:c r="P310" s="30" t="str">
        <x:v>Mixed/specialized; not quantified</x:v>
      </x:c>
      <x:c r="Q310" s="24" t="str">
        <x:v>Laryngeal and swallowing muscles vary in specialized fiber isoforms; no defensible per-muscle percentage provided</x:v>
      </x:c>
      <x:c r="R310" s="32" t="str">
        <x:v>https://www.kenhub.com/en/library/anatomy/muscles-and-walls-of-the-pharynx</x:v>
      </x:c>
      <x:c r="S310" s="32" t="str">
        <x:v>https://pmc.ncbi.nlm.nih.gov/articles/PMC11212792/</x:v>
      </x:c>
    </x:row>
    <x:row r="311" ht="53" customHeight="1">
      <x:c r="A311" s="24" t="str">
        <x:v>Posterior cricoarytenoid</x:v>
      </x:c>
      <x:c r="B311" s="24" t="str">
        <x:v>Intrinsic laryngeal</x:v>
      </x:c>
      <x:c r="C311" s="24" t="str">
        <x:v>Stabilizer</x:v>
      </x:c>
      <x:c r="D311" s="28" t="str">
        <x:v>No</x:v>
      </x:c>
      <x:c r="E311" s="28" t="str">
        <x:v>No</x:v>
      </x:c>
      <x:c r="F311" s="28" t="str">
        <x:v>Yes</x:v>
      </x:c>
      <x:c r="G311" s="24" t="str">
        <x:v>Abducts vocal folds; opens rima glottidis</x:v>
      </x:c>
      <x:c r="H311" s="24" t="str">
        <x:v>Posterior lamina of cricoid cartilage</x:v>
      </x:c>
      <x:c r="I311" s="24" t="str">
        <x:v>Muscular process arytenoid cartilage</x:v>
      </x:c>
      <x:c r="J311" s="24" t="str">
        <x:v>Recurrent laryngeal nerve</x:v>
      </x:c>
      <x:c r="K311" s="24" t="str">
        <x:v>CN X; no spinal root</x:v>
      </x:c>
      <x:c r="L311" s="24" t="str">
        <x:v>Short arytenoid tendon</x:v>
      </x:c>
      <x:c r="M311" s="24" t="str">
        <x:v>Cricoarytenoid joint capsule/ligaments adjacent</x:v>
      </x:c>
      <x:c r="N311" s="30" t="str">
        <x:v>Not established for this specific muscle</x:v>
      </x:c>
      <x:c r="O311" s="30" t="str">
        <x:v>Not established for this specific muscle</x:v>
      </x:c>
      <x:c r="P311" s="30" t="str">
        <x:v>Mixed/specialized; not quantified</x:v>
      </x:c>
      <x:c r="Q311" s="24" t="str">
        <x:v>Laryngeal and swallowing muscles vary in specialized fiber isoforms; no defensible per-muscle percentage provided</x:v>
      </x:c>
      <x:c r="R311" s="32" t="str">
        <x:v>https://www.kenhub.com/en/library/anatomy/muscles-and-walls-of-the-pharynx</x:v>
      </x:c>
      <x:c r="S311" s="32" t="str">
        <x:v>https://pmc.ncbi.nlm.nih.gov/articles/PMC11212792/</x:v>
      </x:c>
    </x:row>
    <x:row r="312" ht="53" customHeight="1">
      <x:c r="A312" s="24" t="str">
        <x:v>Thyroarytenoid</x:v>
      </x:c>
      <x:c r="B312" s="24" t="str">
        <x:v>Intrinsic laryngeal</x:v>
      </x:c>
      <x:c r="C312" s="24" t="str">
        <x:v>Stabilizer</x:v>
      </x:c>
      <x:c r="D312" s="28" t="str">
        <x:v>No</x:v>
      </x:c>
      <x:c r="E312" s="28" t="str">
        <x:v>No</x:v>
      </x:c>
      <x:c r="F312" s="28" t="str">
        <x:v>Yes</x:v>
      </x:c>
      <x:c r="G312" s="24" t="str">
        <x:v>Shortens/relaxes vocal folds; sphincter action</x:v>
      </x:c>
      <x:c r="H312" s="24" t="str">
        <x:v>Inner thyroid angle anteriorly</x:v>
      </x:c>
      <x:c r="I312" s="24" t="str">
        <x:v>Anterolateral arytenoid cartilage</x:v>
      </x:c>
      <x:c r="J312" s="24" t="str">
        <x:v>Recurrent laryngeal nerve</x:v>
      </x:c>
      <x:c r="K312" s="24" t="str">
        <x:v>CN X; no spinal root</x:v>
      </x:c>
      <x:c r="L312" s="24" t="str">
        <x:v>Vocal ligament-connected muscle fibers</x:v>
      </x:c>
      <x:c r="M312" s="24" t="str">
        <x:v>Vocal ligament lies medial to thyroarytenoid</x:v>
      </x:c>
      <x:c r="N312" s="30" t="str">
        <x:v>Not established for this specific muscle</x:v>
      </x:c>
      <x:c r="O312" s="30" t="str">
        <x:v>Not established for this specific muscle</x:v>
      </x:c>
      <x:c r="P312" s="30" t="str">
        <x:v>Mixed/specialized; not quantified</x:v>
      </x:c>
      <x:c r="Q312" s="24" t="str">
        <x:v>Laryngeal and swallowing muscles vary in specialized fiber isoforms; no defensible per-muscle percentage provided</x:v>
      </x:c>
      <x:c r="R312" s="32" t="str">
        <x:v>https://www.kenhub.com/en/library/anatomy/muscles-and-walls-of-the-pharynx</x:v>
      </x:c>
      <x:c r="S312" s="32" t="str">
        <x:v>https://pmc.ncbi.nlm.nih.gov/articles/PMC11212792/</x:v>
      </x:c>
    </x:row>
    <x:row r="313" ht="53" customHeight="1">
      <x:c r="A313" s="24" t="str">
        <x:v>Thyroepiglottic muscle</x:v>
      </x:c>
      <x:c r="B313" s="24" t="str">
        <x:v>Intrinsic laryngeal</x:v>
      </x:c>
      <x:c r="C313" s="24" t="str">
        <x:v>Other</x:v>
      </x:c>
      <x:c r="D313" s="28" t="str">
        <x:v>No</x:v>
      </x:c>
      <x:c r="E313" s="28" t="str">
        <x:v>No</x:v>
      </x:c>
      <x:c r="F313" s="28" t="str">
        <x:v>No</x:v>
      </x:c>
      <x:c r="G313" s="24" t="str">
        <x:v>Widens laryngeal inlet</x:v>
      </x:c>
      <x:c r="H313" s="24" t="str">
        <x:v>Inner thyroid angle, continuation thyroarytenoid</x:v>
      </x:c>
      <x:c r="I313" s="24" t="str">
        <x:v>Lateral edge epiglottis</x:v>
      </x:c>
      <x:c r="J313" s="24" t="str">
        <x:v>Recurrent laryngeal nerve</x:v>
      </x:c>
      <x:c r="K313" s="24" t="str">
        <x:v>CN X; no spinal root</x:v>
      </x:c>
      <x:c r="L313" s="24" t="str">
        <x:v>Aryepiglottic fold fibers</x:v>
      </x:c>
      <x:c r="M313" s="24" t="str">
        <x:v>Quadrangular membrane adjacent</x:v>
      </x:c>
      <x:c r="N313" s="30" t="str">
        <x:v>Not established for this specific muscle</x:v>
      </x:c>
      <x:c r="O313" s="30" t="str">
        <x:v>Not established for this specific muscle</x:v>
      </x:c>
      <x:c r="P313" s="30" t="str">
        <x:v>Mixed/specialized; not quantified</x:v>
      </x:c>
      <x:c r="Q313" s="24" t="str">
        <x:v>Laryngeal and swallowing muscles vary in specialized fiber isoforms; no defensible per-muscle percentage provided</x:v>
      </x:c>
      <x:c r="R313" s="32" t="str">
        <x:v>https://www.kenhub.com/en/library/anatomy/muscles-and-walls-of-the-pharynx</x:v>
      </x:c>
      <x:c r="S313" s="32" t="str">
        <x:v>https://pmc.ncbi.nlm.nih.gov/articles/PMC11212792/</x:v>
      </x:c>
    </x:row>
    <x:row r="314" ht="53" customHeight="1">
      <x:c r="A314" s="24" t="str">
        <x:v>Transverse arytenoid</x:v>
      </x:c>
      <x:c r="B314" s="24" t="str">
        <x:v>Intrinsic laryngeal</x:v>
      </x:c>
      <x:c r="C314" s="24" t="str">
        <x:v>Stabilizer</x:v>
      </x:c>
      <x:c r="D314" s="28" t="str">
        <x:v>No</x:v>
      </x:c>
      <x:c r="E314" s="28" t="str">
        <x:v>No</x:v>
      </x:c>
      <x:c r="F314" s="28" t="str">
        <x:v>Yes</x:v>
      </x:c>
      <x:c r="G314" s="24" t="str">
        <x:v>Adducts arytenoids; closes posterior glottis</x:v>
      </x:c>
      <x:c r="H314" s="24" t="str">
        <x:v>Posterior surface one arytenoid cartilage</x:v>
      </x:c>
      <x:c r="I314" s="24" t="str">
        <x:v>Posterior surface opposite arytenoid</x:v>
      </x:c>
      <x:c r="J314" s="24" t="str">
        <x:v>Recurrent laryngeal nerve</x:v>
      </x:c>
      <x:c r="K314" s="24" t="str">
        <x:v>CN X; no spinal root</x:v>
      </x:c>
      <x:c r="L314" s="24" t="str">
        <x:v>Transverse interarytenoid fibers</x:v>
      </x:c>
      <x:c r="M314" s="24" t="str">
        <x:v>Cricoarytenoid ligament complex nearby</x:v>
      </x:c>
      <x:c r="N314" s="30" t="str">
        <x:v>Not established for this specific muscle</x:v>
      </x:c>
      <x:c r="O314" s="30" t="str">
        <x:v>Not established for this specific muscle</x:v>
      </x:c>
      <x:c r="P314" s="30" t="str">
        <x:v>Mixed/specialized; not quantified</x:v>
      </x:c>
      <x:c r="Q314" s="24" t="str">
        <x:v>Laryngeal and swallowing muscles vary in specialized fiber isoforms; no defensible per-muscle percentage provided</x:v>
      </x:c>
      <x:c r="R314" s="32" t="str">
        <x:v>https://www.kenhub.com/en/library/anatomy/muscles-and-walls-of-the-pharynx</x:v>
      </x:c>
      <x:c r="S314" s="32" t="str">
        <x:v>https://pmc.ncbi.nlm.nih.gov/articles/PMC11212792/</x:v>
      </x:c>
    </x:row>
    <x:row r="315" ht="53" customHeight="1">
      <x:c r="A315" s="24" t="str">
        <x:v>Vocalis</x:v>
      </x:c>
      <x:c r="B315" s="24" t="str">
        <x:v>Intrinsic laryngeal</x:v>
      </x:c>
      <x:c r="C315" s="24" t="str">
        <x:v>Stabilizer</x:v>
      </x:c>
      <x:c r="D315" s="28" t="str">
        <x:v>No</x:v>
      </x:c>
      <x:c r="E315" s="28" t="str">
        <x:v>No</x:v>
      </x:c>
      <x:c r="F315" s="28" t="str">
        <x:v>Yes</x:v>
      </x:c>
      <x:c r="G315" s="24" t="str">
        <x:v>Fine-tunes vocal fold tension</x:v>
      </x:c>
      <x:c r="H315" s="24" t="str">
        <x:v>Anterior thyroid cartilage and vocal ligament</x:v>
      </x:c>
      <x:c r="I315" s="24" t="str">
        <x:v>Vocal process arytenoid and vocal ligament</x:v>
      </x:c>
      <x:c r="J315" s="24" t="str">
        <x:v>Recurrent laryngeal nerve</x:v>
      </x:c>
      <x:c r="K315" s="24" t="str">
        <x:v>CN X; no spinal root</x:v>
      </x:c>
      <x:c r="L315" s="24" t="str">
        <x:v>Fibers directly adjacent/attach vocal ligament</x:v>
      </x:c>
      <x:c r="M315" s="24" t="str">
        <x:v>Vocal ligament direct intimate muscular relationship</x:v>
      </x:c>
      <x:c r="N315" s="30" t="str">
        <x:v>Not established for this specific muscle</x:v>
      </x:c>
      <x:c r="O315" s="30" t="str">
        <x:v>Not established for this specific muscle</x:v>
      </x:c>
      <x:c r="P315" s="30" t="str">
        <x:v>Mixed/specialized; not quantified</x:v>
      </x:c>
      <x:c r="Q315" s="24" t="str">
        <x:v>Laryngeal and swallowing muscles vary in specialized fiber isoforms; no defensible per-muscle percentage provided</x:v>
      </x:c>
      <x:c r="R315" s="32" t="str">
        <x:v>https://www.kenhub.com/en/library/anatomy/muscles-and-walls-of-the-pharynx</x:v>
      </x:c>
      <x:c r="S315" s="32" t="str">
        <x:v>https://pmc.ncbi.nlm.nih.gov/articles/PMC11212792/</x:v>
      </x:c>
    </x:row>
    <x:row r="316" ht="53" customHeight="1">
      <x:c r="A316" s="24" t="str">
        <x:v>Inferior pharyngeal constrictor thyropharyngeus</x:v>
      </x:c>
      <x:c r="B316" s="24" t="str">
        <x:v>Pharyngeal circular</x:v>
      </x:c>
      <x:c r="C316" s="24" t="str">
        <x:v>Stabilizer</x:v>
      </x:c>
      <x:c r="D316" s="28" t="str">
        <x:v>No</x:v>
      </x:c>
      <x:c r="E316" s="28" t="str">
        <x:v>No</x:v>
      </x:c>
      <x:c r="F316" s="28" t="str">
        <x:v>Yes</x:v>
      </x:c>
      <x:c r="G316" s="24" t="str">
        <x:v>Pharyngeal constriction during swallow</x:v>
      </x:c>
      <x:c r="H316" s="24" t="str">
        <x:v>Oblique line thyroid cartilage</x:v>
      </x:c>
      <x:c r="I316" s="24" t="str">
        <x:v>Median pharyngeal raphe</x:v>
      </x:c>
      <x:c r="J316" s="24" t="str">
        <x:v>Pharyngeal plexus via vagus nerve</x:v>
      </x:c>
      <x:c r="K316" s="24" t="str">
        <x:v>CN X; no spinal root</x:v>
      </x:c>
      <x:c r="L316" s="24" t="str">
        <x:v>Pharyngeal raphe</x:v>
      </x:c>
      <x:c r="M316" s="24" t="str">
        <x:v>Thyrohyoid membrane adjacent</x:v>
      </x:c>
      <x:c r="N316" s="30" t="str">
        <x:v>Not established for this specific muscle</x:v>
      </x:c>
      <x:c r="O316" s="30" t="str">
        <x:v>Not established for this specific muscle</x:v>
      </x:c>
      <x:c r="P316" s="30" t="str">
        <x:v>Mixed/specialized; not quantified</x:v>
      </x:c>
      <x:c r="Q316" s="24" t="str">
        <x:v>Laryngeal and swallowing muscles vary in specialized fiber isoforms; no defensible per-muscle percentage provided</x:v>
      </x:c>
      <x:c r="R316" s="32" t="str">
        <x:v>https://www.kenhub.com/en/library/anatomy/muscles-and-walls-of-the-pharynx</x:v>
      </x:c>
      <x:c r="S316" s="32" t="str">
        <x:v>https://pmc.ncbi.nlm.nih.gov/articles/PMC11212792/</x:v>
      </x:c>
    </x:row>
    <x:row r="317" ht="53" customHeight="1">
      <x:c r="A317" s="24" t="str">
        <x:v>Middle pharyngeal constrictor</x:v>
      </x:c>
      <x:c r="B317" s="24" t="str">
        <x:v>Pharyngeal circular</x:v>
      </x:c>
      <x:c r="C317" s="24" t="str">
        <x:v>Stabilizer</x:v>
      </x:c>
      <x:c r="D317" s="28" t="str">
        <x:v>No</x:v>
      </x:c>
      <x:c r="E317" s="28" t="str">
        <x:v>No</x:v>
      </x:c>
      <x:c r="F317" s="28" t="str">
        <x:v>Yes</x:v>
      </x:c>
      <x:c r="G317" s="24" t="str">
        <x:v>Constricts mid pharynx in swallow</x:v>
      </x:c>
      <x:c r="H317" s="24" t="str">
        <x:v>Greater and lesser hyoid horns; stylohyoid ligament</x:v>
      </x:c>
      <x:c r="I317" s="24" t="str">
        <x:v>Median pharyngeal raphe</x:v>
      </x:c>
      <x:c r="J317" s="24" t="str">
        <x:v>Pharyngeal plexus via vagus nerve</x:v>
      </x:c>
      <x:c r="K317" s="24" t="str">
        <x:v>CN X; no spinal root</x:v>
      </x:c>
      <x:c r="L317" s="24" t="str">
        <x:v>Pharyngeal raphe</x:v>
      </x:c>
      <x:c r="M317" s="24" t="str">
        <x:v>Stylohyoid ligament direct origin</x:v>
      </x:c>
      <x:c r="N317" s="30" t="str">
        <x:v>Not established for this specific muscle</x:v>
      </x:c>
      <x:c r="O317" s="30" t="str">
        <x:v>Not established for this specific muscle</x:v>
      </x:c>
      <x:c r="P317" s="30" t="str">
        <x:v>Mixed/specialized; not quantified</x:v>
      </x:c>
      <x:c r="Q317" s="24" t="str">
        <x:v>Laryngeal and swallowing muscles vary in specialized fiber isoforms; no defensible per-muscle percentage provided</x:v>
      </x:c>
      <x:c r="R317" s="32" t="str">
        <x:v>https://www.kenhub.com/en/library/anatomy/muscles-and-walls-of-the-pharynx</x:v>
      </x:c>
      <x:c r="S317" s="32" t="str">
        <x:v>https://pmc.ncbi.nlm.nih.gov/articles/PMC11212792/</x:v>
      </x:c>
    </x:row>
    <x:row r="318" ht="53" customHeight="1">
      <x:c r="A318" s="24" t="str">
        <x:v>Superior pharyngeal constrictor</x:v>
      </x:c>
      <x:c r="B318" s="24" t="str">
        <x:v>Pharyngeal circular</x:v>
      </x:c>
      <x:c r="C318" s="24" t="str">
        <x:v>Stabilizer</x:v>
      </x:c>
      <x:c r="D318" s="28" t="str">
        <x:v>No</x:v>
      </x:c>
      <x:c r="E318" s="28" t="str">
        <x:v>No</x:v>
      </x:c>
      <x:c r="F318" s="28" t="str">
        <x:v>Yes</x:v>
      </x:c>
      <x:c r="G318" s="24" t="str">
        <x:v>Constricts superior pharynx during swallow</x:v>
      </x:c>
      <x:c r="H318" s="24" t="str">
        <x:v>Pterygoid hamulus; pterygomandibular raphe; mylohyoid line; tongue</x:v>
      </x:c>
      <x:c r="I318" s="24" t="str">
        <x:v>Median pharyngeal raphe and pharyngeal tubercle</x:v>
      </x:c>
      <x:c r="J318" s="24" t="str">
        <x:v>Pharyngeal plexus via vagus nerve</x:v>
      </x:c>
      <x:c r="K318" s="24" t="str">
        <x:v>CN X; no spinal root</x:v>
      </x:c>
      <x:c r="L318" s="24" t="str">
        <x:v>Pharyngeal raphe fibrous insertion</x:v>
      </x:c>
      <x:c r="M318" s="24" t="str">
        <x:v>Pterygomandibular raphe direct origin</x:v>
      </x:c>
      <x:c r="N318" s="30" t="str">
        <x:v>Not established for this specific muscle</x:v>
      </x:c>
      <x:c r="O318" s="30" t="str">
        <x:v>Not established for this specific muscle</x:v>
      </x:c>
      <x:c r="P318" s="30" t="str">
        <x:v>Mixed/specialized; not quantified</x:v>
      </x:c>
      <x:c r="Q318" s="24" t="str">
        <x:v>Laryngeal and swallowing muscles vary in specialized fiber isoforms; no defensible per-muscle percentage provided</x:v>
      </x:c>
      <x:c r="R318" s="32" t="str">
        <x:v>https://www.kenhub.com/en/library/anatomy/muscles-and-walls-of-the-pharynx</x:v>
      </x:c>
      <x:c r="S318" s="32" t="str">
        <x:v>https://pmc.ncbi.nlm.nih.gov/articles/PMC11212792/</x:v>
      </x:c>
    </x:row>
    <x:row r="319" ht="53" customHeight="1">
      <x:c r="A319" s="24" t="str">
        <x:v>Salpingopharyngeus</x:v>
      </x:c>
      <x:c r="B319" s="24" t="str">
        <x:v>Pharyngeal longitudinal</x:v>
      </x:c>
      <x:c r="C319" s="24" t="str">
        <x:v>Stabilizer</x:v>
      </x:c>
      <x:c r="D319" s="28" t="str">
        <x:v>No</x:v>
      </x:c>
      <x:c r="E319" s="28" t="str">
        <x:v>No</x:v>
      </x:c>
      <x:c r="F319" s="28" t="str">
        <x:v>Yes</x:v>
      </x:c>
      <x:c r="G319" s="24" t="str">
        <x:v>Elevates pharynx; assists opening auditory tube</x:v>
      </x:c>
      <x:c r="H319" s="24" t="str">
        <x:v>Cartilage auditory tube</x:v>
      </x:c>
      <x:c r="I319" s="24" t="str">
        <x:v>Blends into palatopharyngeus and pharyngeal wall</x:v>
      </x:c>
      <x:c r="J319" s="24" t="str">
        <x:v>Pharyngeal plexus via vagus nerve</x:v>
      </x:c>
      <x:c r="K319" s="24" t="str">
        <x:v>CN X; no spinal root</x:v>
      </x:c>
      <x:c r="L319" s="24" t="str">
        <x:v>Pharyngeal fascial insertion</x:v>
      </x:c>
      <x:c r="M319" s="24" t="str">
        <x:v>Pharyngobasilar fascia adjacent</x:v>
      </x:c>
      <x:c r="N319" s="30" t="str">
        <x:v>Not established for this specific muscle</x:v>
      </x:c>
      <x:c r="O319" s="30" t="str">
        <x:v>Not established for this specific muscle</x:v>
      </x:c>
      <x:c r="P319" s="30" t="str">
        <x:v>Mixed/specialized; not quantified</x:v>
      </x:c>
      <x:c r="Q319" s="24" t="str">
        <x:v>Laryngeal and swallowing muscles vary in specialized fiber isoforms; no defensible per-muscle percentage provided</x:v>
      </x:c>
      <x:c r="R319" s="32" t="str">
        <x:v>https://www.kenhub.com/en/library/anatomy/muscles-and-walls-of-the-pharynx</x:v>
      </x:c>
      <x:c r="S319" s="32" t="str">
        <x:v>https://pmc.ncbi.nlm.nih.gov/articles/PMC11212792/</x:v>
      </x:c>
    </x:row>
    <x:row r="320" ht="53" customHeight="1">
      <x:c r="A320" s="24" t="str">
        <x:v>Stylopharyngeus</x:v>
      </x:c>
      <x:c r="B320" s="24" t="str">
        <x:v>Pharyngeal longitudinal</x:v>
      </x:c>
      <x:c r="C320" s="24" t="str">
        <x:v>Stabilizer</x:v>
      </x:c>
      <x:c r="D320" s="28" t="str">
        <x:v>No</x:v>
      </x:c>
      <x:c r="E320" s="28" t="str">
        <x:v>No</x:v>
      </x:c>
      <x:c r="F320" s="28" t="str">
        <x:v>Yes</x:v>
      </x:c>
      <x:c r="G320" s="24" t="str">
        <x:v>Elevates pharynx/larynx during swallowing</x:v>
      </x:c>
      <x:c r="H320" s="24" t="str">
        <x:v>Medial side of styloid process</x:v>
      </x:c>
      <x:c r="I320" s="24" t="str">
        <x:v>Pharyngeal wall and superior thyroid cartilage</x:v>
      </x:c>
      <x:c r="J320" s="24" t="str">
        <x:v>Glossopharyngeal nerve</x:v>
      </x:c>
      <x:c r="K320" s="24" t="str">
        <x:v>CN IX; no spinal root</x:v>
      </x:c>
      <x:c r="L320" s="24" t="str">
        <x:v>Fibers into pharyngeal wall</x:v>
      </x:c>
      <x:c r="M320" s="24" t="str">
        <x:v>Stylohyoid ligament nearby</x:v>
      </x:c>
      <x:c r="N320" s="30" t="str">
        <x:v>Not established for this specific muscle</x:v>
      </x:c>
      <x:c r="O320" s="30" t="str">
        <x:v>Not established for this specific muscle</x:v>
      </x:c>
      <x:c r="P320" s="30" t="str">
        <x:v>Mixed/specialized; not quantified</x:v>
      </x:c>
      <x:c r="Q320" s="24" t="str">
        <x:v>Laryngeal and swallowing muscles vary in specialized fiber isoforms; no defensible per-muscle percentage provided</x:v>
      </x:c>
      <x:c r="R320" s="32" t="str">
        <x:v>https://www.kenhub.com/en/library/anatomy/muscles-and-walls-of-the-pharynx</x:v>
      </x:c>
      <x:c r="S320" s="32" t="str">
        <x:v>https://pmc.ncbi.nlm.nih.gov/articles/PMC11212792/</x:v>
      </x:c>
    </x:row>
    <x:row r="321" ht="53" customHeight="1">
      <x:c r="A321" s="24" t="str">
        <x:v>Levator veli palatini</x:v>
      </x:c>
      <x:c r="B321" s="24" t="str">
        <x:v>Soft palate</x:v>
      </x:c>
      <x:c r="C321" s="24" t="str">
        <x:v>Stabilizer</x:v>
      </x:c>
      <x:c r="D321" s="28" t="str">
        <x:v>No</x:v>
      </x:c>
      <x:c r="E321" s="28" t="str">
        <x:v>No</x:v>
      </x:c>
      <x:c r="F321" s="28" t="str">
        <x:v>Yes</x:v>
      </x:c>
      <x:c r="G321" s="24" t="str">
        <x:v>Elevates palate during swallowing; seals nasopharynx</x:v>
      </x:c>
      <x:c r="H321" s="24" t="str">
        <x:v>Petrous temporal bone; cartilaginous auditory tube</x:v>
      </x:c>
      <x:c r="I321" s="24" t="str">
        <x:v>Palatine aponeurosis</x:v>
      </x:c>
      <x:c r="J321" s="24" t="str">
        <x:v>Pharyngeal plexus via vagus nerve</x:v>
      </x:c>
      <x:c r="K321" s="24" t="str">
        <x:v>CN X; no spinal root</x:v>
      </x:c>
      <x:c r="L321" s="24" t="str">
        <x:v>Fibrous palatal insertion</x:v>
      </x:c>
      <x:c r="M321" s="24" t="str">
        <x:v>Palatine aponeurosis</x:v>
      </x:c>
      <x:c r="N321" s="30" t="str">
        <x:v>Not established for this specific muscle</x:v>
      </x:c>
      <x:c r="O321" s="30" t="str">
        <x:v>Not established for this specific muscle</x:v>
      </x:c>
      <x:c r="P321" s="30" t="str">
        <x:v>Mixed/specialized; not quantified</x:v>
      </x:c>
      <x:c r="Q321" s="24" t="str">
        <x:v>Laryngeal and swallowing muscles vary in specialized fiber isoforms; no defensible per-muscle percentage provided</x:v>
      </x:c>
      <x:c r="R321" s="32" t="str">
        <x:v>https://www.kenhub.com/en/library/anatomy/muscles-and-walls-of-the-pharynx</x:v>
      </x:c>
      <x:c r="S321" s="32" t="str">
        <x:v>https://pmc.ncbi.nlm.nih.gov/articles/PMC11212792/</x:v>
      </x:c>
    </x:row>
    <x:row r="322" ht="53" customHeight="1">
      <x:c r="A322" s="24" t="str">
        <x:v>Musculus uvulae</x:v>
      </x:c>
      <x:c r="B322" s="24" t="str">
        <x:v>Soft palate</x:v>
      </x:c>
      <x:c r="C322" s="24" t="str">
        <x:v>Stabilizer</x:v>
      </x:c>
      <x:c r="D322" s="28" t="str">
        <x:v>No</x:v>
      </x:c>
      <x:c r="E322" s="28" t="str">
        <x:v>No</x:v>
      </x:c>
      <x:c r="F322" s="28" t="str">
        <x:v>Yes</x:v>
      </x:c>
      <x:c r="G322" s="24" t="str">
        <x:v>Shortens/raises uvula; seals nasopharynx</x:v>
      </x:c>
      <x:c r="H322" s="24" t="str">
        <x:v>Posterior nasal spine; palatine aponeurosis</x:v>
      </x:c>
      <x:c r="I322" s="24" t="str">
        <x:v>Mucosa of uvula</x:v>
      </x:c>
      <x:c r="J322" s="24" t="str">
        <x:v>Pharyngeal plexus via vagus nerve</x:v>
      </x:c>
      <x:c r="K322" s="24" t="str">
        <x:v>CN X; no spinal root</x:v>
      </x:c>
      <x:c r="L322" s="24" t="str">
        <x:v>Palatine aponeurotic origin</x:v>
      </x:c>
      <x:c r="M322" s="24" t="str">
        <x:v>Palatine aponeurosis direct origin</x:v>
      </x:c>
      <x:c r="N322" s="30" t="str">
        <x:v>Not established for this specific muscle</x:v>
      </x:c>
      <x:c r="O322" s="30" t="str">
        <x:v>Not established for this specific muscle</x:v>
      </x:c>
      <x:c r="P322" s="30" t="str">
        <x:v>Mixed/specialized; not quantified</x:v>
      </x:c>
      <x:c r="Q322" s="24" t="str">
        <x:v>Laryngeal and swallowing muscles vary in specialized fiber isoforms; no defensible per-muscle percentage provided</x:v>
      </x:c>
      <x:c r="R322" s="32" t="str">
        <x:v>https://www.kenhub.com/en/library/anatomy/muscles-and-walls-of-the-pharynx</x:v>
      </x:c>
      <x:c r="S322" s="32" t="str">
        <x:v>https://pmc.ncbi.nlm.nih.gov/articles/PMC11212792/</x:v>
      </x:c>
    </x:row>
    <x:row r="323" ht="53" customHeight="1">
      <x:c r="A323" s="24" t="str">
        <x:v>Tensor veli palatini</x:v>
      </x:c>
      <x:c r="B323" s="24" t="str">
        <x:v>Soft palate</x:v>
      </x:c>
      <x:c r="C323" s="24" t="str">
        <x:v>Stabilizer</x:v>
      </x:c>
      <x:c r="D323" s="28" t="str">
        <x:v>No</x:v>
      </x:c>
      <x:c r="E323" s="28" t="str">
        <x:v>No</x:v>
      </x:c>
      <x:c r="F323" s="28" t="str">
        <x:v>Yes</x:v>
      </x:c>
      <x:c r="G323" s="24" t="str">
        <x:v>Tenses palate; opens auditory tube</x:v>
      </x:c>
      <x:c r="H323" s="24" t="str">
        <x:v>Scaphoid fossa sphenoid; spine sphenoid; cartilaginous auditory tube</x:v>
      </x:c>
      <x:c r="I323" s="24" t="str">
        <x:v>Palatine aponeurosis after tendon around hamulus</x:v>
      </x:c>
      <x:c r="J323" s="24" t="str">
        <x:v>Nerve to medial pterygoid (V3)</x:v>
      </x:c>
      <x:c r="K323" s="24" t="str">
        <x:v>CN V3; no spinal root</x:v>
      </x:c>
      <x:c r="L323" s="24" t="str">
        <x:v>Tendon loops around pterygoid hamulus</x:v>
      </x:c>
      <x:c r="M323" s="24" t="str">
        <x:v>Palatine aponeurosis insertion</x:v>
      </x:c>
      <x:c r="N323" s="30" t="str">
        <x:v>Not established for this specific muscle</x:v>
      </x:c>
      <x:c r="O323" s="30" t="str">
        <x:v>Not established for this specific muscle</x:v>
      </x:c>
      <x:c r="P323" s="30" t="str">
        <x:v>Mixed/specialized; not quantified</x:v>
      </x:c>
      <x:c r="Q323" s="24" t="str">
        <x:v>Laryngeal and swallowing muscles vary in specialized fiber isoforms; no defensible per-muscle percentage provided</x:v>
      </x:c>
      <x:c r="R323" s="32" t="str">
        <x:v>https://www.kenhub.com/en/library/anatomy/muscles-and-walls-of-the-pharynx</x:v>
      </x:c>
      <x:c r="S323" s="32" t="str">
        <x:v>https://pmc.ncbi.nlm.nih.gov/articles/PMC11212792/</x:v>
      </x:c>
    </x:row>
    <x:row r="324" ht="53" customHeight="1">
      <x:c r="A324" s="24" t="str">
        <x:v>Palatopharyngeus</x:v>
      </x:c>
      <x:c r="B324" s="24" t="str">
        <x:v>Soft palate / pharyngeal longitudinal</x:v>
      </x:c>
      <x:c r="C324" s="24" t="str">
        <x:v>Stabilizer</x:v>
      </x:c>
      <x:c r="D324" s="28" t="str">
        <x:v>No</x:v>
      </x:c>
      <x:c r="E324" s="28" t="str">
        <x:v>No</x:v>
      </x:c>
      <x:c r="F324" s="28" t="str">
        <x:v>Yes</x:v>
      </x:c>
      <x:c r="G324" s="24" t="str">
        <x:v>Elevates pharynx; depresses palate; swallowing</x:v>
      </x:c>
      <x:c r="H324" s="24" t="str">
        <x:v>Hard palate and palatine aponeurosis</x:v>
      </x:c>
      <x:c r="I324" s="24" t="str">
        <x:v>Pharyngeal wall and posterior thyroid cartilage</x:v>
      </x:c>
      <x:c r="J324" s="24" t="str">
        <x:v>Pharyngeal plexus via vagus nerve</x:v>
      </x:c>
      <x:c r="K324" s="24" t="str">
        <x:v>CN X; no spinal root</x:v>
      </x:c>
      <x:c r="L324" s="24" t="str">
        <x:v>Palatine aponeurosis origin</x:v>
      </x:c>
      <x:c r="M324" s="24" t="str">
        <x:v>Palatine aponeurosis direct origin</x:v>
      </x:c>
      <x:c r="N324" s="30" t="str">
        <x:v>Not established for this specific muscle</x:v>
      </x:c>
      <x:c r="O324" s="30" t="str">
        <x:v>Not established for this specific muscle</x:v>
      </x:c>
      <x:c r="P324" s="30" t="str">
        <x:v>Mixed/specialized; not quantified</x:v>
      </x:c>
      <x:c r="Q324" s="24" t="str">
        <x:v>Laryngeal and swallowing muscles vary in specialized fiber isoforms; no defensible per-muscle percentage provided</x:v>
      </x:c>
      <x:c r="R324" s="32" t="str">
        <x:v>https://www.kenhub.com/en/library/anatomy/muscles-and-walls-of-the-pharynx</x:v>
      </x:c>
      <x:c r="S324" s="32" t="str">
        <x:v>https://pmc.ncbi.nlm.nih.gov/articles/PMC11212792/</x:v>
      </x:c>
    </x:row>
    <x:row r="325" ht="53" customHeight="1">
      <x:c r="A325" s="24" t="str">
        <x:v>Inferior pharyngeal constrictor cricopharyngeus</x:v>
      </x:c>
      <x:c r="B325" s="24" t="str">
        <x:v>Upper esophageal sphincter</x:v>
      </x:c>
      <x:c r="C325" s="24" t="str">
        <x:v>Stabilizer</x:v>
      </x:c>
      <x:c r="D325" s="28" t="str">
        <x:v>No</x:v>
      </x:c>
      <x:c r="E325" s="28" t="str">
        <x:v>No</x:v>
      </x:c>
      <x:c r="F325" s="28" t="str">
        <x:v>Yes</x:v>
      </x:c>
      <x:c r="G325" s="24" t="str">
        <x:v>Upper esophageal sphincter closure/relaxation on swallowing</x:v>
      </x:c>
      <x:c r="H325" s="24" t="str">
        <x:v>Lateral cricoid cartilage</x:v>
      </x:c>
      <x:c r="I325" s="24" t="str">
        <x:v>Circumferential sphincter around pharyngoesophageal junction</x:v>
      </x:c>
      <x:c r="J325" s="24" t="str">
        <x:v>Vagus via pharyngeal plexus/recurrent laryngeal contributions</x:v>
      </x:c>
      <x:c r="K325" s="24" t="str">
        <x:v>CN X; no spinal root</x:v>
      </x:c>
      <x:c r="L325" s="24" t="str">
        <x:v>Circular fibromuscular attachment</x:v>
      </x:c>
      <x:c r="M325" s="24" t="str">
        <x:v>Cricopharyngeal region contiguous with pharyngeal fascia</x:v>
      </x:c>
      <x:c r="N325" s="30" t="str">
        <x:v>Not established for this specific muscle</x:v>
      </x:c>
      <x:c r="O325" s="30" t="str">
        <x:v>Not established for this specific muscle</x:v>
      </x:c>
      <x:c r="P325" s="30" t="str">
        <x:v>Mixed/specialized; not quantified</x:v>
      </x:c>
      <x:c r="Q325" s="24" t="str">
        <x:v>Laryngeal and swallowing muscles vary in specialized fiber isoforms; no defensible per-muscle percentage provided</x:v>
      </x:c>
      <x:c r="R325" s="32" t="str">
        <x:v>https://www.kenhub.com/en/library/anatomy/muscles-and-walls-of-the-pharynx</x:v>
      </x:c>
      <x:c r="S325" s="32" t="str">
        <x:v>https://pmc.ncbi.nlm.nih.gov/articles/PMC11212792/</x:v>
      </x:c>
    </x:row>
    <x:row r="326" ht="53" customHeight="1">
      <x:c r="A326" s="24" t="str">
        <x:v>Inferior oblique (eye)</x:v>
      </x:c>
      <x:c r="B326" s="24" t="str">
        <x:v>Extraocular</x:v>
      </x:c>
      <x:c r="C326" s="24" t="str">
        <x:v>Other</x:v>
      </x:c>
      <x:c r="D326" s="28" t="str">
        <x:v>No</x:v>
      </x:c>
      <x:c r="E326" s="28" t="str">
        <x:v>No</x:v>
      </x:c>
      <x:c r="F326" s="28" t="str">
        <x:v>No</x:v>
      </x:c>
      <x:c r="G326" s="24" t="str">
        <x:v>Extorts/elevates adducted eye</x:v>
      </x:c>
      <x:c r="H326" s="24" t="str">
        <x:v>Anteromedial orbital floor maxilla</x:v>
      </x:c>
      <x:c r="I326" s="24" t="str">
        <x:v>Posterolateral inferior sclera</x:v>
      </x:c>
      <x:c r="J326" s="24" t="str">
        <x:v>Oculomotor nerve inferior division</x:v>
      </x:c>
      <x:c r="K326" s="24" t="str">
        <x:v>CN III; no spinal root</x:v>
      </x:c>
      <x:c r="L326" s="24" t="str">
        <x:v>Inferior oblique distal tendon</x:v>
      </x:c>
      <x:c r="M326" s="24" t="str">
        <x:v>Lockwood suspensory fascial complex adjacent</x:v>
      </x:c>
      <x:c r="N326" s="30" t="str">
        <x:v>Specialized eye fibers; % not comparable</x:v>
      </x:c>
      <x:c r="O326" s="30" t="str">
        <x:v>Extraocular-specific myosin isoforms</x:v>
      </x:c>
      <x:c r="P326" s="30" t="str">
        <x:v>Highly specialized fast + tonic fiber populations</x:v>
      </x:c>
      <x:c r="Q326" s="24" t="str">
        <x:v>Conventional two-bin skeletal Type I/II schemes do not capture all extraocular types</x:v>
      </x:c>
      <x:c r="R326" s="32" t="str">
        <x:v>https://www.kenhub.com/en/library/anatomy/extraocular-muscles</x:v>
      </x:c>
      <x:c r="S326" s="32" t="str">
        <x:v>https://pmc.ncbi.nlm.nih.gov/articles/PMC3779741/</x:v>
      </x:c>
    </x:row>
    <x:row r="327" ht="53" customHeight="1">
      <x:c r="A327" s="24" t="str">
        <x:v>Inferior rectus (eye)</x:v>
      </x:c>
      <x:c r="B327" s="24" t="str">
        <x:v>Extraocular</x:v>
      </x:c>
      <x:c r="C327" s="24" t="str">
        <x:v>Other</x:v>
      </x:c>
      <x:c r="D327" s="28" t="str">
        <x:v>No</x:v>
      </x:c>
      <x:c r="E327" s="28" t="str">
        <x:v>No</x:v>
      </x:c>
      <x:c r="F327" s="28" t="str">
        <x:v>No</x:v>
      </x:c>
      <x:c r="G327" s="24" t="str">
        <x:v>Depresses/adducts/extorts globe</x:v>
      </x:c>
      <x:c r="H327" s="24" t="str">
        <x:v>Common tendinous ring at orbital apex</x:v>
      </x:c>
      <x:c r="I327" s="24" t="str">
        <x:v>Inferior anterior sclera</x:v>
      </x:c>
      <x:c r="J327" s="24" t="str">
        <x:v>Oculomotor nerve inferior division</x:v>
      </x:c>
      <x:c r="K327" s="24" t="str">
        <x:v>CN III; no spinal root</x:v>
      </x:c>
      <x:c r="L327" s="24" t="str">
        <x:v>Inferior rectus insertion tendon</x:v>
      </x:c>
      <x:c r="M327" s="24" t="str">
        <x:v>Inferior suspensory ligament of eyeball (Lockwood) fascial relation</x:v>
      </x:c>
      <x:c r="N327" s="30" t="str">
        <x:v>Specialized eye fibers; % not comparable</x:v>
      </x:c>
      <x:c r="O327" s="30" t="str">
        <x:v>Extraocular-specific myosin isoforms</x:v>
      </x:c>
      <x:c r="P327" s="30" t="str">
        <x:v>Highly specialized fast + tonic fiber populations</x:v>
      </x:c>
      <x:c r="Q327" s="24" t="str">
        <x:v>Conventional two-bin skeletal Type I/II schemes do not capture all extraocular types</x:v>
      </x:c>
      <x:c r="R327" s="32" t="str">
        <x:v>https://www.kenhub.com/en/library/anatomy/extraocular-muscles</x:v>
      </x:c>
      <x:c r="S327" s="32" t="str">
        <x:v>https://pmc.ncbi.nlm.nih.gov/articles/PMC3779741/</x:v>
      </x:c>
    </x:row>
    <x:row r="328" ht="53" customHeight="1">
      <x:c r="A328" s="24" t="str">
        <x:v>Lateral rectus (eye)</x:v>
      </x:c>
      <x:c r="B328" s="24" t="str">
        <x:v>Extraocular</x:v>
      </x:c>
      <x:c r="C328" s="24" t="str">
        <x:v>Other</x:v>
      </x:c>
      <x:c r="D328" s="28" t="str">
        <x:v>No</x:v>
      </x:c>
      <x:c r="E328" s="28" t="str">
        <x:v>No</x:v>
      </x:c>
      <x:c r="F328" s="28" t="str">
        <x:v>No</x:v>
      </x:c>
      <x:c r="G328" s="24" t="str">
        <x:v>Abducts globe</x:v>
      </x:c>
      <x:c r="H328" s="24" t="str">
        <x:v>Common tendinous ring at orbital apex</x:v>
      </x:c>
      <x:c r="I328" s="24" t="str">
        <x:v>Lateral anterior sclera</x:v>
      </x:c>
      <x:c r="J328" s="24" t="str">
        <x:v>Abducens nerve</x:v>
      </x:c>
      <x:c r="K328" s="24" t="str">
        <x:v>CN VI; no spinal root</x:v>
      </x:c>
      <x:c r="L328" s="24" t="str">
        <x:v>Lateral rectus insertion tendon</x:v>
      </x:c>
      <x:c r="M328" s="24" t="str">
        <x:v>Lateral check ligament fascial relationship</x:v>
      </x:c>
      <x:c r="N328" s="30" t="str">
        <x:v>Specialized eye fibers; % not comparable</x:v>
      </x:c>
      <x:c r="O328" s="30" t="str">
        <x:v>Extraocular-specific myosin isoforms</x:v>
      </x:c>
      <x:c r="P328" s="30" t="str">
        <x:v>Highly specialized fast + tonic fiber populations</x:v>
      </x:c>
      <x:c r="Q328" s="24" t="str">
        <x:v>Conventional two-bin skeletal Type I/II schemes do not capture all extraocular types</x:v>
      </x:c>
      <x:c r="R328" s="32" t="str">
        <x:v>https://www.kenhub.com/en/library/anatomy/extraocular-muscles</x:v>
      </x:c>
      <x:c r="S328" s="32" t="str">
        <x:v>https://pmc.ncbi.nlm.nih.gov/articles/PMC3779741/</x:v>
      </x:c>
    </x:row>
    <x:row r="329" ht="53" customHeight="1">
      <x:c r="A329" s="24" t="str">
        <x:v>Medial rectus (eye)</x:v>
      </x:c>
      <x:c r="B329" s="24" t="str">
        <x:v>Extraocular</x:v>
      </x:c>
      <x:c r="C329" s="24" t="str">
        <x:v>Other</x:v>
      </x:c>
      <x:c r="D329" s="28" t="str">
        <x:v>No</x:v>
      </x:c>
      <x:c r="E329" s="28" t="str">
        <x:v>No</x:v>
      </x:c>
      <x:c r="F329" s="28" t="str">
        <x:v>No</x:v>
      </x:c>
      <x:c r="G329" s="24" t="str">
        <x:v>Adducts globe</x:v>
      </x:c>
      <x:c r="H329" s="24" t="str">
        <x:v>Common tendinous ring at orbital apex</x:v>
      </x:c>
      <x:c r="I329" s="24" t="str">
        <x:v>Medial anterior sclera</x:v>
      </x:c>
      <x:c r="J329" s="24" t="str">
        <x:v>Oculomotor nerve inferior division</x:v>
      </x:c>
      <x:c r="K329" s="24" t="str">
        <x:v>CN III; no spinal root</x:v>
      </x:c>
      <x:c r="L329" s="24" t="str">
        <x:v>Medial rectus insertion tendon</x:v>
      </x:c>
      <x:c r="M329" s="24" t="str">
        <x:v>Medial check ligament fascial relationship</x:v>
      </x:c>
      <x:c r="N329" s="30" t="str">
        <x:v>Specialized eye fibers; % not comparable</x:v>
      </x:c>
      <x:c r="O329" s="30" t="str">
        <x:v>Extraocular-specific myosin isoforms</x:v>
      </x:c>
      <x:c r="P329" s="30" t="str">
        <x:v>Highly specialized fast + tonic fiber populations</x:v>
      </x:c>
      <x:c r="Q329" s="24" t="str">
        <x:v>Conventional two-bin skeletal Type I/II schemes do not capture all extraocular types</x:v>
      </x:c>
      <x:c r="R329" s="32" t="str">
        <x:v>https://www.kenhub.com/en/library/anatomy/extraocular-muscles</x:v>
      </x:c>
      <x:c r="S329" s="32" t="str">
        <x:v>https://pmc.ncbi.nlm.nih.gov/articles/PMC3779741/</x:v>
      </x:c>
    </x:row>
    <x:row r="330" ht="53" customHeight="1">
      <x:c r="A330" s="24" t="str">
        <x:v>Superior oblique (eye)</x:v>
      </x:c>
      <x:c r="B330" s="24" t="str">
        <x:v>Extraocular</x:v>
      </x:c>
      <x:c r="C330" s="24" t="str">
        <x:v>Other</x:v>
      </x:c>
      <x:c r="D330" s="28" t="str">
        <x:v>No</x:v>
      </x:c>
      <x:c r="E330" s="28" t="str">
        <x:v>No</x:v>
      </x:c>
      <x:c r="F330" s="28" t="str">
        <x:v>No</x:v>
      </x:c>
      <x:c r="G330" s="24" t="str">
        <x:v>Intorts/depresses abducts (depending gaze); depresses adducted eye</x:v>
      </x:c>
      <x:c r="H330" s="24" t="str">
        <x:v>Body sphenoid superomedial to optic canal</x:v>
      </x:c>
      <x:c r="I330" s="24" t="str">
        <x:v>Posterolateral superior sclera after trochlea</x:v>
      </x:c>
      <x:c r="J330" s="24" t="str">
        <x:v>Trochlear nerve</x:v>
      </x:c>
      <x:c r="K330" s="24" t="str">
        <x:v>CN IV; no spinal root</x:v>
      </x:c>
      <x:c r="L330" s="24" t="str">
        <x:v>Superior oblique tendon through trochlea</x:v>
      </x:c>
      <x:c r="M330" s="24" t="str">
        <x:v>Trochlear pulley is fibrocartilaginous ring attached to frontal bone</x:v>
      </x:c>
      <x:c r="N330" s="30" t="str">
        <x:v>Specialized eye fibers; % not comparable</x:v>
      </x:c>
      <x:c r="O330" s="30" t="str">
        <x:v>Extraocular-specific myosin isoforms</x:v>
      </x:c>
      <x:c r="P330" s="30" t="str">
        <x:v>Highly specialized fast + tonic fiber populations</x:v>
      </x:c>
      <x:c r="Q330" s="24" t="str">
        <x:v>Conventional two-bin skeletal Type I/II schemes do not capture all extraocular types</x:v>
      </x:c>
      <x:c r="R330" s="32" t="str">
        <x:v>https://www.kenhub.com/en/library/anatomy/extraocular-muscles</x:v>
      </x:c>
      <x:c r="S330" s="32" t="str">
        <x:v>https://pmc.ncbi.nlm.nih.gov/articles/PMC3779741/</x:v>
      </x:c>
    </x:row>
    <x:row r="331" ht="53" customHeight="1">
      <x:c r="A331" s="24" t="str">
        <x:v>Superior rectus (eye)</x:v>
      </x:c>
      <x:c r="B331" s="24" t="str">
        <x:v>Extraocular</x:v>
      </x:c>
      <x:c r="C331" s="24" t="str">
        <x:v>Other</x:v>
      </x:c>
      <x:c r="D331" s="28" t="str">
        <x:v>No</x:v>
      </x:c>
      <x:c r="E331" s="28" t="str">
        <x:v>No</x:v>
      </x:c>
      <x:c r="F331" s="28" t="str">
        <x:v>No</x:v>
      </x:c>
      <x:c r="G331" s="24" t="str">
        <x:v>Elevates/adducts/intorts globe</x:v>
      </x:c>
      <x:c r="H331" s="24" t="str">
        <x:v>Common tendinous ring at orbital apex</x:v>
      </x:c>
      <x:c r="I331" s="24" t="str">
        <x:v>Superior anterior sclera</x:v>
      </x:c>
      <x:c r="J331" s="24" t="str">
        <x:v>Oculomotor nerve superior division</x:v>
      </x:c>
      <x:c r="K331" s="24" t="str">
        <x:v>CN III; no spinal root</x:v>
      </x:c>
      <x:c r="L331" s="24" t="str">
        <x:v>Superior rectus insertion tendon</x:v>
      </x:c>
      <x:c r="M331" s="24" t="str">
        <x:v>Check ligaments/fascial sheath near globe</x:v>
      </x:c>
      <x:c r="N331" s="30" t="str">
        <x:v>Specialized eye fibers; % not comparable</x:v>
      </x:c>
      <x:c r="O331" s="30" t="str">
        <x:v>Extraocular-specific myosin isoforms</x:v>
      </x:c>
      <x:c r="P331" s="30" t="str">
        <x:v>Highly specialized fast + tonic fiber populations</x:v>
      </x:c>
      <x:c r="Q331" s="24" t="str">
        <x:v>Conventional two-bin skeletal Type I/II schemes do not capture all extraocular types</x:v>
      </x:c>
      <x:c r="R331" s="32" t="str">
        <x:v>https://www.kenhub.com/en/library/anatomy/extraocular-muscles</x:v>
      </x:c>
      <x:c r="S331" s="32" t="str">
        <x:v>https://pmc.ncbi.nlm.nih.gov/articles/PMC3779741/</x:v>
      </x:c>
    </x:row>
    <x:row r="332" ht="53" customHeight="1">
      <x:c r="A332" s="24" t="str">
        <x:v>Levator palpebrae superioris</x:v>
      </x:c>
      <x:c r="B332" s="24" t="str">
        <x:v>Extraocular / upper lid</x:v>
      </x:c>
      <x:c r="C332" s="24" t="str">
        <x:v>Other</x:v>
      </x:c>
      <x:c r="D332" s="28" t="str">
        <x:v>No</x:v>
      </x:c>
      <x:c r="E332" s="28" t="str">
        <x:v>No</x:v>
      </x:c>
      <x:c r="F332" s="28" t="str">
        <x:v>No</x:v>
      </x:c>
      <x:c r="G332" s="24" t="str">
        <x:v>Elevates upper eyelid</x:v>
      </x:c>
      <x:c r="H332" s="24" t="str">
        <x:v>Lesser wing sphenoid above optic canal</x:v>
      </x:c>
      <x:c r="I332" s="24" t="str">
        <x:v>Superior tarsal plate and upper lid skin via aponeurosis</x:v>
      </x:c>
      <x:c r="J332" s="24" t="str">
        <x:v>Oculomotor nerve superior division</x:v>
      </x:c>
      <x:c r="K332" s="24" t="str">
        <x:v>CN III; no spinal root</x:v>
      </x:c>
      <x:c r="L332" s="24" t="str">
        <x:v>Levator palpebrae aponeurosis</x:v>
      </x:c>
      <x:c r="M332" s="24" t="str">
        <x:v>Whitnall superior transverse ligament supports levator tendon</x:v>
      </x:c>
      <x:c r="N332" s="30" t="str">
        <x:v>Specialized eye fibers; % not comparable</x:v>
      </x:c>
      <x:c r="O332" s="30" t="str">
        <x:v>Extraocular-specific myosin isoforms</x:v>
      </x:c>
      <x:c r="P332" s="30" t="str">
        <x:v>Highly specialized fast + tonic fiber populations</x:v>
      </x:c>
      <x:c r="Q332" s="24" t="str">
        <x:v>Conventional two-bin skeletal Type I/II schemes do not capture all extraocular types</x:v>
      </x:c>
      <x:c r="R332" s="32" t="str">
        <x:v>https://www.kenhub.com/en/library/anatomy/extraocular-muscles</x:v>
      </x:c>
      <x:c r="S332" s="32" t="str">
        <x:v>https://pmc.ncbi.nlm.nih.gov/articles/PMC3779741/</x:v>
      </x:c>
    </x:row>
    <x:row r="333" ht="53" customHeight="1">
      <x:c r="A333" s="24" t="str">
        <x:v>Stapedius</x:v>
      </x:c>
      <x:c r="B333" s="24" t="str">
        <x:v>Middle ear</x:v>
      </x:c>
      <x:c r="C333" s="24" t="str">
        <x:v>Stabilizer</x:v>
      </x:c>
      <x:c r="D333" s="28" t="str">
        <x:v>No</x:v>
      </x:c>
      <x:c r="E333" s="28" t="str">
        <x:v>No</x:v>
      </x:c>
      <x:c r="F333" s="28" t="str">
        <x:v>Yes</x:v>
      </x:c>
      <x:c r="G333" s="24" t="str">
        <x:v>Dampens stapes movement/acoustic reflex</x:v>
      </x:c>
      <x:c r="H333" s="24" t="str">
        <x:v>Pyramidal eminence of posterior tympanic cavity</x:v>
      </x:c>
      <x:c r="I333" s="24" t="str">
        <x:v>Neck of stapes</x:v>
      </x:c>
      <x:c r="J333" s="24" t="str">
        <x:v>Nerve to stapedius from facial nerve</x:v>
      </x:c>
      <x:c r="K333" s="24" t="str">
        <x:v>CN VII; no spinal root</x:v>
      </x:c>
      <x:c r="L333" s="24" t="str">
        <x:v>Stapedius tiny tendon</x:v>
      </x:c>
      <x:c r="M333" s="24" t="str">
        <x:v>Annular ligament of stapes adjacent but not attachment</x:v>
      </x:c>
      <x:c r="N333" s="30" t="str">
        <x:v>Not established</x:v>
      </x:c>
      <x:c r="O333" s="30" t="str">
        <x:v>Not established</x:v>
      </x:c>
      <x:c r="P333" s="30" t="str">
        <x:v>Mixed Type I and Type II; ratio unverified</x:v>
      </x:c>
      <x:c r="Q333" s="24" t="str">
        <x:v>Published biopsies insufficient to state a reliable per-muscle percentage; no inference from function</x:v>
      </x:c>
      <x:c r="R333" s="32" t="str">
        <x:v>https://www.kenhub.com/en/library/anatomy/extraocular-muscles</x:v>
      </x:c>
      <x:c r="S333" s="32" t="str">
        <x:v>https://pubmed.ncbi.nlm.nih.gov/39359186/</x:v>
      </x:c>
    </x:row>
    <x:row r="334" ht="53" customHeight="1">
      <x:c r="A334" s="24" t="str">
        <x:v>Tensor tympani</x:v>
      </x:c>
      <x:c r="B334" s="24" t="str">
        <x:v>Middle ear</x:v>
      </x:c>
      <x:c r="C334" s="24" t="str">
        <x:v>Stabilizer</x:v>
      </x:c>
      <x:c r="D334" s="28" t="str">
        <x:v>No</x:v>
      </x:c>
      <x:c r="E334" s="28" t="str">
        <x:v>No</x:v>
      </x:c>
      <x:c r="F334" s="28" t="str">
        <x:v>Yes</x:v>
      </x:c>
      <x:c r="G334" s="24" t="str">
        <x:v>Dampens tympanic membrane vibrations</x:v>
      </x:c>
      <x:c r="H334" s="24" t="str">
        <x:v>Cartilaginous auditory tube and adjacent sphenoid canal</x:v>
      </x:c>
      <x:c r="I334" s="24" t="str">
        <x:v>Manubrium of malleus</x:v>
      </x:c>
      <x:c r="J334" s="24" t="str">
        <x:v>Mandibular division trigeminal nerve (nerve to medial pterygoid)</x:v>
      </x:c>
      <x:c r="K334" s="24" t="str">
        <x:v>CN V3; no spinal root</x:v>
      </x:c>
      <x:c r="L334" s="24" t="str">
        <x:v>Tensor tympani tendon bends around processus cochleariformis</x:v>
      </x:c>
      <x:c r="M334" s="24" t="str">
        <x:v>Ossicular suspensory ligaments nearby, not direct tendon attachment</x:v>
      </x:c>
      <x:c r="N334" s="30" t="str">
        <x:v>Not established</x:v>
      </x:c>
      <x:c r="O334" s="30" t="str">
        <x:v>Not established</x:v>
      </x:c>
      <x:c r="P334" s="30" t="str">
        <x:v>Mixed Type I and Type II; ratio unverified</x:v>
      </x:c>
      <x:c r="Q334" s="24" t="str">
        <x:v>Published biopsies insufficient to state a reliable per-muscle percentage; no inference from function</x:v>
      </x:c>
      <x:c r="R334" s="32" t="str">
        <x:v>https://www.kenhub.com/en/library/anatomy/extraocular-muscles</x:v>
      </x:c>
      <x:c r="S334" s="32" t="str">
        <x:v>https://pubmed.ncbi.nlm.nih.gov/39359186/</x:v>
      </x:c>
    </x:row>
    <x:row r="335" ht="53" customHeight="1">
      <x:c r="A335" s="24" t="str">
        <x:v>Compressor urethrae (female)</x:v>
      </x:c>
      <x:c r="B335" s="24" t="str">
        <x:v>Deep perineal pouch female</x:v>
      </x:c>
      <x:c r="C335" s="24" t="str">
        <x:v>Stabilizer</x:v>
      </x:c>
      <x:c r="D335" s="28" t="str">
        <x:v>No</x:v>
      </x:c>
      <x:c r="E335" s="28" t="str">
        <x:v>No</x:v>
      </x:c>
      <x:c r="F335" s="28" t="str">
        <x:v>Yes</x:v>
      </x:c>
      <x:c r="G335" s="24" t="str">
        <x:v>Compresses urethra</x:v>
      </x:c>
      <x:c r="H335" s="24" t="str">
        <x:v>Ischiopubic rami</x:v>
      </x:c>
      <x:c r="I335" s="24" t="str">
        <x:v>Crosses anterior urethra to opposite side</x:v>
      </x:c>
      <x:c r="J335" s="24" t="str">
        <x:v>Deep perineal branch pudendal nerve</x:v>
      </x:c>
      <x:c r="K335" s="24" t="str">
        <x:v>S2-S4</x:v>
      </x:c>
      <x:c r="L335" s="24" t="str">
        <x:v>Transverse muscular/fascial attachment</x:v>
      </x:c>
      <x:c r="M335" s="24" t="str">
        <x:v>Perineal membrane adjacent</x:v>
      </x:c>
      <x:c r="N335" s="30" t="str">
        <x:v>Not established</x:v>
      </x:c>
      <x:c r="O335" s="30" t="str">
        <x:v>Not established</x:v>
      </x:c>
      <x:c r="P335" s="30" t="str">
        <x:v>Mixed Type I and Type II; ratio unverified</x:v>
      </x:c>
      <x:c r="Q335" s="24" t="str">
        <x:v>Published biopsies insufficient to state a reliable per-muscle percentage; no inference from function</x:v>
      </x:c>
      <x:c r="R335" s="32" t="str">
        <x:v>https://www.kenhub.com/en/library/anatomy/muscles-of-the-pelvic-floor</x:v>
      </x:c>
      <x:c r="S335" s="32" t="str">
        <x:v>https://pubmed.ncbi.nlm.nih.gov/39359186/</x:v>
      </x:c>
    </x:row>
    <x:row r="336" ht="53" customHeight="1">
      <x:c r="A336" s="24" t="str">
        <x:v>Urethrovaginal sphincter (female)</x:v>
      </x:c>
      <x:c r="B336" s="24" t="str">
        <x:v>Deep perineal pouch female</x:v>
      </x:c>
      <x:c r="C336" s="24" t="str">
        <x:v>Stabilizer</x:v>
      </x:c>
      <x:c r="D336" s="28" t="str">
        <x:v>No</x:v>
      </x:c>
      <x:c r="E336" s="28" t="str">
        <x:v>No</x:v>
      </x:c>
      <x:c r="F336" s="28" t="str">
        <x:v>Yes</x:v>
      </x:c>
      <x:c r="G336" s="24" t="str">
        <x:v>Compresses urethra/vagina</x:v>
      </x:c>
      <x:c r="H336" s="24" t="str">
        <x:v>Fibers around urethra/vaginal wall</x:v>
      </x:c>
      <x:c r="I336" s="24" t="str">
        <x:v>Loop encircling urethra/vagina</x:v>
      </x:c>
      <x:c r="J336" s="24" t="str">
        <x:v>Deep perineal branch pudendal nerve</x:v>
      </x:c>
      <x:c r="K336" s="24" t="str">
        <x:v>S2-S4</x:v>
      </x:c>
      <x:c r="L336" s="24" t="str">
        <x:v>Fibromuscular vaginal insertions</x:v>
      </x:c>
      <x:c r="M336" s="24" t="str">
        <x:v>Perineal membrane nearby</x:v>
      </x:c>
      <x:c r="N336" s="30" t="str">
        <x:v>Not established</x:v>
      </x:c>
      <x:c r="O336" s="30" t="str">
        <x:v>Not established</x:v>
      </x:c>
      <x:c r="P336" s="30" t="str">
        <x:v>Mixed Type I and Type II; ratio unverified</x:v>
      </x:c>
      <x:c r="Q336" s="24" t="str">
        <x:v>Published biopsies insufficient to state a reliable per-muscle percentage; no inference from function</x:v>
      </x:c>
      <x:c r="R336" s="32" t="str">
        <x:v>https://www.kenhub.com/en/library/anatomy/muscles-of-the-pelvic-floor</x:v>
      </x:c>
      <x:c r="S336" s="32" t="str">
        <x:v>https://pubmed.ncbi.nlm.nih.gov/39359186/</x:v>
      </x:c>
    </x:row>
    <x:row r="337" ht="53" customHeight="1">
      <x:c r="A337" s="24" t="str">
        <x:v>Deep transverse perineal muscle</x:v>
      </x:c>
      <x:c r="B337" s="24" t="str">
        <x:v>Deep perineal pouch variable</x:v>
      </x:c>
      <x:c r="C337" s="24" t="str">
        <x:v>Stabilizer</x:v>
      </x:c>
      <x:c r="D337" s="28" t="str">
        <x:v>No</x:v>
      </x:c>
      <x:c r="E337" s="28" t="str">
        <x:v>No</x:v>
      </x:c>
      <x:c r="F337" s="28" t="str">
        <x:v>Yes</x:v>
      </x:c>
      <x:c r="G337" s="24" t="str">
        <x:v>Supports perineal body and urogenital floor</x:v>
      </x:c>
      <x:c r="H337" s="24" t="str">
        <x:v>Ischiopubic ramus and perineal membrane</x:v>
      </x:c>
      <x:c r="I337" s="24" t="str">
        <x:v>Perineal body / midline</x:v>
      </x:c>
      <x:c r="J337" s="24" t="str">
        <x:v>Deep perineal branch pudendal nerve</x:v>
      </x:c>
      <x:c r="K337" s="24" t="str">
        <x:v>S2-S4</x:v>
      </x:c>
      <x:c r="L337" s="24" t="str">
        <x:v>Perineal body fibrous insertion</x:v>
      </x:c>
      <x:c r="M337" s="24" t="str">
        <x:v>Perineal membrane and transverse perineal ligament complex nearby</x:v>
      </x:c>
      <x:c r="N337" s="30" t="str">
        <x:v>Not established</x:v>
      </x:c>
      <x:c r="O337" s="30" t="str">
        <x:v>Not established</x:v>
      </x:c>
      <x:c r="P337" s="30" t="str">
        <x:v>Mixed Type I and Type II; ratio unverified</x:v>
      </x:c>
      <x:c r="Q337" s="24" t="str">
        <x:v>Published biopsies insufficient to state a reliable per-muscle percentage; no inference from function</x:v>
      </x:c>
      <x:c r="R337" s="32" t="str">
        <x:v>https://www.kenhub.com/en/library/anatomy/muscles-of-the-pelvic-floor</x:v>
      </x:c>
      <x:c r="S337" s="32" t="str">
        <x:v>https://pubmed.ncbi.nlm.nih.gov/39359186/</x:v>
      </x:c>
    </x:row>
    <x:row r="338" ht="53" customHeight="1">
      <x:c r="A338" s="24" t="str">
        <x:v>Puboprostaticus (male-specific subdivision)</x:v>
      </x:c>
      <x:c r="B338" s="24" t="str">
        <x:v>Levator ani sex-specific</x:v>
      </x:c>
      <x:c r="C338" s="24" t="str">
        <x:v>Stabilizer</x:v>
      </x:c>
      <x:c r="D338" s="28" t="str">
        <x:v>No</x:v>
      </x:c>
      <x:c r="E338" s="28" t="str">
        <x:v>No</x:v>
      </x:c>
      <x:c r="F338" s="28" t="str">
        <x:v>Yes</x:v>
      </x:c>
      <x:c r="G338" s="24" t="str">
        <x:v>Supports prostate and pelvic floor</x:v>
      </x:c>
      <x:c r="H338" s="24" t="str">
        <x:v>Posterior pubic body</x:v>
      </x:c>
      <x:c r="I338" s="24" t="str">
        <x:v>Prostatic capsule and perineal body</x:v>
      </x:c>
      <x:c r="J338" s="24" t="str">
        <x:v>Nerve to levator ani; pudendal variable</x:v>
      </x:c>
      <x:c r="K338" s="24" t="str">
        <x:v>S3-S4</x:v>
      </x:c>
      <x:c r="L338" s="24" t="str">
        <x:v>Prostatic fascial attachments</x:v>
      </x:c>
      <x:c r="M338" s="24" t="str">
        <x:v>Puboprostatic fascial complex (not a single tendon)</x:v>
      </x:c>
      <x:c r="N338" s="30" t="str">
        <x:v>Majority Type I (qualitative)</x:v>
      </x:c>
      <x:c r="O338" s="30" t="str">
        <x:v>Also contains Type II; % unestablished</x:v>
      </x:c>
      <x:c r="P338" s="30" t="str">
        <x:v>Type I-rich / tonic pelvic support</x:v>
      </x:c>
      <x:c r="Q338" s="24" t="str">
        <x:v>Pelvic floor overview reports type I predominance; does not validate a per-muscle percentage</x:v>
      </x:c>
      <x:c r="R338" s="32" t="str">
        <x:v>https://www.kenhub.com/en/library/anatomy/muscles-of-the-pelvic-floor</x:v>
      </x:c>
      <x:c r="S338" s="32" t="str">
        <x:v>https://www.kenhub.com/en/library/anatomy/muscles-of-the-pelvic-floor</x:v>
      </x:c>
    </x:row>
    <x:row r="339" ht="53" customHeight="1">
      <x:c r="A339" s="24" t="str">
        <x:v>Pubovaginalis (female-specific subdivision)</x:v>
      </x:c>
      <x:c r="B339" s="24" t="str">
        <x:v>Levator ani sex-specific</x:v>
      </x:c>
      <x:c r="C339" s="24" t="str">
        <x:v>Stabilizer</x:v>
      </x:c>
      <x:c r="D339" s="28" t="str">
        <x:v>No</x:v>
      </x:c>
      <x:c r="E339" s="28" t="str">
        <x:v>No</x:v>
      </x:c>
      <x:c r="F339" s="28" t="str">
        <x:v>Yes</x:v>
      </x:c>
      <x:c r="G339" s="24" t="str">
        <x:v>Supports vagina and pelvic floor</x:v>
      </x:c>
      <x:c r="H339" s="24" t="str">
        <x:v>Posterior pubic body</x:v>
      </x:c>
      <x:c r="I339" s="24" t="str">
        <x:v>Vaginal wall and perineal body</x:v>
      </x:c>
      <x:c r="J339" s="24" t="str">
        <x:v>Nerve to levator ani; pudendal variable</x:v>
      </x:c>
      <x:c r="K339" s="24" t="str">
        <x:v>S3-S4</x:v>
      </x:c>
      <x:c r="L339" s="24" t="str">
        <x:v>Pelvic fascial slips</x:v>
      </x:c>
      <x:c r="M339" s="24" t="str">
        <x:v>Perineal body connective complex</x:v>
      </x:c>
      <x:c r="N339" s="30" t="str">
        <x:v>Majority Type I (qualitative)</x:v>
      </x:c>
      <x:c r="O339" s="30" t="str">
        <x:v>Also contains Type II; % unestablished</x:v>
      </x:c>
      <x:c r="P339" s="30" t="str">
        <x:v>Type I-rich / tonic pelvic support</x:v>
      </x:c>
      <x:c r="Q339" s="24" t="str">
        <x:v>Pelvic floor overview reports type I predominance; does not validate a per-muscle percentage</x:v>
      </x:c>
      <x:c r="R339" s="32" t="str">
        <x:v>https://www.kenhub.com/en/library/anatomy/muscles-of-the-pelvic-floor</x:v>
      </x:c>
      <x:c r="S339" s="32" t="str">
        <x:v>https://www.kenhub.com/en/library/anatomy/muscles-of-the-pelvic-floor</x:v>
      </x:c>
    </x:row>
    <x:row r="340" ht="53" customHeight="1">
      <x:c r="A340" s="24" t="str">
        <x:v>Iliococcygeus</x:v>
      </x:c>
      <x:c r="B340" s="24" t="str">
        <x:v>Pelvic diaphragm levator ani</x:v>
      </x:c>
      <x:c r="C340" s="24" t="str">
        <x:v>Stabilizer</x:v>
      </x:c>
      <x:c r="D340" s="28" t="str">
        <x:v>No</x:v>
      </x:c>
      <x:c r="E340" s="28" t="str">
        <x:v>No</x:v>
      </x:c>
      <x:c r="F340" s="28" t="str">
        <x:v>Yes</x:v>
      </x:c>
      <x:c r="G340" s="24" t="str">
        <x:v>Supports pelvic organs; elevates pelvic floor</x:v>
      </x:c>
      <x:c r="H340" s="24" t="str">
        <x:v>Ischial spine and tendinous arch of levator ani</x:v>
      </x:c>
      <x:c r="I340" s="24" t="str">
        <x:v>Anococcygeal body and coccyx</x:v>
      </x:c>
      <x:c r="J340" s="24" t="str">
        <x:v>Nerve to levator ani</x:v>
      </x:c>
      <x:c r="K340" s="24" t="str">
        <x:v>S3-S4</x:v>
      </x:c>
      <x:c r="L340" s="24" t="str">
        <x:v>Fibrous sheet into anococcygeal raphe</x:v>
      </x:c>
      <x:c r="M340" s="24" t="str">
        <x:v>Tendinous arch levator ani direct origin</x:v>
      </x:c>
      <x:c r="N340" s="30" t="str">
        <x:v>Majority Type I (qualitative)</x:v>
      </x:c>
      <x:c r="O340" s="30" t="str">
        <x:v>Also contains Type II; % unestablished</x:v>
      </x:c>
      <x:c r="P340" s="30" t="str">
        <x:v>Type I-rich / tonic pelvic support</x:v>
      </x:c>
      <x:c r="Q340" s="24" t="str">
        <x:v>Pelvic floor overview reports type I predominance; does not validate a per-muscle percentage</x:v>
      </x:c>
      <x:c r="R340" s="32" t="str">
        <x:v>https://www.kenhub.com/en/library/anatomy/muscles-of-the-pelvic-floor</x:v>
      </x:c>
      <x:c r="S340" s="32" t="str">
        <x:v>https://www.kenhub.com/en/library/anatomy/muscles-of-the-pelvic-floor</x:v>
      </x:c>
    </x:row>
    <x:row r="341" ht="53" customHeight="1">
      <x:c r="A341" s="24" t="str">
        <x:v>Pubococcygeus</x:v>
      </x:c>
      <x:c r="B341" s="24" t="str">
        <x:v>Pelvic diaphragm levator ani</x:v>
      </x:c>
      <x:c r="C341" s="24" t="str">
        <x:v>Stabilizer</x:v>
      </x:c>
      <x:c r="D341" s="28" t="str">
        <x:v>No</x:v>
      </x:c>
      <x:c r="E341" s="28" t="str">
        <x:v>No</x:v>
      </x:c>
      <x:c r="F341" s="28" t="str">
        <x:v>Yes</x:v>
      </x:c>
      <x:c r="G341" s="24" t="str">
        <x:v>Supports pelvic viscera; maintains continence</x:v>
      </x:c>
      <x:c r="H341" s="24" t="str">
        <x:v>Posterior pubis and tendinous arch levator ani</x:v>
      </x:c>
      <x:c r="I341" s="24" t="str">
        <x:v>Anococcygeal body; coccyx; perineal body</x:v>
      </x:c>
      <x:c r="J341" s="24" t="str">
        <x:v>Nerve to levator ani; pudendal variable</x:v>
      </x:c>
      <x:c r="K341" s="24" t="str">
        <x:v>S3-S4 (sometimes S2)</x:v>
      </x:c>
      <x:c r="L341" s="24" t="str">
        <x:v>Fibrous insertions to anococcygeal body</x:v>
      </x:c>
      <x:c r="M341" s="24" t="str">
        <x:v>Tendinous arch of levator ani direct origin (fascial condensation)</x:v>
      </x:c>
      <x:c r="N341" s="30" t="str">
        <x:v>Majority Type I (qualitative)</x:v>
      </x:c>
      <x:c r="O341" s="30" t="str">
        <x:v>Also contains Type II; % unestablished</x:v>
      </x:c>
      <x:c r="P341" s="30" t="str">
        <x:v>Type I-rich / tonic pelvic support</x:v>
      </x:c>
      <x:c r="Q341" s="24" t="str">
        <x:v>Pelvic floor overview reports type I predominance; does not validate a per-muscle percentage</x:v>
      </x:c>
      <x:c r="R341" s="32" t="str">
        <x:v>https://www.kenhub.com/en/library/anatomy/muscles-of-the-pelvic-floor</x:v>
      </x:c>
      <x:c r="S341" s="32" t="str">
        <x:v>https://www.kenhub.com/en/library/anatomy/muscles-of-the-pelvic-floor</x:v>
      </x:c>
    </x:row>
    <x:row r="342" ht="53" customHeight="1">
      <x:c r="A342" s="24" t="str">
        <x:v>Puborectalis</x:v>
      </x:c>
      <x:c r="B342" s="24" t="str">
        <x:v>Pelvic diaphragm levator ani</x:v>
      </x:c>
      <x:c r="C342" s="24" t="str">
        <x:v>Stabilizer</x:v>
      </x:c>
      <x:c r="D342" s="28" t="str">
        <x:v>No</x:v>
      </x:c>
      <x:c r="E342" s="28" t="str">
        <x:v>No</x:v>
      </x:c>
      <x:c r="F342" s="28" t="str">
        <x:v>Yes</x:v>
      </x:c>
      <x:c r="G342" s="24" t="str">
        <x:v>Maintains anorectal angle; fecal continence</x:v>
      </x:c>
      <x:c r="H342" s="24" t="str">
        <x:v>Posterior body pubis bilaterally</x:v>
      </x:c>
      <x:c r="I342" s="24" t="str">
        <x:v>Muscle sling around anorectal junction</x:v>
      </x:c>
      <x:c r="J342" s="24" t="str">
        <x:v>Nerve to levator ani; pudendal contributions variable</x:v>
      </x:c>
      <x:c r="K342" s="24" t="str">
        <x:v>S3-S4 (often S2-S4)</x:v>
      </x:c>
      <x:c r="L342" s="24" t="str">
        <x:v>Muscular sling no separate tendon</x:v>
      </x:c>
      <x:c r="M342" s="24" t="str">
        <x:v>Perineal body/fascial support near pubic region</x:v>
      </x:c>
      <x:c r="N342" s="30" t="str">
        <x:v>Majority Type I (qualitative)</x:v>
      </x:c>
      <x:c r="O342" s="30" t="str">
        <x:v>Also contains Type II; % unestablished</x:v>
      </x:c>
      <x:c r="P342" s="30" t="str">
        <x:v>Type I-rich / tonic pelvic support</x:v>
      </x:c>
      <x:c r="Q342" s="24" t="str">
        <x:v>Pelvic floor overview reports type I predominance; does not validate a per-muscle percentage</x:v>
      </x:c>
      <x:c r="R342" s="32" t="str">
        <x:v>https://www.kenhub.com/en/library/anatomy/muscles-of-the-pelvic-floor</x:v>
      </x:c>
      <x:c r="S342" s="32" t="str">
        <x:v>https://www.kenhub.com/en/library/anatomy/muscles-of-the-pelvic-floor</x:v>
      </x:c>
    </x:row>
    <x:row r="343" ht="53" customHeight="1">
      <x:c r="A343" s="24" t="str">
        <x:v>Coccygeus (ischiococcygeus)</x:v>
      </x:c>
      <x:c r="B343" s="24" t="str">
        <x:v>Pelvic diaphragm posterior</x:v>
      </x:c>
      <x:c r="C343" s="24" t="str">
        <x:v>Stabilizer</x:v>
      </x:c>
      <x:c r="D343" s="28" t="str">
        <x:v>No</x:v>
      </x:c>
      <x:c r="E343" s="28" t="str">
        <x:v>No</x:v>
      </x:c>
      <x:c r="F343" s="28" t="str">
        <x:v>Yes</x:v>
      </x:c>
      <x:c r="G343" s="24" t="str">
        <x:v>Supports pelvic floor; flexes coccyx</x:v>
      </x:c>
      <x:c r="H343" s="24" t="str">
        <x:v>Ischial spine</x:v>
      </x:c>
      <x:c r="I343" s="24" t="str">
        <x:v>Lateral lower sacrum and coccyx</x:v>
      </x:c>
      <x:c r="J343" s="24" t="str">
        <x:v>Anterior rami sacral nerves</x:v>
      </x:c>
      <x:c r="K343" s="24" t="str">
        <x:v>S4-S5</x:v>
      </x:c>
      <x:c r="L343" s="24" t="str">
        <x:v>Broad sacrococcygeal fibrous attachment</x:v>
      </x:c>
      <x:c r="M343" s="24" t="str">
        <x:v>Sacrospinous ligament directly blends with muscle</x:v>
      </x:c>
      <x:c r="N343" s="30" t="str">
        <x:v>Majority Type I (qualitative)</x:v>
      </x:c>
      <x:c r="O343" s="30" t="str">
        <x:v>Also contains Type II; % unestablished</x:v>
      </x:c>
      <x:c r="P343" s="30" t="str">
        <x:v>Type I-rich / tonic pelvic support</x:v>
      </x:c>
      <x:c r="Q343" s="24" t="str">
        <x:v>Pelvic floor overview reports type I predominance; does not validate a per-muscle percentage</x:v>
      </x:c>
      <x:c r="R343" s="32" t="str">
        <x:v>https://www.kenhub.com/en/library/anatomy/muscles-of-the-pelvic-floor</x:v>
      </x:c>
      <x:c r="S343" s="32" t="str">
        <x:v>https://www.kenhub.com/en/library/anatomy/muscles-of-the-pelvic-floor</x:v>
      </x:c>
    </x:row>
    <x:row r="344" ht="53" customHeight="1">
      <x:c r="A344" s="24" t="str">
        <x:v>External anal sphincter deep part</x:v>
      </x:c>
      <x:c r="B344" s="24" t="str">
        <x:v>Perineum anal triangle</x:v>
      </x:c>
      <x:c r="C344" s="24" t="str">
        <x:v>Stabilizer</x:v>
      </x:c>
      <x:c r="D344" s="28" t="str">
        <x:v>No</x:v>
      </x:c>
      <x:c r="E344" s="28" t="str">
        <x:v>No</x:v>
      </x:c>
      <x:c r="F344" s="28" t="str">
        <x:v>Yes</x:v>
      </x:c>
      <x:c r="G344" s="24" t="str">
        <x:v>Voluntary fecal continence</x:v>
      </x:c>
      <x:c r="H344" s="24" t="str">
        <x:v>Circumferential fibers integrated with puborectalis</x:v>
      </x:c>
      <x:c r="I344" s="24" t="str">
        <x:v>Ring around superior anal canal</x:v>
      </x:c>
      <x:c r="J344" s="24" t="str">
        <x:v>Inferior rectal nerves (pudendal); S4 contributions</x:v>
      </x:c>
      <x:c r="K344" s="24" t="str">
        <x:v>S2-S4</x:v>
      </x:c>
      <x:c r="L344" s="24" t="str">
        <x:v>Circular fibers without long tendons</x:v>
      </x:c>
      <x:c r="M344" s="24" t="str">
        <x:v>Adjacent puborectalis sling, not ligament</x:v>
      </x:c>
      <x:c r="N344" s="30" t="str">
        <x:v>Not established</x:v>
      </x:c>
      <x:c r="O344" s="30" t="str">
        <x:v>Not established</x:v>
      </x:c>
      <x:c r="P344" s="30" t="str">
        <x:v>Mixed Type I and Type II; ratio unverified</x:v>
      </x:c>
      <x:c r="Q344" s="24" t="str">
        <x:v>Published biopsies insufficient to state a reliable per-muscle percentage; no inference from function</x:v>
      </x:c>
      <x:c r="R344" s="32" t="str">
        <x:v>https://www.kenhub.com/en/library/anatomy/muscles-of-the-pelvic-floor</x:v>
      </x:c>
      <x:c r="S344" s="32" t="str">
        <x:v>https://pubmed.ncbi.nlm.nih.gov/39359186/</x:v>
      </x:c>
    </x:row>
    <x:row r="345" ht="53" customHeight="1">
      <x:c r="A345" s="24" t="str">
        <x:v>External anal sphincter subcutaneous part</x:v>
      </x:c>
      <x:c r="B345" s="24" t="str">
        <x:v>Perineum anal triangle</x:v>
      </x:c>
      <x:c r="C345" s="24" t="str">
        <x:v>Stabilizer</x:v>
      </x:c>
      <x:c r="D345" s="28" t="str">
        <x:v>No</x:v>
      </x:c>
      <x:c r="E345" s="28" t="str">
        <x:v>No</x:v>
      </x:c>
      <x:c r="F345" s="28" t="str">
        <x:v>Yes</x:v>
      </x:c>
      <x:c r="G345" s="24" t="str">
        <x:v>Voluntary anal closure</x:v>
      </x:c>
      <x:c r="H345" s="24" t="str">
        <x:v>Ring of tissue around anal canal</x:v>
      </x:c>
      <x:c r="I345" s="24" t="str">
        <x:v>Circular fibers around anal canal</x:v>
      </x:c>
      <x:c r="J345" s="24" t="str">
        <x:v>Inferior rectal nerves (pudendal)</x:v>
      </x:c>
      <x:c r="K345" s="24" t="str">
        <x:v>S2-S4</x:v>
      </x:c>
      <x:c r="L345" s="24" t="str">
        <x:v>Fibrous subcutaneous ring</x:v>
      </x:c>
      <x:c r="M345" s="24" t="str">
        <x:v>Perineal body nearby</x:v>
      </x:c>
      <x:c r="N345" s="30" t="str">
        <x:v>Not established</x:v>
      </x:c>
      <x:c r="O345" s="30" t="str">
        <x:v>Not established</x:v>
      </x:c>
      <x:c r="P345" s="30" t="str">
        <x:v>Mixed Type I and Type II; ratio unverified</x:v>
      </x:c>
      <x:c r="Q345" s="24" t="str">
        <x:v>Published biopsies insufficient to state a reliable per-muscle percentage; no inference from function</x:v>
      </x:c>
      <x:c r="R345" s="32" t="str">
        <x:v>https://www.kenhub.com/en/library/anatomy/muscles-of-the-pelvic-floor</x:v>
      </x:c>
      <x:c r="S345" s="32" t="str">
        <x:v>https://pubmed.ncbi.nlm.nih.gov/39359186/</x:v>
      </x:c>
    </x:row>
    <x:row r="346" ht="53" customHeight="1">
      <x:c r="A346" s="24" t="str">
        <x:v>External anal sphincter superficial part</x:v>
      </x:c>
      <x:c r="B346" s="24" t="str">
        <x:v>Perineum anal triangle</x:v>
      </x:c>
      <x:c r="C346" s="24" t="str">
        <x:v>Stabilizer</x:v>
      </x:c>
      <x:c r="D346" s="28" t="str">
        <x:v>No</x:v>
      </x:c>
      <x:c r="E346" s="28" t="str">
        <x:v>No</x:v>
      </x:c>
      <x:c r="F346" s="28" t="str">
        <x:v>Yes</x:v>
      </x:c>
      <x:c r="G346" s="24" t="str">
        <x:v>Closes anus; continence</x:v>
      </x:c>
      <x:c r="H346" s="24" t="str">
        <x:v>Perineal body</x:v>
      </x:c>
      <x:c r="I346" s="24" t="str">
        <x:v>Anococcygeal ligament/body posteriorly</x:v>
      </x:c>
      <x:c r="J346" s="24" t="str">
        <x:v>Inferior rectal nerves (pudendal)</x:v>
      </x:c>
      <x:c r="K346" s="24" t="str">
        <x:v>S2-S4</x:v>
      </x:c>
      <x:c r="L346" s="24" t="str">
        <x:v>Anterior/posterior fibrous attachments</x:v>
      </x:c>
      <x:c r="M346" s="24" t="str">
        <x:v>Anococcygeal ligament direct posterior attachment</x:v>
      </x:c>
      <x:c r="N346" s="30" t="str">
        <x:v>Not established</x:v>
      </x:c>
      <x:c r="O346" s="30" t="str">
        <x:v>Not established</x:v>
      </x:c>
      <x:c r="P346" s="30" t="str">
        <x:v>Mixed Type I and Type II; ratio unverified</x:v>
      </x:c>
      <x:c r="Q346" s="24" t="str">
        <x:v>Published biopsies insufficient to state a reliable per-muscle percentage; no inference from function</x:v>
      </x:c>
      <x:c r="R346" s="32" t="str">
        <x:v>https://www.kenhub.com/en/library/anatomy/muscles-of-the-pelvic-floor</x:v>
      </x:c>
      <x:c r="S346" s="32" t="str">
        <x:v>https://pubmed.ncbi.nlm.nih.gov/39359186/</x:v>
      </x:c>
    </x:row>
    <x:row r="347" ht="53" customHeight="1">
      <x:c r="A347" s="24" t="str">
        <x:v>External urethral sphincter (rhabdosphincter)</x:v>
      </x:c>
      <x:c r="B347" s="24" t="str">
        <x:v>Perineum urogenital triangle</x:v>
      </x:c>
      <x:c r="C347" s="24" t="str">
        <x:v>Stabilizer</x:v>
      </x:c>
      <x:c r="D347" s="28" t="str">
        <x:v>No</x:v>
      </x:c>
      <x:c r="E347" s="28" t="str">
        <x:v>No</x:v>
      </x:c>
      <x:c r="F347" s="28" t="str">
        <x:v>Yes</x:v>
      </x:c>
      <x:c r="G347" s="24" t="str">
        <x:v>Voluntary urethral closure</x:v>
      </x:c>
      <x:c r="H347" s="24" t="str">
        <x:v>Perineal membrane / surrounding pubic attachments</x:v>
      </x:c>
      <x:c r="I347" s="24" t="str">
        <x:v>Encircles membranous urethra</x:v>
      </x:c>
      <x:c r="J347" s="24" t="str">
        <x:v>Deep perineal branch pudendal nerve</x:v>
      </x:c>
      <x:c r="K347" s="24" t="str">
        <x:v>S2-S4</x:v>
      </x:c>
      <x:c r="L347" s="24" t="str">
        <x:v>Circumferential fibers</x:v>
      </x:c>
      <x:c r="M347" s="24" t="str">
        <x:v>Perineal membrane associated</x:v>
      </x:c>
      <x:c r="N347" s="30" t="str">
        <x:v>Not established</x:v>
      </x:c>
      <x:c r="O347" s="30" t="str">
        <x:v>Not established</x:v>
      </x:c>
      <x:c r="P347" s="30" t="str">
        <x:v>Mixed Type I and Type II; ratio unverified</x:v>
      </x:c>
      <x:c r="Q347" s="24" t="str">
        <x:v>Published biopsies insufficient to state a reliable per-muscle percentage; no inference from function</x:v>
      </x:c>
      <x:c r="R347" s="32" t="str">
        <x:v>https://www.kenhub.com/en/library/anatomy/muscles-of-the-pelvic-floor</x:v>
      </x:c>
      <x:c r="S347" s="32" t="str">
        <x:v>https://pubmed.ncbi.nlm.nih.gov/39359186/</x:v>
      </x:c>
    </x:row>
    <x:row r="348" ht="53" customHeight="1">
      <x:c r="A348" s="24" t="str">
        <x:v>Superficial transverse perineal muscle</x:v>
      </x:c>
      <x:c r="B348" s="24" t="str">
        <x:v>Superficial perineal pouch</x:v>
      </x:c>
      <x:c r="C348" s="24" t="str">
        <x:v>Stabilizer</x:v>
      </x:c>
      <x:c r="D348" s="28" t="str">
        <x:v>No</x:v>
      </x:c>
      <x:c r="E348" s="28" t="str">
        <x:v>No</x:v>
      </x:c>
      <x:c r="F348" s="28" t="str">
        <x:v>Yes</x:v>
      </x:c>
      <x:c r="G348" s="24" t="str">
        <x:v>Fixes perineal body; supports pelvic floor</x:v>
      </x:c>
      <x:c r="H348" s="24" t="str">
        <x:v>Ischial tuberosity/ramus</x:v>
      </x:c>
      <x:c r="I348" s="24" t="str">
        <x:v>Perineal body</x:v>
      </x:c>
      <x:c r="J348" s="24" t="str">
        <x:v>Perineal branch pudendal nerve</x:v>
      </x:c>
      <x:c r="K348" s="24" t="str">
        <x:v>S2-S4</x:v>
      </x:c>
      <x:c r="L348" s="24" t="str">
        <x:v>Short perineal body insertion tendon</x:v>
      </x:c>
      <x:c r="M348" s="24" t="str">
        <x:v>Perineal membrane nearby</x:v>
      </x:c>
      <x:c r="N348" s="30" t="str">
        <x:v>Not established</x:v>
      </x:c>
      <x:c r="O348" s="30" t="str">
        <x:v>Not established</x:v>
      </x:c>
      <x:c r="P348" s="30" t="str">
        <x:v>Mixed Type I and Type II; ratio unverified</x:v>
      </x:c>
      <x:c r="Q348" s="24" t="str">
        <x:v>Published biopsies insufficient to state a reliable per-muscle percentage; no inference from function</x:v>
      </x:c>
      <x:c r="R348" s="32" t="str">
        <x:v>https://www.kenhub.com/en/library/anatomy/muscles-of-the-pelvic-floor</x:v>
      </x:c>
      <x:c r="S348" s="32" t="str">
        <x:v>https://pubmed.ncbi.nlm.nih.gov/39359186/</x:v>
      </x:c>
    </x:row>
    <x:row r="349" ht="53" customHeight="1">
      <x:c r="A349" s="24" t="str">
        <x:v>Bulbospongiosus (female)</x:v>
      </x:c>
      <x:c r="B349" s="24" t="str">
        <x:v>Superficial perineal pouch female</x:v>
      </x:c>
      <x:c r="C349" s="24" t="str">
        <x:v>Stabilizer</x:v>
      </x:c>
      <x:c r="D349" s="28" t="str">
        <x:v>No</x:v>
      </x:c>
      <x:c r="E349" s="28" t="str">
        <x:v>No</x:v>
      </x:c>
      <x:c r="F349" s="28" t="str">
        <x:v>Yes</x:v>
      </x:c>
      <x:c r="G349" s="24" t="str">
        <x:v>Constricts vaginal orifice; assists clitoral erection</x:v>
      </x:c>
      <x:c r="H349" s="24" t="str">
        <x:v>Perineal body</x:v>
      </x:c>
      <x:c r="I349" s="24" t="str">
        <x:v>Bulb of vestibule; clitoral fascia</x:v>
      </x:c>
      <x:c r="J349" s="24" t="str">
        <x:v>Perineal branch pudendal nerve</x:v>
      </x:c>
      <x:c r="K349" s="24" t="str">
        <x:v>S2-S4</x:v>
      </x:c>
      <x:c r="L349" s="24" t="str">
        <x:v>Clitoral fascial fibers</x:v>
      </x:c>
      <x:c r="M349" s="24" t="str">
        <x:v>Perineal membrane adjacent</x:v>
      </x:c>
      <x:c r="N349" s="30" t="str">
        <x:v>Not established</x:v>
      </x:c>
      <x:c r="O349" s="30" t="str">
        <x:v>Not established</x:v>
      </x:c>
      <x:c r="P349" s="30" t="str">
        <x:v>Mixed Type I and Type II; ratio unverified</x:v>
      </x:c>
      <x:c r="Q349" s="24" t="str">
        <x:v>Published biopsies insufficient to state a reliable per-muscle percentage; no inference from function</x:v>
      </x:c>
      <x:c r="R349" s="32" t="str">
        <x:v>https://www.kenhub.com/en/library/anatomy/muscles-of-the-pelvic-floor</x:v>
      </x:c>
      <x:c r="S349" s="32" t="str">
        <x:v>https://pubmed.ncbi.nlm.nih.gov/39359186/</x:v>
      </x:c>
    </x:row>
    <x:row r="350" ht="53" customHeight="1">
      <x:c r="A350" s="24" t="str">
        <x:v>Ischiocavernosus (female)</x:v>
      </x:c>
      <x:c r="B350" s="24" t="str">
        <x:v>Superficial perineal pouch female</x:v>
      </x:c>
      <x:c r="C350" s="24" t="str">
        <x:v>Stabilizer</x:v>
      </x:c>
      <x:c r="D350" s="28" t="str">
        <x:v>No</x:v>
      </x:c>
      <x:c r="E350" s="28" t="str">
        <x:v>No</x:v>
      </x:c>
      <x:c r="F350" s="28" t="str">
        <x:v>Yes</x:v>
      </x:c>
      <x:c r="G350" s="24" t="str">
        <x:v>Compresses crus clitoris; assists erection</x:v>
      </x:c>
      <x:c r="H350" s="24" t="str">
        <x:v>Ischial tuberosity and ischiopubic ramus</x:v>
      </x:c>
      <x:c r="I350" s="24" t="str">
        <x:v>Crus clitoris and tunica albuginea</x:v>
      </x:c>
      <x:c r="J350" s="24" t="str">
        <x:v>Perineal branch pudendal nerve</x:v>
      </x:c>
      <x:c r="K350" s="24" t="str">
        <x:v>S2-S4</x:v>
      </x:c>
      <x:c r="L350" s="24" t="str">
        <x:v>Crural insertion</x:v>
      </x:c>
      <x:c r="M350" s="24" t="str">
        <x:v>Suspensory ligament of clitoris nearby</x:v>
      </x:c>
      <x:c r="N350" s="30" t="str">
        <x:v>Not established</x:v>
      </x:c>
      <x:c r="O350" s="30" t="str">
        <x:v>Not established</x:v>
      </x:c>
      <x:c r="P350" s="30" t="str">
        <x:v>Mixed Type I and Type II; ratio unverified</x:v>
      </x:c>
      <x:c r="Q350" s="24" t="str">
        <x:v>Published biopsies insufficient to state a reliable per-muscle percentage; no inference from function</x:v>
      </x:c>
      <x:c r="R350" s="32" t="str">
        <x:v>https://www.kenhub.com/en/library/anatomy/muscles-of-the-pelvic-floor</x:v>
      </x:c>
      <x:c r="S350" s="32" t="str">
        <x:v>https://pubmed.ncbi.nlm.nih.gov/39359186/</x:v>
      </x:c>
    </x:row>
    <x:row r="351" ht="53" customHeight="1">
      <x:c r="A351" s="24" t="str">
        <x:v>Bulbospongiosus (male)</x:v>
      </x:c>
      <x:c r="B351" s="24" t="str">
        <x:v>Superficial perineal pouch male</x:v>
      </x:c>
      <x:c r="C351" s="24" t="str">
        <x:v>Stabilizer</x:v>
      </x:c>
      <x:c r="D351" s="28" t="str">
        <x:v>No</x:v>
      </x:c>
      <x:c r="E351" s="28" t="str">
        <x:v>No</x:v>
      </x:c>
      <x:c r="F351" s="28" t="str">
        <x:v>Yes</x:v>
      </x:c>
      <x:c r="G351" s="24" t="str">
        <x:v>Expels last urine/semen; assists erection</x:v>
      </x:c>
      <x:c r="H351" s="24" t="str">
        <x:v>Perineal body and midline penile raphe</x:v>
      </x:c>
      <x:c r="I351" s="24" t="str">
        <x:v>Perineal membrane; bulb of penis; dorsal penile fascia</x:v>
      </x:c>
      <x:c r="J351" s="24" t="str">
        <x:v>Perineal branch pudendal nerve</x:v>
      </x:c>
      <x:c r="K351" s="24" t="str">
        <x:v>S2-S4</x:v>
      </x:c>
      <x:c r="L351" s="24" t="str">
        <x:v>Fibrous penile/perineal fascial insertion</x:v>
      </x:c>
      <x:c r="M351" s="24" t="str">
        <x:v>Perineal membrane attachment</x:v>
      </x:c>
      <x:c r="N351" s="30" t="str">
        <x:v>Not established</x:v>
      </x:c>
      <x:c r="O351" s="30" t="str">
        <x:v>Not established</x:v>
      </x:c>
      <x:c r="P351" s="30" t="str">
        <x:v>Mixed Type I and Type II; ratio unverified</x:v>
      </x:c>
      <x:c r="Q351" s="24" t="str">
        <x:v>Published biopsies insufficient to state a reliable per-muscle percentage; no inference from function</x:v>
      </x:c>
      <x:c r="R351" s="32" t="str">
        <x:v>https://www.kenhub.com/en/library/anatomy/muscles-of-the-pelvic-floor</x:v>
      </x:c>
      <x:c r="S351" s="32" t="str">
        <x:v>https://pubmed.ncbi.nlm.nih.gov/39359186/</x:v>
      </x:c>
    </x:row>
    <x:row r="352" ht="53" customHeight="1">
      <x:c r="A352" s="24" t="str">
        <x:v>Ischiocavernosus (male)</x:v>
      </x:c>
      <x:c r="B352" s="24" t="str">
        <x:v>Superficial perineal pouch male</x:v>
      </x:c>
      <x:c r="C352" s="24" t="str">
        <x:v>Stabilizer</x:v>
      </x:c>
      <x:c r="D352" s="28" t="str">
        <x:v>No</x:v>
      </x:c>
      <x:c r="E352" s="28" t="str">
        <x:v>No</x:v>
      </x:c>
      <x:c r="F352" s="28" t="str">
        <x:v>Yes</x:v>
      </x:c>
      <x:c r="G352" s="24" t="str">
        <x:v>Compresses crus; maintains erection</x:v>
      </x:c>
      <x:c r="H352" s="24" t="str">
        <x:v>Ischial tuberosity and ischiopubic ramus</x:v>
      </x:c>
      <x:c r="I352" s="24" t="str">
        <x:v>Crus penis and tunica albuginea</x:v>
      </x:c>
      <x:c r="J352" s="24" t="str">
        <x:v>Perineal branch pudendal nerve</x:v>
      </x:c>
      <x:c r="K352" s="24" t="str">
        <x:v>S2-S4</x:v>
      </x:c>
      <x:c r="L352" s="24" t="str">
        <x:v>Crural fibrous insertion</x:v>
      </x:c>
      <x:c r="M352" s="24" t="str">
        <x:v>Suspensory ligament of penis nearby, not direct insertion</x:v>
      </x:c>
      <x:c r="N352" s="30" t="str">
        <x:v>Not established</x:v>
      </x:c>
      <x:c r="O352" s="30" t="str">
        <x:v>Not established</x:v>
      </x:c>
      <x:c r="P352" s="30" t="str">
        <x:v>Mixed Type I and Type II; ratio unverified</x:v>
      </x:c>
      <x:c r="Q352" s="24" t="str">
        <x:v>Published biopsies insufficient to state a reliable per-muscle percentage; no inference from function</x:v>
      </x:c>
      <x:c r="R352" s="32" t="str">
        <x:v>https://www.kenhub.com/en/library/anatomy/muscles-of-the-pelvic-floor</x:v>
      </x:c>
      <x:c r="S352" s="32" t="str">
        <x:v>https://pubmed.ncbi.nlm.nih.gov/39359186/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f6a20772267c432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SHOULDER &amp; SCAPULA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15 detailed entries | attachments and motor innervation | nearby versus direct ligament relationships explicitly indicated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Pectoralis major</x:v>
      </x:c>
      <x:c r="B4" s="24" t="str">
        <x:v>Anterior axioappendicular</x:v>
      </x:c>
      <x:c r="C4" s="24" t="str">
        <x:v>Flexor; Extensor</x:v>
      </x:c>
      <x:c r="D4" s="28" t="str">
        <x:v>Yes</x:v>
      </x:c>
      <x:c r="E4" s="28" t="str">
        <x:v>Yes</x:v>
      </x:c>
      <x:c r="F4" s="28" t="str">
        <x:v>No</x:v>
      </x:c>
      <x:c r="G4" s="24" t="str">
        <x:v>Adducts/medially rotates arm; clavicular head flexes; sternocostal head extends from flexed position</x:v>
      </x:c>
      <x:c r="H4" s="24" t="str">
        <x:v>Medial clavicle; sternum; upper costal cartilages; external oblique aponeurosis</x:v>
      </x:c>
      <x:c r="I4" s="24" t="str">
        <x:v>Lateral lip of intertubercular sulcus humerus</x:v>
      </x:c>
      <x:c r="J4" s="24" t="str">
        <x:v>Medial and lateral pectoral nerves</x:v>
      </x:c>
      <x:c r="K4" s="24" t="str">
        <x:v>C5-T1</x:v>
      </x:c>
      <x:c r="L4" s="24" t="str">
        <x:v>Bilaminar pectoralis major tendon</x:v>
      </x:c>
      <x:c r="M4" s="24" t="str">
        <x:v>Costoclavicular ligament nearby; no direct ligament insertion</x:v>
      </x:c>
      <x:c r="N4" s="30" t="str">
        <x:v>Not established</x:v>
      </x:c>
      <x:c r="O4" s="30" t="str">
        <x:v>Not established</x:v>
      </x:c>
      <x:c r="P4" s="30" t="str">
        <x:v>Mixed Type I and Type II; ratio unverified</x:v>
      </x:c>
      <x:c r="Q4" s="24" t="str">
        <x:v>Published biopsies insufficient to state a reliable per-muscle percentage; no inference from function</x:v>
      </x:c>
      <x:c r="R4" s="32" t="str">
        <x:v>https://www.kenhub.com/en/library/anatomy/upper-limb-muscles-and-movements</x:v>
      </x:c>
      <x:c r="S4" s="32" t="str">
        <x:v>https://pubmed.ncbi.nlm.nih.gov/39359186/</x:v>
      </x:c>
    </x:row>
    <x:row r="5" ht="53" customHeight="1">
      <x:c r="A5" s="24" t="str">
        <x:v>Pectoralis minor</x:v>
      </x:c>
      <x:c r="B5" s="24" t="str">
        <x:v>Anterior axioappendicular</x:v>
      </x:c>
      <x:c r="C5" s="24" t="str">
        <x:v>Stabilizer</x:v>
      </x:c>
      <x:c r="D5" s="28" t="str">
        <x:v>No</x:v>
      </x:c>
      <x:c r="E5" s="28" t="str">
        <x:v>No</x:v>
      </x:c>
      <x:c r="F5" s="28" t="str">
        <x:v>Yes</x:v>
      </x:c>
      <x:c r="G5" s="24" t="str">
        <x:v>Protracts/depresses/stabilizes scapula; accessory inspiration</x:v>
      </x:c>
      <x:c r="H5" s="24" t="str">
        <x:v>Ribs 3-5 near costal cartilages</x:v>
      </x:c>
      <x:c r="I5" s="24" t="str">
        <x:v>Medial border/superior surface coracoid process</x:v>
      </x:c>
      <x:c r="J5" s="24" t="str">
        <x:v>Medial pectoral nerve</x:v>
      </x:c>
      <x:c r="K5" s="24" t="str">
        <x:v>C8-T1</x:v>
      </x:c>
      <x:c r="L5" s="24" t="str">
        <x:v>Pectoralis minor insertion tendon</x:v>
      </x:c>
      <x:c r="M5" s="24" t="str">
        <x:v>Coracoacromial/coracoclavicular ligaments share coracoid region, no direct connection</x:v>
      </x:c>
      <x:c r="N5" s="30" t="str">
        <x:v>Not established</x:v>
      </x:c>
      <x:c r="O5" s="30" t="str">
        <x:v>Not established</x:v>
      </x:c>
      <x:c r="P5" s="30" t="str">
        <x:v>Mixed Type I and Type II; ratio unverified</x:v>
      </x:c>
      <x:c r="Q5" s="24" t="str">
        <x:v>Published biopsies insufficient to state a reliable per-muscle percentage; no inference from function</x:v>
      </x:c>
      <x:c r="R5" s="32" t="str">
        <x:v>https://www.kenhub.com/en/library/anatomy/upper-limb-muscles-and-movements</x:v>
      </x:c>
      <x:c r="S5" s="32" t="str">
        <x:v>https://pubmed.ncbi.nlm.nih.gov/39359186/</x:v>
      </x:c>
    </x:row>
    <x:row r="6" ht="53" customHeight="1">
      <x:c r="A6" s="24" t="str">
        <x:v>Subclavius</x:v>
      </x:c>
      <x:c r="B6" s="24" t="str">
        <x:v>Infraclavicular</x:v>
      </x:c>
      <x:c r="C6" s="24" t="str">
        <x:v>Stabilizer</x:v>
      </x:c>
      <x:c r="D6" s="28" t="str">
        <x:v>No</x:v>
      </x:c>
      <x:c r="E6" s="28" t="str">
        <x:v>No</x:v>
      </x:c>
      <x:c r="F6" s="28" t="str">
        <x:v>Yes</x:v>
      </x:c>
      <x:c r="G6" s="24" t="str">
        <x:v>Depresses and anchors clavicle; stabilizes sternoclavicular joint</x:v>
      </x:c>
      <x:c r="H6" s="24" t="str">
        <x:v>Junction of rib 1 and costal cartilage</x:v>
      </x:c>
      <x:c r="I6" s="24" t="str">
        <x:v>Groove on inferior midclavicle</x:v>
      </x:c>
      <x:c r="J6" s="24" t="str">
        <x:v>Nerve to subclavius</x:v>
      </x:c>
      <x:c r="K6" s="24" t="str">
        <x:v>C5-C6</x:v>
      </x:c>
      <x:c r="L6" s="24" t="str">
        <x:v>Short insertion tendon to subclavian groove</x:v>
      </x:c>
      <x:c r="M6" s="24" t="str">
        <x:v>Costoclavicular ligament adjacent to attachment</x:v>
      </x:c>
      <x:c r="N6" s="30" t="str">
        <x:v>Not established</x:v>
      </x:c>
      <x:c r="O6" s="30" t="str">
        <x:v>Not established</x:v>
      </x:c>
      <x:c r="P6" s="30" t="str">
        <x:v>Mixed Type I and Type II; ratio unverified</x:v>
      </x:c>
      <x:c r="Q6" s="24" t="str">
        <x:v>Published biopsies insufficient to state a reliable per-muscle percentage; no inference from function</x:v>
      </x:c>
      <x:c r="R6" s="32" t="str">
        <x:v>https://www.kenhub.com/en/library/anatomy/upper-limb-muscles-and-movements</x:v>
      </x:c>
      <x:c r="S6" s="32" t="str">
        <x:v>https://pubmed.ncbi.nlm.nih.gov/39359186/</x:v>
      </x:c>
    </x:row>
    <x:row r="7" ht="53" customHeight="1">
      <x:c r="A7" s="24" t="str">
        <x:v>Teres major</x:v>
      </x:c>
      <x:c r="B7" s="24" t="str">
        <x:v>Posterior axillary fold</x:v>
      </x:c>
      <x:c r="C7" s="24" t="str">
        <x:v>Extensor</x:v>
      </x:c>
      <x:c r="D7" s="28" t="str">
        <x:v>No</x:v>
      </x:c>
      <x:c r="E7" s="28" t="str">
        <x:v>Yes</x:v>
      </x:c>
      <x:c r="F7" s="28" t="str">
        <x:v>No</x:v>
      </x:c>
      <x:c r="G7" s="24" t="str">
        <x:v>Adducts, internally rotates and extends arm</x:v>
      </x:c>
      <x:c r="H7" s="24" t="str">
        <x:v>Dorsal inferior angle/lateral border of scapula</x:v>
      </x:c>
      <x:c r="I7" s="24" t="str">
        <x:v>Medial lip of intertubercular sulcus</x:v>
      </x:c>
      <x:c r="J7" s="24" t="str">
        <x:v>Lower subscapular nerve</x:v>
      </x:c>
      <x:c r="K7" s="24" t="str">
        <x:v>C5-C6</x:v>
      </x:c>
      <x:c r="L7" s="24" t="str">
        <x:v>Teres major insertion tendon</x:v>
      </x:c>
      <x:c r="M7" s="24" t="str">
        <x:v>No specific direct ligament attachment</x:v>
      </x:c>
      <x:c r="N7" s="30" t="str">
        <x:v>Not established</x:v>
      </x:c>
      <x:c r="O7" s="30" t="str">
        <x:v>Not established</x:v>
      </x:c>
      <x:c r="P7" s="30" t="str">
        <x:v>Mixed Type I and Type II; ratio unverified</x:v>
      </x:c>
      <x:c r="Q7" s="24" t="str">
        <x:v>Published biopsies insufficient to state a reliable per-muscle percentage; no inference from function</x:v>
      </x:c>
      <x:c r="R7" s="32" t="str">
        <x:v>https://www.kenhub.com/en/library/anatomy/upper-limb-muscles-and-movements</x:v>
      </x:c>
      <x:c r="S7" s="32" t="str">
        <x:v>https://pubmed.ncbi.nlm.nih.gov/39359186/</x:v>
      </x:c>
    </x:row>
    <x:row r="8" ht="53" customHeight="1">
      <x:c r="A8" s="24" t="str">
        <x:v>Latissimus dorsi</x:v>
      </x:c>
      <x:c r="B8" s="24" t="str">
        <x:v>Posterior axioappendicular</x:v>
      </x:c>
      <x:c r="C8" s="24" t="str">
        <x:v>Extensor</x:v>
      </x:c>
      <x:c r="D8" s="28" t="str">
        <x:v>No</x:v>
      </x:c>
      <x:c r="E8" s="28" t="str">
        <x:v>Yes</x:v>
      </x:c>
      <x:c r="F8" s="28" t="str">
        <x:v>No</x:v>
      </x:c>
      <x:c r="G8" s="24" t="str">
        <x:v>Extends, adducts, internally rotates arm</x:v>
      </x:c>
      <x:c r="H8" s="24" t="str">
        <x:v>T7-T12 spinous processes; thoracolumbar fascia; iliac crest; lower ribs</x:v>
      </x:c>
      <x:c r="I8" s="24" t="str">
        <x:v>Floor of intertubercular sulcus humerus</x:v>
      </x:c>
      <x:c r="J8" s="24" t="str">
        <x:v>Thoracodorsal nerve</x:v>
      </x:c>
      <x:c r="K8" s="24" t="str">
        <x:v>C6-C8</x:v>
      </x:c>
      <x:c r="L8" s="24" t="str">
        <x:v>Flattened latissimus dorsi tendon</x:v>
      </x:c>
      <x:c r="M8" s="24" t="str">
        <x:v>Thoracolumbar fascia is fascia not ligament</x:v>
      </x:c>
      <x:c r="N8" s="30" t="str">
        <x:v>Not established</x:v>
      </x:c>
      <x:c r="O8" s="30" t="str">
        <x:v>Not established</x:v>
      </x:c>
      <x:c r="P8" s="30" t="str">
        <x:v>Mixed Type I and Type II; ratio unverified</x:v>
      </x:c>
      <x:c r="Q8" s="24" t="str">
        <x:v>Published biopsies insufficient to state a reliable per-muscle percentage; no inference from function</x:v>
      </x:c>
      <x:c r="R8" s="32" t="str">
        <x:v>https://www.kenhub.com/en/library/anatomy/upper-limb-muscles-and-movements</x:v>
      </x:c>
      <x:c r="S8" s="32" t="str">
        <x:v>https://pubmed.ncbi.nlm.nih.gov/39359186/</x:v>
      </x:c>
    </x:row>
    <x:row r="9" ht="53" customHeight="1">
      <x:c r="A9" s="24" t="str">
        <x:v>Infraspinatus</x:v>
      </x:c>
      <x:c r="B9" s="24" t="str">
        <x:v>Rotator cuff</x:v>
      </x:c>
      <x:c r="C9" s="24" t="str">
        <x:v>Stabilizer</x:v>
      </x:c>
      <x:c r="D9" s="28" t="str">
        <x:v>No</x:v>
      </x:c>
      <x:c r="E9" s="28" t="str">
        <x:v>No</x:v>
      </x:c>
      <x:c r="F9" s="28" t="str">
        <x:v>Yes</x:v>
      </x:c>
      <x:c r="G9" s="24" t="str">
        <x:v>External rotation of humerus; shoulder stabilization</x:v>
      </x:c>
      <x:c r="H9" s="24" t="str">
        <x:v>Infraspinous fossa of scapula</x:v>
      </x:c>
      <x:c r="I9" s="24" t="str">
        <x:v>Middle facet of greater tubercle of humerus</x:v>
      </x:c>
      <x:c r="J9" s="24" t="str">
        <x:v>Suprascapular nerve</x:v>
      </x:c>
      <x:c r="K9" s="24" t="str">
        <x:v>C5-C6</x:v>
      </x:c>
      <x:c r="L9" s="24" t="str">
        <x:v>Infraspinatus tendon blends with capsule</x:v>
      </x:c>
      <x:c r="M9" s="24" t="str">
        <x:v>Capsular ligaments of glenohumeral joint, adjacent</x:v>
      </x:c>
      <x:c r="N9" s="30" t="str">
        <x:v>Not established</x:v>
      </x:c>
      <x:c r="O9" s="30" t="str">
        <x:v>Not established</x:v>
      </x:c>
      <x:c r="P9" s="30" t="str">
        <x:v>Mixed Type I and Type II; ratio unverified</x:v>
      </x:c>
      <x:c r="Q9" s="24" t="str">
        <x:v>Published biopsies insufficient to state a reliable per-muscle percentage; no inference from function</x:v>
      </x:c>
      <x:c r="R9" s="32" t="str">
        <x:v>https://www.kenhub.com/en/library/anatomy/upper-limb-muscles-and-movements</x:v>
      </x:c>
      <x:c r="S9" s="32" t="str">
        <x:v>https://pubmed.ncbi.nlm.nih.gov/39359186/</x:v>
      </x:c>
    </x:row>
    <x:row r="10" ht="53" customHeight="1">
      <x:c r="A10" s="24" t="str">
        <x:v>Subscapularis</x:v>
      </x:c>
      <x:c r="B10" s="24" t="str">
        <x:v>Rotator cuff</x:v>
      </x:c>
      <x:c r="C10" s="24" t="str">
        <x:v>Stabilizer</x:v>
      </x:c>
      <x:c r="D10" s="28" t="str">
        <x:v>No</x:v>
      </x:c>
      <x:c r="E10" s="28" t="str">
        <x:v>No</x:v>
      </x:c>
      <x:c r="F10" s="28" t="str">
        <x:v>Yes</x:v>
      </x:c>
      <x:c r="G10" s="24" t="str">
        <x:v>Internal rotation; adduction; shoulder stabilization</x:v>
      </x:c>
      <x:c r="H10" s="24" t="str">
        <x:v>Subscapular fossa of scapula</x:v>
      </x:c>
      <x:c r="I10" s="24" t="str">
        <x:v>Lesser tubercle and anterior humeral capsule</x:v>
      </x:c>
      <x:c r="J10" s="24" t="str">
        <x:v>Upper and lower subscapular nerves</x:v>
      </x:c>
      <x:c r="K10" s="24" t="str">
        <x:v>C5-C7</x:v>
      </x:c>
      <x:c r="L10" s="24" t="str">
        <x:v>Subscapularis tendon</x:v>
      </x:c>
      <x:c r="M10" s="24" t="str">
        <x:v>Transverse humeral ligament nearby; shoulder capsule blends with tendon</x:v>
      </x:c>
      <x:c r="N10" s="30" t="str">
        <x:v>Not established</x:v>
      </x:c>
      <x:c r="O10" s="30" t="str">
        <x:v>Not established</x:v>
      </x:c>
      <x:c r="P10" s="30" t="str">
        <x:v>Mixed Type I and Type II; ratio unverified</x:v>
      </x:c>
      <x:c r="Q10" s="24" t="str">
        <x:v>Published biopsies insufficient to state a reliable per-muscle percentage; no inference from function</x:v>
      </x:c>
      <x:c r="R10" s="32" t="str">
        <x:v>https://www.kenhub.com/en/library/anatomy/upper-limb-muscles-and-movements</x:v>
      </x:c>
      <x:c r="S10" s="32" t="str">
        <x:v>https://pubmed.ncbi.nlm.nih.gov/39359186/</x:v>
      </x:c>
    </x:row>
    <x:row r="11" ht="53" customHeight="1">
      <x:c r="A11" s="24" t="str">
        <x:v>Supraspinatus</x:v>
      </x:c>
      <x:c r="B11" s="24" t="str">
        <x:v>Rotator cuff</x:v>
      </x:c>
      <x:c r="C11" s="24" t="str">
        <x:v>Stabilizer</x:v>
      </x:c>
      <x:c r="D11" s="28" t="str">
        <x:v>No</x:v>
      </x:c>
      <x:c r="E11" s="28" t="str">
        <x:v>No</x:v>
      </x:c>
      <x:c r="F11" s="28" t="str">
        <x:v>Yes</x:v>
      </x:c>
      <x:c r="G11" s="24" t="str">
        <x:v>Initiates abduction; stabilizes glenohumeral joint</x:v>
      </x:c>
      <x:c r="H11" s="24" t="str">
        <x:v>Supraspinous fossa of scapula</x:v>
      </x:c>
      <x:c r="I11" s="24" t="str">
        <x:v>Superior facet of greater tubercle of humerus</x:v>
      </x:c>
      <x:c r="J11" s="24" t="str">
        <x:v>Suprascapular nerve</x:v>
      </x:c>
      <x:c r="K11" s="24" t="str">
        <x:v>C5-C6</x:v>
      </x:c>
      <x:c r="L11" s="24" t="str">
        <x:v>Supraspinatus tendon blends with shoulder capsule</x:v>
      </x:c>
      <x:c r="M11" s="24" t="str">
        <x:v>Coracoacromial arch overlies tendon, not direct attachment</x:v>
      </x:c>
      <x:c r="N11" s="30" t="str">
        <x:v>Not established</x:v>
      </x:c>
      <x:c r="O11" s="30" t="str">
        <x:v>Not established</x:v>
      </x:c>
      <x:c r="P11" s="30" t="str">
        <x:v>Mixed Type I and Type II; ratio unverified</x:v>
      </x:c>
      <x:c r="Q11" s="24" t="str">
        <x:v>Published biopsies insufficient to state a reliable per-muscle percentage; no inference from function</x:v>
      </x:c>
      <x:c r="R11" s="32" t="str">
        <x:v>https://www.kenhub.com/en/library/anatomy/upper-limb-muscles-and-movements</x:v>
      </x:c>
      <x:c r="S11" s="32" t="str">
        <x:v>https://pubmed.ncbi.nlm.nih.gov/39359186/</x:v>
      </x:c>
    </x:row>
    <x:row r="12" ht="53" customHeight="1">
      <x:c r="A12" s="24" t="str">
        <x:v>Teres minor</x:v>
      </x:c>
      <x:c r="B12" s="24" t="str">
        <x:v>Rotator cuff</x:v>
      </x:c>
      <x:c r="C12" s="24" t="str">
        <x:v>Stabilizer</x:v>
      </x:c>
      <x:c r="D12" s="28" t="str">
        <x:v>No</x:v>
      </x:c>
      <x:c r="E12" s="28" t="str">
        <x:v>No</x:v>
      </x:c>
      <x:c r="F12" s="28" t="str">
        <x:v>Yes</x:v>
      </x:c>
      <x:c r="G12" s="24" t="str">
        <x:v>External rotation; weak adduction; shoulder stabilization</x:v>
      </x:c>
      <x:c r="H12" s="24" t="str">
        <x:v>Upper two-thirds lateral border of scapula</x:v>
      </x:c>
      <x:c r="I12" s="24" t="str">
        <x:v>Inferior facet of greater tubercle of humerus</x:v>
      </x:c>
      <x:c r="J12" s="24" t="str">
        <x:v>Axillary nerve</x:v>
      </x:c>
      <x:c r="K12" s="24" t="str">
        <x:v>C5-C6</x:v>
      </x:c>
      <x:c r="L12" s="24" t="str">
        <x:v>Teres minor tendon blends with capsule</x:v>
      </x:c>
      <x:c r="M12" s="24" t="str">
        <x:v>Glenohumeral capsular ligament complex, adjacent</x:v>
      </x:c>
      <x:c r="N12" s="30" t="str">
        <x:v>Not established</x:v>
      </x:c>
      <x:c r="O12" s="30" t="str">
        <x:v>Not established</x:v>
      </x:c>
      <x:c r="P12" s="30" t="str">
        <x:v>Mixed Type I and Type II; ratio unverified</x:v>
      </x:c>
      <x:c r="Q12" s="24" t="str">
        <x:v>Published biopsies insufficient to state a reliable per-muscle percentage; no inference from function</x:v>
      </x:c>
      <x:c r="R12" s="32" t="str">
        <x:v>https://www.kenhub.com/en/library/anatomy/upper-limb-muscles-and-movements</x:v>
      </x:c>
      <x:c r="S12" s="32" t="str">
        <x:v>https://pubmed.ncbi.nlm.nih.gov/39359186/</x:v>
      </x:c>
    </x:row>
    <x:row r="13" ht="53" customHeight="1">
      <x:c r="A13" s="24" t="str">
        <x:v>Levator scapulae</x:v>
      </x:c>
      <x:c r="B13" s="24" t="str">
        <x:v>Shoulder girdle</x:v>
      </x:c>
      <x:c r="C13" s="24" t="str">
        <x:v>Stabilizer</x:v>
      </x:c>
      <x:c r="D13" s="28" t="str">
        <x:v>No</x:v>
      </x:c>
      <x:c r="E13" s="28" t="str">
        <x:v>No</x:v>
      </x:c>
      <x:c r="F13" s="28" t="str">
        <x:v>Yes</x:v>
      </x:c>
      <x:c r="G13" s="24" t="str">
        <x:v>Elevates/downwardly rotates scapula; neck lateral flexion</x:v>
      </x:c>
      <x:c r="H13" s="24" t="str">
        <x:v>Posterior tubercles transverse processes C1-C4</x:v>
      </x:c>
      <x:c r="I13" s="24" t="str">
        <x:v>Superior medial border of scapula</x:v>
      </x:c>
      <x:c r="J13" s="24" t="str">
        <x:v>Dorsal scapular nerve; cervical plexus branches</x:v>
      </x:c>
      <x:c r="K13" s="24" t="str">
        <x:v>C3-C5</x:v>
      </x:c>
      <x:c r="L13" s="24" t="str">
        <x:v>Short aponeurotic scapular attachment</x:v>
      </x:c>
      <x:c r="M13" s="24" t="str">
        <x:v>Nuchal ligament adjacent, not primary attachment</x:v>
      </x:c>
      <x:c r="N13" s="30" t="str">
        <x:v>Not established</x:v>
      </x:c>
      <x:c r="O13" s="30" t="str">
        <x:v>Not established</x:v>
      </x:c>
      <x:c r="P13" s="30" t="str">
        <x:v>Mixed Type I and Type II; ratio unverified</x:v>
      </x:c>
      <x:c r="Q13" s="24" t="str">
        <x:v>Published biopsies insufficient to state a reliable per-muscle percentage; no inference from function</x:v>
      </x:c>
      <x:c r="R13" s="32" t="str">
        <x:v>https://www.kenhub.com/en/library/anatomy/upper-limb-muscles-and-movements</x:v>
      </x:c>
      <x:c r="S13" s="32" t="str">
        <x:v>https://pubmed.ncbi.nlm.nih.gov/39359186/</x:v>
      </x:c>
    </x:row>
    <x:row r="14" ht="53" customHeight="1">
      <x:c r="A14" s="24" t="str">
        <x:v>Rhomboid major</x:v>
      </x:c>
      <x:c r="B14" s="24" t="str">
        <x:v>Shoulder girdle</x:v>
      </x:c>
      <x:c r="C14" s="24" t="str">
        <x:v>Stabilizer</x:v>
      </x:c>
      <x:c r="D14" s="28" t="str">
        <x:v>No</x:v>
      </x:c>
      <x:c r="E14" s="28" t="str">
        <x:v>No</x:v>
      </x:c>
      <x:c r="F14" s="28" t="str">
        <x:v>Yes</x:v>
      </x:c>
      <x:c r="G14" s="24" t="str">
        <x:v>Retracts and downwardly rotates scapula; fixation</x:v>
      </x:c>
      <x:c r="H14" s="24" t="str">
        <x:v>T2-T5 spinous processes</x:v>
      </x:c>
      <x:c r="I14" s="24" t="str">
        <x:v>Medial border scapula from spine to inferior angle</x:v>
      </x:c>
      <x:c r="J14" s="24" t="str">
        <x:v>Dorsal scapular nerve</x:v>
      </x:c>
      <x:c r="K14" s="24" t="str">
        <x:v>C4-C5</x:v>
      </x:c>
      <x:c r="L14" s="24" t="str">
        <x:v>Fibrous scapular insertion</x:v>
      </x:c>
      <x:c r="M14" s="24" t="str">
        <x:v>No specific direct ligament attachment</x:v>
      </x:c>
      <x:c r="N14" s="30" t="str">
        <x:v>Not established</x:v>
      </x:c>
      <x:c r="O14" s="30" t="str">
        <x:v>Not established</x:v>
      </x:c>
      <x:c r="P14" s="30" t="str">
        <x:v>Mixed Type I and Type II; ratio unverified</x:v>
      </x:c>
      <x:c r="Q14" s="24" t="str">
        <x:v>Published biopsies insufficient to state a reliable per-muscle percentage; no inference from function</x:v>
      </x:c>
      <x:c r="R14" s="32" t="str">
        <x:v>https://www.kenhub.com/en/library/anatomy/upper-limb-muscles-and-movements</x:v>
      </x:c>
      <x:c r="S14" s="32" t="str">
        <x:v>https://pubmed.ncbi.nlm.nih.gov/39359186/</x:v>
      </x:c>
    </x:row>
    <x:row r="15" ht="53" customHeight="1">
      <x:c r="A15" s="24" t="str">
        <x:v>Rhomboid minor</x:v>
      </x:c>
      <x:c r="B15" s="24" t="str">
        <x:v>Shoulder girdle</x:v>
      </x:c>
      <x:c r="C15" s="24" t="str">
        <x:v>Stabilizer</x:v>
      </x:c>
      <x:c r="D15" s="28" t="str">
        <x:v>No</x:v>
      </x:c>
      <x:c r="E15" s="28" t="str">
        <x:v>No</x:v>
      </x:c>
      <x:c r="F15" s="28" t="str">
        <x:v>Yes</x:v>
      </x:c>
      <x:c r="G15" s="24" t="str">
        <x:v>Retracts, elevates, downwardly rotates scapula</x:v>
      </x:c>
      <x:c r="H15" s="24" t="str">
        <x:v>Nuchal ligament; C7-T1 spinous processes</x:v>
      </x:c>
      <x:c r="I15" s="24" t="str">
        <x:v>Medial border scapula at root of spine</x:v>
      </x:c>
      <x:c r="J15" s="24" t="str">
        <x:v>Dorsal scapular nerve</x:v>
      </x:c>
      <x:c r="K15" s="24" t="str">
        <x:v>C4-C5</x:v>
      </x:c>
      <x:c r="L15" s="24" t="str">
        <x:v>Fibrous insertion slips</x:v>
      </x:c>
      <x:c r="M15" s="24" t="str">
        <x:v>Direct origin from nuchal ligament</x:v>
      </x:c>
      <x:c r="N15" s="30" t="str">
        <x:v>Not established</x:v>
      </x:c>
      <x:c r="O15" s="30" t="str">
        <x:v>Not established</x:v>
      </x:c>
      <x:c r="P15" s="30" t="str">
        <x:v>Mixed Type I and Type II; ratio unverified</x:v>
      </x:c>
      <x:c r="Q15" s="24" t="str">
        <x:v>Published biopsies insufficient to state a reliable per-muscle percentage; no inference from function</x:v>
      </x:c>
      <x:c r="R15" s="32" t="str">
        <x:v>https://www.kenhub.com/en/library/anatomy/upper-limb-muscles-and-movements</x:v>
      </x:c>
      <x:c r="S15" s="32" t="str">
        <x:v>https://pubmed.ncbi.nlm.nih.gov/39359186/</x:v>
      </x:c>
    </x:row>
    <x:row r="16" ht="53" customHeight="1">
      <x:c r="A16" s="24" t="str">
        <x:v>Deltoid</x:v>
      </x:c>
      <x:c r="B16" s="24" t="str">
        <x:v>Shoulder lateral</x:v>
      </x:c>
      <x:c r="C16" s="24" t="str">
        <x:v>Flexor; Extensor; Stabilizer</x:v>
      </x:c>
      <x:c r="D16" s="28" t="str">
        <x:v>Yes</x:v>
      </x:c>
      <x:c r="E16" s="28" t="str">
        <x:v>Yes</x:v>
      </x:c>
      <x:c r="F16" s="28" t="str">
        <x:v>Yes</x:v>
      </x:c>
      <x:c r="G16" s="24" t="str">
        <x:v>Abducts arm; anterior fibers flex/medially rotate; posterior fibers extend/laterally rotate</x:v>
      </x:c>
      <x:c r="H16" s="24" t="str">
        <x:v>Lateral third clavicle; acromion; scapular spine</x:v>
      </x:c>
      <x:c r="I16" s="24" t="str">
        <x:v>Deltoid tuberosity of humerus</x:v>
      </x:c>
      <x:c r="J16" s="24" t="str">
        <x:v>Axillary nerve</x:v>
      </x:c>
      <x:c r="K16" s="24" t="str">
        <x:v>C5-C6</x:v>
      </x:c>
      <x:c r="L16" s="24" t="str">
        <x:v>Deltoid insertion tendon</x:v>
      </x:c>
      <x:c r="M16" s="24" t="str">
        <x:v>Coracoacromial ligament overlies cuff, not direct attachment</x:v>
      </x:c>
      <x:c r="N16" s="30" t="str">
        <x:v>Not established</x:v>
      </x:c>
      <x:c r="O16" s="30" t="str">
        <x:v>Not established</x:v>
      </x:c>
      <x:c r="P16" s="30" t="str">
        <x:v>Mixed Type I and Type II; ratio unverified</x:v>
      </x:c>
      <x:c r="Q16" s="24" t="str">
        <x:v>Published biopsies insufficient to state a reliable per-muscle percentage; no inference from function</x:v>
      </x:c>
      <x:c r="R16" s="32" t="str">
        <x:v>https://www.kenhub.com/en/library/anatomy/upper-limb-muscles-and-movements</x:v>
      </x:c>
      <x:c r="S16" s="32" t="str">
        <x:v>https://pubmed.ncbi.nlm.nih.gov/39359186/</x:v>
      </x:c>
    </x:row>
    <x:row r="17" ht="53" customHeight="1">
      <x:c r="A17" s="24" t="str">
        <x:v>Trapezius</x:v>
      </x:c>
      <x:c r="B17" s="24" t="str">
        <x:v>Superficial back / scapula</x:v>
      </x:c>
      <x:c r="C17" s="24" t="str">
        <x:v>Stabilizer</x:v>
      </x:c>
      <x:c r="D17" s="28" t="str">
        <x:v>No</x:v>
      </x:c>
      <x:c r="E17" s="28" t="str">
        <x:v>No</x:v>
      </x:c>
      <x:c r="F17" s="28" t="str">
        <x:v>Yes</x:v>
      </x:c>
      <x:c r="G17" s="24" t="str">
        <x:v>Elevates/retracts/depresses and upwardly rotates scapula</x:v>
      </x:c>
      <x:c r="H17" s="24" t="str">
        <x:v>Medial superior nuchal line; external occipital protuberance; nuchal ligament; C7-T12 spinous processes</x:v>
      </x:c>
      <x:c r="I17" s="24" t="str">
        <x:v>Lateral clavicle; acromion; spine of scapula</x:v>
      </x:c>
      <x:c r="J17" s="24" t="str">
        <x:v>Spinal accessory nerve CN XI (motor); cervical plexus proprioception</x:v>
      </x:c>
      <x:c r="K17" s="24" t="str">
        <x:v>CN XI (spinal nucleus C1-C5); C3-C4 sensory</x:v>
      </x:c>
      <x:c r="L17" s="24" t="str">
        <x:v>Broad aponeuroses and scapular/clavicular tendinous insertions</x:v>
      </x:c>
      <x:c r="M17" s="24" t="str">
        <x:v>Nuchal ligament direct origin</x:v>
      </x:c>
      <x:c r="N17" s="30" t="str">
        <x:v>Not established</x:v>
      </x:c>
      <x:c r="O17" s="30" t="str">
        <x:v>Not established</x:v>
      </x:c>
      <x:c r="P17" s="30" t="str">
        <x:v>Mixed Type I and Type II; ratio unverified</x:v>
      </x:c>
      <x:c r="Q17" s="24" t="str">
        <x:v>Published biopsies insufficient to state a reliable per-muscle percentage; no inference from function</x:v>
      </x:c>
      <x:c r="R17" s="32" t="str">
        <x:v>https://www.kenhub.com/en/library/anatomy/upper-limb-muscles-and-movements</x:v>
      </x:c>
      <x:c r="S17" s="32" t="str">
        <x:v>https://pubmed.ncbi.nlm.nih.gov/39359186/</x:v>
      </x:c>
    </x:row>
    <x:row r="18" ht="53" customHeight="1">
      <x:c r="A18" s="24" t="str">
        <x:v>Serratus anterior</x:v>
      </x:c>
      <x:c r="B18" s="24" t="str">
        <x:v>Thoracic scapular</x:v>
      </x:c>
      <x:c r="C18" s="24" t="str">
        <x:v>Stabilizer</x:v>
      </x:c>
      <x:c r="D18" s="28" t="str">
        <x:v>No</x:v>
      </x:c>
      <x:c r="E18" s="28" t="str">
        <x:v>No</x:v>
      </x:c>
      <x:c r="F18" s="28" t="str">
        <x:v>Yes</x:v>
      </x:c>
      <x:c r="G18" s="24" t="str">
        <x:v>Protracts and upwardly rotates scapula; holds it against thorax</x:v>
      </x:c>
      <x:c r="H18" s="24" t="str">
        <x:v>Lateral surfaces ribs 1-8/9</x:v>
      </x:c>
      <x:c r="I18" s="24" t="str">
        <x:v>Anterior medial border of scapula, especially inferior angle</x:v>
      </x:c>
      <x:c r="J18" s="24" t="str">
        <x:v>Long thoracic nerve</x:v>
      </x:c>
      <x:c r="K18" s="24" t="str">
        <x:v>C5-C7</x:v>
      </x:c>
      <x:c r="L18" s="24" t="str">
        <x:v>Muscular/slip attachments; no dominant distal tendon</x:v>
      </x:c>
      <x:c r="M18" s="24" t="str">
        <x:v>No specific direct ligament attachment</x:v>
      </x:c>
      <x:c r="N18" s="30" t="str">
        <x:v>Not established</x:v>
      </x:c>
      <x:c r="O18" s="30" t="str">
        <x:v>Not established</x:v>
      </x:c>
      <x:c r="P18" s="30" t="str">
        <x:v>Mixed Type I and Type II; ratio unverified</x:v>
      </x:c>
      <x:c r="Q18" s="24" t="str">
        <x:v>Published biopsies insufficient to state a reliable per-muscle percentage; no inference from function</x:v>
      </x:c>
      <x:c r="R18" s="32" t="str">
        <x:v>https://www.kenhub.com/en/library/anatomy/upper-limb-muscles-and-movements</x:v>
      </x:c>
      <x:c r="S18" s="32" t="str">
        <x:v>https://pubmed.ncbi.nlm.nih.gov/39359186/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9468437ba52640c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ARM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9 detailed entries | attachments and motor innervation | nearby versus direct ligament relationships explicitly indicated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Biceps brachii long head</x:v>
      </x:c>
      <x:c r="B4" s="24" t="str">
        <x:v>Anterior arm</x:v>
      </x:c>
      <x:c r="C4" s="24" t="str">
        <x:v>Flexor; Stabilizer</x:v>
      </x:c>
      <x:c r="D4" s="28" t="str">
        <x:v>Yes</x:v>
      </x:c>
      <x:c r="E4" s="28" t="str">
        <x:v>No</x:v>
      </x:c>
      <x:c r="F4" s="28" t="str">
        <x:v>Yes</x:v>
      </x:c>
      <x:c r="G4" s="24" t="str">
        <x:v>Elbow flexion and supination; assists shoulder flexion</x:v>
      </x:c>
      <x:c r="H4" s="24" t="str">
        <x:v>Supraglenoid tubercle of scapula and superior labrum</x:v>
      </x:c>
      <x:c r="I4" s="24" t="str">
        <x:v>Radial tuberosity; forearm fascia via bicipital aponeurosis</x:v>
      </x:c>
      <x:c r="J4" s="24" t="str">
        <x:v>Musculocutaneous nerve</x:v>
      </x:c>
      <x:c r="K4" s="24" t="str">
        <x:v>C5-C6</x:v>
      </x:c>
      <x:c r="L4" s="24" t="str">
        <x:v>Long-head proximal tendon; distal biceps tendon; bicipital aponeurosis</x:v>
      </x:c>
      <x:c r="M4" s="24" t="str">
        <x:v>Transverse humeral ligament overlies proximal tendon in groove</x:v>
      </x:c>
      <x:c r="N4" s="30" t="str">
        <x:v>Not established</x:v>
      </x:c>
      <x:c r="O4" s="30" t="str">
        <x:v>Not established</x:v>
      </x:c>
      <x:c r="P4" s="30" t="str">
        <x:v>Mixed Type I and Type II; ratio unverified</x:v>
      </x:c>
      <x:c r="Q4" s="24" t="str">
        <x:v>Published biopsies insufficient to state a reliable per-muscle percentage; no inference from function</x:v>
      </x:c>
      <x:c r="R4" s="32" t="str">
        <x:v>https://www.kenhub.com/en/library/anatomy/upper-limb-muscles-and-movements</x:v>
      </x:c>
      <x:c r="S4" s="32" t="str">
        <x:v>https://pubmed.ncbi.nlm.nih.gov/39359186/</x:v>
      </x:c>
    </x:row>
    <x:row r="5" ht="53" customHeight="1">
      <x:c r="A5" s="24" t="str">
        <x:v>Biceps brachii short head</x:v>
      </x:c>
      <x:c r="B5" s="24" t="str">
        <x:v>Anterior arm</x:v>
      </x:c>
      <x:c r="C5" s="24" t="str">
        <x:v>Flexor</x:v>
      </x:c>
      <x:c r="D5" s="28" t="str">
        <x:v>Yes</x:v>
      </x:c>
      <x:c r="E5" s="28" t="str">
        <x:v>No</x:v>
      </x:c>
      <x:c r="F5" s="28" t="str">
        <x:v>No</x:v>
      </x:c>
      <x:c r="G5" s="24" t="str">
        <x:v>Elbow flexion and supination; shoulder flexion</x:v>
      </x:c>
      <x:c r="H5" s="24" t="str">
        <x:v>Coracoid process of scapula</x:v>
      </x:c>
      <x:c r="I5" s="24" t="str">
        <x:v>Radial tuberosity; forearm fascia via bicipital aponeurosis</x:v>
      </x:c>
      <x:c r="J5" s="24" t="str">
        <x:v>Musculocutaneous nerve</x:v>
      </x:c>
      <x:c r="K5" s="24" t="str">
        <x:v>C5-C6</x:v>
      </x:c>
      <x:c r="L5" s="24" t="str">
        <x:v>Conjoined proximal tendon; common distal biceps tendon</x:v>
      </x:c>
      <x:c r="M5" s="24" t="str">
        <x:v>Coracoclavicular ligaments near coracoid, no direct attachment</x:v>
      </x:c>
      <x:c r="N5" s="30" t="str">
        <x:v>Not established</x:v>
      </x:c>
      <x:c r="O5" s="30" t="str">
        <x:v>Not established</x:v>
      </x:c>
      <x:c r="P5" s="30" t="str">
        <x:v>Mixed Type I and Type II; ratio unverified</x:v>
      </x:c>
      <x:c r="Q5" s="24" t="str">
        <x:v>Published biopsies insufficient to state a reliable per-muscle percentage; no inference from function</x:v>
      </x:c>
      <x:c r="R5" s="32" t="str">
        <x:v>https://www.kenhub.com/en/library/anatomy/upper-limb-muscles-and-movements</x:v>
      </x:c>
      <x:c r="S5" s="32" t="str">
        <x:v>https://pubmed.ncbi.nlm.nih.gov/39359186/</x:v>
      </x:c>
    </x:row>
    <x:row r="6" ht="53" customHeight="1">
      <x:c r="A6" s="24" t="str">
        <x:v>Brachialis</x:v>
      </x:c>
      <x:c r="B6" s="24" t="str">
        <x:v>Anterior arm</x:v>
      </x:c>
      <x:c r="C6" s="24" t="str">
        <x:v>Flexor</x:v>
      </x:c>
      <x:c r="D6" s="28" t="str">
        <x:v>Yes</x:v>
      </x:c>
      <x:c r="E6" s="28" t="str">
        <x:v>No</x:v>
      </x:c>
      <x:c r="F6" s="28" t="str">
        <x:v>No</x:v>
      </x:c>
      <x:c r="G6" s="24" t="str">
        <x:v>Primary elbow flexion in all forearm positions</x:v>
      </x:c>
      <x:c r="H6" s="24" t="str">
        <x:v>Distal anterior half of humerus; intermuscular septa</x:v>
      </x:c>
      <x:c r="I6" s="24" t="str">
        <x:v>Coronoid process and tuberosity of ulna</x:v>
      </x:c>
      <x:c r="J6" s="24" t="str">
        <x:v>Musculocutaneous nerve; small radial contribution to lateral part</x:v>
      </x:c>
      <x:c r="K6" s="24" t="str">
        <x:v>C5-C6 (occasional C7 radial)</x:v>
      </x:c>
      <x:c r="L6" s="24" t="str">
        <x:v>Brachialis insertion tendon</x:v>
      </x:c>
      <x:c r="M6" s="24" t="str">
        <x:v>Anterior elbow capsule intimate with deep fibers</x:v>
      </x:c>
      <x:c r="N6" s="30" t="str">
        <x:v>Not established</x:v>
      </x:c>
      <x:c r="O6" s="30" t="str">
        <x:v>Not established</x:v>
      </x:c>
      <x:c r="P6" s="30" t="str">
        <x:v>Mixed Type I and Type II; ratio unverified</x:v>
      </x:c>
      <x:c r="Q6" s="24" t="str">
        <x:v>Published biopsies insufficient to state a reliable per-muscle percentage; no inference from function</x:v>
      </x:c>
      <x:c r="R6" s="32" t="str">
        <x:v>https://www.kenhub.com/en/library/anatomy/upper-limb-muscles-and-movements</x:v>
      </x:c>
      <x:c r="S6" s="32" t="str">
        <x:v>https://pubmed.ncbi.nlm.nih.gov/39359186/</x:v>
      </x:c>
    </x:row>
    <x:row r="7" ht="53" customHeight="1">
      <x:c r="A7" s="24" t="str">
        <x:v>Coracobrachialis</x:v>
      </x:c>
      <x:c r="B7" s="24" t="str">
        <x:v>Anterior arm</x:v>
      </x:c>
      <x:c r="C7" s="24" t="str">
        <x:v>Flexor; Stabilizer</x:v>
      </x:c>
      <x:c r="D7" s="28" t="str">
        <x:v>Yes</x:v>
      </x:c>
      <x:c r="E7" s="28" t="str">
        <x:v>No</x:v>
      </x:c>
      <x:c r="F7" s="28" t="str">
        <x:v>Yes</x:v>
      </x:c>
      <x:c r="G7" s="24" t="str">
        <x:v>Flexes and adducts shoulder; resists dislocation</x:v>
      </x:c>
      <x:c r="H7" s="24" t="str">
        <x:v>Coracoid process of scapula</x:v>
      </x:c>
      <x:c r="I7" s="24" t="str">
        <x:v>Middle third medial humeral shaft</x:v>
      </x:c>
      <x:c r="J7" s="24" t="str">
        <x:v>Musculocutaneous nerve</x:v>
      </x:c>
      <x:c r="K7" s="24" t="str">
        <x:v>C5-C7</x:v>
      </x:c>
      <x:c r="L7" s="24" t="str">
        <x:v>Proximal conjoint tendon; distal tendinous insertion</x:v>
      </x:c>
      <x:c r="M7" s="24" t="str">
        <x:v>Coracoclavicular ligaments share coracoid vicinity</x:v>
      </x:c>
      <x:c r="N7" s="30" t="str">
        <x:v>Not established</x:v>
      </x:c>
      <x:c r="O7" s="30" t="str">
        <x:v>Not established</x:v>
      </x:c>
      <x:c r="P7" s="30" t="str">
        <x:v>Mixed Type I and Type II; ratio unverified</x:v>
      </x:c>
      <x:c r="Q7" s="24" t="str">
        <x:v>Published biopsies insufficient to state a reliable per-muscle percentage; no inference from function</x:v>
      </x:c>
      <x:c r="R7" s="32" t="str">
        <x:v>https://www.kenhub.com/en/library/anatomy/upper-limb-muscles-and-movements</x:v>
      </x:c>
      <x:c r="S7" s="32" t="str">
        <x:v>https://pubmed.ncbi.nlm.nih.gov/39359186/</x:v>
      </x:c>
    </x:row>
    <x:row r="8" ht="53" customHeight="1">
      <x:c r="A8" s="24" t="str">
        <x:v>Articularis cubiti</x:v>
      </x:c>
      <x:c r="B8" s="24" t="str">
        <x:v>Deep posterior elbow</x:v>
      </x:c>
      <x:c r="C8" s="24" t="str">
        <x:v>Stabilizer</x:v>
      </x:c>
      <x:c r="D8" s="28" t="str">
        <x:v>No</x:v>
      </x:c>
      <x:c r="E8" s="28" t="str">
        <x:v>No</x:v>
      </x:c>
      <x:c r="F8" s="28" t="str">
        <x:v>Yes</x:v>
      </x:c>
      <x:c r="G8" s="24" t="str">
        <x:v>Retracts joint capsule during elbow extension</x:v>
      </x:c>
      <x:c r="H8" s="24" t="str">
        <x:v>Distal posterior humerus near olecranon fossa</x:v>
      </x:c>
      <x:c r="I8" s="24" t="str">
        <x:v>Posterior capsule of elbow joint</x:v>
      </x:c>
      <x:c r="J8" s="24" t="str">
        <x:v>Radial nerve branch to triceps</x:v>
      </x:c>
      <x:c r="K8" s="24" t="str">
        <x:v>C7-C8 (variable)</x:v>
      </x:c>
      <x:c r="L8" s="24" t="str">
        <x:v>Fibers to posterior joint capsule</x:v>
      </x:c>
      <x:c r="M8" s="24" t="str">
        <x:v>Posterior capsular ligaments continuous with insertion</x:v>
      </x:c>
      <x:c r="N8" s="30" t="str">
        <x:v>Not established</x:v>
      </x:c>
      <x:c r="O8" s="30" t="str">
        <x:v>Not established</x:v>
      </x:c>
      <x:c r="P8" s="30" t="str">
        <x:v>Mixed Type I and Type II; ratio unverified</x:v>
      </x:c>
      <x:c r="Q8" s="24" t="str">
        <x:v>Published biopsies insufficient to state a reliable per-muscle percentage; no inference from function</x:v>
      </x:c>
      <x:c r="R8" s="32" t="str">
        <x:v>https://www.kenhub.com/en/library/anatomy/upper-limb-muscles-and-movements</x:v>
      </x:c>
      <x:c r="S8" s="32" t="str">
        <x:v>https://pubmed.ncbi.nlm.nih.gov/39359186/</x:v>
      </x:c>
    </x:row>
    <x:row r="9" ht="53" customHeight="1">
      <x:c r="A9" s="24" t="str">
        <x:v>Triceps brachii lateral head</x:v>
      </x:c>
      <x:c r="B9" s="24" t="str">
        <x:v>Posterior arm</x:v>
      </x:c>
      <x:c r="C9" s="24" t="str">
        <x:v>Extensor</x:v>
      </x:c>
      <x:c r="D9" s="28" t="str">
        <x:v>No</x:v>
      </x:c>
      <x:c r="E9" s="28" t="str">
        <x:v>Yes</x:v>
      </x:c>
      <x:c r="F9" s="28" t="str">
        <x:v>No</x:v>
      </x:c>
      <x:c r="G9" s="24" t="str">
        <x:v>Powerful elbow extension</x:v>
      </x:c>
      <x:c r="H9" s="24" t="str">
        <x:v>Posterior humerus superior to radial groove</x:v>
      </x:c>
      <x:c r="I9" s="24" t="str">
        <x:v>Olecranon via common tendon</x:v>
      </x:c>
      <x:c r="J9" s="24" t="str">
        <x:v>Radial nerve</x:v>
      </x:c>
      <x:c r="K9" s="24" t="str">
        <x:v>C6-C8</x:v>
      </x:c>
      <x:c r="L9" s="24" t="str">
        <x:v>Common triceps tendon</x:v>
      </x:c>
      <x:c r="M9" s="24" t="str">
        <x:v>Posterior elbow capsule nearby</x:v>
      </x:c>
      <x:c r="N9" s="30" t="str">
        <x:v>30–40% (whole triceps literature estimate)</x:v>
      </x:c>
      <x:c r="O9" s="30" t="str">
        <x:v>60–70% (complement, approximate)</x:v>
      </x:c>
      <x:c r="P9" s="30" t="str">
        <x:v>Type II-rich relative to soleus</x:v>
      </x:c>
      <x:c r="Q9" s="24" t="str">
        <x:v>Whole-muscle range; individual heads not measured separately in cited overview</x:v>
      </x:c>
      <x:c r="R9" s="32" t="str">
        <x:v>https://www.kenhub.com/en/library/anatomy/upper-limb-muscles-and-movements</x:v>
      </x:c>
      <x:c r="S9" s="32" t="str">
        <x:v>https://journals.physiology.org/doi/full/10.1152/japplphysiol.00394.2024</x:v>
      </x:c>
    </x:row>
    <x:row r="10" ht="53" customHeight="1">
      <x:c r="A10" s="24" t="str">
        <x:v>Triceps brachii long head</x:v>
      </x:c>
      <x:c r="B10" s="24" t="str">
        <x:v>Posterior arm</x:v>
      </x:c>
      <x:c r="C10" s="24" t="str">
        <x:v>Extensor; Stabilizer</x:v>
      </x:c>
      <x:c r="D10" s="28" t="str">
        <x:v>No</x:v>
      </x:c>
      <x:c r="E10" s="28" t="str">
        <x:v>Yes</x:v>
      </x:c>
      <x:c r="F10" s="28" t="str">
        <x:v>Yes</x:v>
      </x:c>
      <x:c r="G10" s="24" t="str">
        <x:v>Extends elbow; extends/adducts shoulder; stabilizes shoulder</x:v>
      </x:c>
      <x:c r="H10" s="24" t="str">
        <x:v>Infraglenoid tubercle of scapula</x:v>
      </x:c>
      <x:c r="I10" s="24" t="str">
        <x:v>Olecranon of ulna and deep fascia</x:v>
      </x:c>
      <x:c r="J10" s="24" t="str">
        <x:v>Radial nerve</x:v>
      </x:c>
      <x:c r="K10" s="24" t="str">
        <x:v>C6-C8</x:v>
      </x:c>
      <x:c r="L10" s="24" t="str">
        <x:v>Common triceps tendon to olecranon</x:v>
      </x:c>
      <x:c r="M10" s="24" t="str">
        <x:v>Posterior elbow joint capsule adjacent</x:v>
      </x:c>
      <x:c r="N10" s="30" t="str">
        <x:v>30–40% (whole triceps literature estimate)</x:v>
      </x:c>
      <x:c r="O10" s="30" t="str">
        <x:v>60–70% (complement, approximate)</x:v>
      </x:c>
      <x:c r="P10" s="30" t="str">
        <x:v>Type II-rich relative to soleus</x:v>
      </x:c>
      <x:c r="Q10" s="24" t="str">
        <x:v>Value published for triceps brachii overall, not specifically this head</x:v>
      </x:c>
      <x:c r="R10" s="32" t="str">
        <x:v>https://www.kenhub.com/en/library/anatomy/upper-limb-muscles-and-movements</x:v>
      </x:c>
      <x:c r="S10" s="32" t="str">
        <x:v>https://journals.physiology.org/doi/full/10.1152/japplphysiol.00394.2024</x:v>
      </x:c>
    </x:row>
    <x:row r="11" ht="53" customHeight="1">
      <x:c r="A11" s="24" t="str">
        <x:v>Triceps brachii medial head</x:v>
      </x:c>
      <x:c r="B11" s="24" t="str">
        <x:v>Posterior arm</x:v>
      </x:c>
      <x:c r="C11" s="24" t="str">
        <x:v>Extensor</x:v>
      </x:c>
      <x:c r="D11" s="28" t="str">
        <x:v>No</x:v>
      </x:c>
      <x:c r="E11" s="28" t="str">
        <x:v>Yes</x:v>
      </x:c>
      <x:c r="F11" s="28" t="str">
        <x:v>No</x:v>
      </x:c>
      <x:c r="G11" s="24" t="str">
        <x:v>Elbow extension, especially against resistance</x:v>
      </x:c>
      <x:c r="H11" s="24" t="str">
        <x:v>Posterior humerus inferior to radial groove</x:v>
      </x:c>
      <x:c r="I11" s="24" t="str">
        <x:v>Olecranon via common tendon</x:v>
      </x:c>
      <x:c r="J11" s="24" t="str">
        <x:v>Radial nerve</x:v>
      </x:c>
      <x:c r="K11" s="24" t="str">
        <x:v>C7-C8</x:v>
      </x:c>
      <x:c r="L11" s="24" t="str">
        <x:v>Common triceps tendon</x:v>
      </x:c>
      <x:c r="M11" s="24" t="str">
        <x:v>Posterior elbow capsule nearby</x:v>
      </x:c>
      <x:c r="N11" s="30" t="str">
        <x:v>30–40% (whole triceps literature estimate)</x:v>
      </x:c>
      <x:c r="O11" s="30" t="str">
        <x:v>60–70% (complement, approximate)</x:v>
      </x:c>
      <x:c r="P11" s="30" t="str">
        <x:v>Type II-rich relative to soleus</x:v>
      </x:c>
      <x:c r="Q11" s="24" t="str">
        <x:v>Whole-muscle range; individual heads may differ</x:v>
      </x:c>
      <x:c r="R11" s="32" t="str">
        <x:v>https://www.kenhub.com/en/library/anatomy/upper-limb-muscles-and-movements</x:v>
      </x:c>
      <x:c r="S11" s="32" t="str">
        <x:v>https://journals.physiology.org/doi/full/10.1152/japplphysiol.00394.2024</x:v>
      </x:c>
    </x:row>
    <x:row r="12" ht="53" customHeight="1">
      <x:c r="A12" s="24" t="str">
        <x:v>Anconeus</x:v>
      </x:c>
      <x:c r="B12" s="24" t="str">
        <x:v>Posterolateral elbow</x:v>
      </x:c>
      <x:c r="C12" s="24" t="str">
        <x:v>Extensor; Stabilizer</x:v>
      </x:c>
      <x:c r="D12" s="28" t="str">
        <x:v>No</x:v>
      </x:c>
      <x:c r="E12" s="28" t="str">
        <x:v>Yes</x:v>
      </x:c>
      <x:c r="F12" s="28" t="str">
        <x:v>Yes</x:v>
      </x:c>
      <x:c r="G12" s="24" t="str">
        <x:v>Assists elbow extension; stabilizes elbow</x:v>
      </x:c>
      <x:c r="H12" s="24" t="str">
        <x:v>Lateral epicondyle of humerus</x:v>
      </x:c>
      <x:c r="I12" s="24" t="str">
        <x:v>Lateral olecranon and proximal posterior ulna</x:v>
      </x:c>
      <x:c r="J12" s="24" t="str">
        <x:v>Radial nerve</x:v>
      </x:c>
      <x:c r="K12" s="24" t="str">
        <x:v>C7-T1</x:v>
      </x:c>
      <x:c r="L12" s="24" t="str">
        <x:v>Small proximal tendon</x:v>
      </x:c>
      <x:c r="M12" s="24" t="str">
        <x:v>Annular ligament of radius and lateral collateral ligament complex nearby</x:v>
      </x:c>
      <x:c r="N12" s="30" t="str">
        <x:v>Not established</x:v>
      </x:c>
      <x:c r="O12" s="30" t="str">
        <x:v>Not established</x:v>
      </x:c>
      <x:c r="P12" s="30" t="str">
        <x:v>Mixed Type I and Type II; ratio unverified</x:v>
      </x:c>
      <x:c r="Q12" s="24" t="str">
        <x:v>Published biopsies insufficient to state a reliable per-muscle percentage; no inference from function</x:v>
      </x:c>
      <x:c r="R12" s="32" t="str">
        <x:v>https://www.kenhub.com/en/library/anatomy/upper-limb-muscles-and-movements</x:v>
      </x:c>
      <x:c r="S12" s="32" t="str">
        <x:v>https://pubmed.ncbi.nlm.nih.gov/39359186/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4bcb8288986e4b2e"/>
  </x:tableParts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FOREARM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24 detailed entries | attachments and motor innervation | nearby versus direct ligament relationships explicitly indicated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Flexor digitorum profundus lateral portion (digits 2-3)</x:v>
      </x:c>
      <x:c r="B4" s="24" t="str">
        <x:v>Anterior deep</x:v>
      </x:c>
      <x:c r="C4" s="24" t="str">
        <x:v>Flexor</x:v>
      </x:c>
      <x:c r="D4" s="28" t="str">
        <x:v>Yes</x:v>
      </x:c>
      <x:c r="E4" s="28" t="str">
        <x:v>No</x:v>
      </x:c>
      <x:c r="F4" s="28" t="str">
        <x:v>No</x:v>
      </x:c>
      <x:c r="G4" s="24" t="str">
        <x:v>Flexes DIP joints; assists finger/wrist flexion</x:v>
      </x:c>
      <x:c r="H4" s="24" t="str">
        <x:v>Proximal 3/4 anterior/medial ulna; interosseous membrane</x:v>
      </x:c>
      <x:c r="I4" s="24" t="str">
        <x:v>Distal phalanges of digits 2-3</x:v>
      </x:c>
      <x:c r="J4" s="24" t="str">
        <x:v>Anterior interosseous nerve (median)</x:v>
      </x:c>
      <x:c r="K4" s="24" t="str">
        <x:v>C8-T1</x:v>
      </x:c>
      <x:c r="L4" s="24" t="str">
        <x:v>Deep flexor digital tendons 2-3</x:v>
      </x:c>
      <x:c r="M4" s="24" t="str">
        <x:v>Flexor retinaculum; digital annular pulleys support tendon paths</x:v>
      </x:c>
      <x:c r="N4" s="30" t="str">
        <x:v>Not established</x:v>
      </x:c>
      <x:c r="O4" s="30" t="str">
        <x:v>Not established</x:v>
      </x:c>
      <x:c r="P4" s="30" t="str">
        <x:v>Mixed Type I and Type II; ratio unverified</x:v>
      </x:c>
      <x:c r="Q4" s="24" t="str">
        <x:v>Published biopsies insufficient to state a reliable per-muscle percentage; no inference from function</x:v>
      </x:c>
      <x:c r="R4" s="32" t="str">
        <x:v>https://www.kenhub.com/en/library/anatomy/upper-limb-muscles-and-movements</x:v>
      </x:c>
      <x:c r="S4" s="32" t="str">
        <x:v>https://pubmed.ncbi.nlm.nih.gov/39359186/</x:v>
      </x:c>
    </x:row>
    <x:row r="5" ht="53" customHeight="1">
      <x:c r="A5" s="24" t="str">
        <x:v>Flexor digitorum profundus medial portion (digits 4-5)</x:v>
      </x:c>
      <x:c r="B5" s="24" t="str">
        <x:v>Anterior deep</x:v>
      </x:c>
      <x:c r="C5" s="24" t="str">
        <x:v>Flexor</x:v>
      </x:c>
      <x:c r="D5" s="28" t="str">
        <x:v>Yes</x:v>
      </x:c>
      <x:c r="E5" s="28" t="str">
        <x:v>No</x:v>
      </x:c>
      <x:c r="F5" s="28" t="str">
        <x:v>No</x:v>
      </x:c>
      <x:c r="G5" s="24" t="str">
        <x:v>Flexes DIP joints</x:v>
      </x:c>
      <x:c r="H5" s="24" t="str">
        <x:v>Proximal 3/4 anterior/medial ulna; interosseous membrane</x:v>
      </x:c>
      <x:c r="I5" s="24" t="str">
        <x:v>Distal phalanges digits 4-5</x:v>
      </x:c>
      <x:c r="J5" s="24" t="str">
        <x:v>Ulnar nerve</x:v>
      </x:c>
      <x:c r="K5" s="24" t="str">
        <x:v>C8-T1</x:v>
      </x:c>
      <x:c r="L5" s="24" t="str">
        <x:v>Deep flexor digital tendons 4-5</x:v>
      </x:c>
      <x:c r="M5" s="24" t="str">
        <x:v>Digital annular pulleys; flexor retinaculum support tendon paths</x:v>
      </x:c>
      <x:c r="N5" s="30" t="str">
        <x:v>Not established</x:v>
      </x:c>
      <x:c r="O5" s="30" t="str">
        <x:v>Not established</x:v>
      </x:c>
      <x:c r="P5" s="30" t="str">
        <x:v>Mixed Type I and Type II; ratio unverified</x:v>
      </x:c>
      <x:c r="Q5" s="24" t="str">
        <x:v>Published biopsies insufficient to state a reliable per-muscle percentage; no inference from function</x:v>
      </x:c>
      <x:c r="R5" s="32" t="str">
        <x:v>https://www.kenhub.com/en/library/anatomy/upper-limb-muscles-and-movements</x:v>
      </x:c>
      <x:c r="S5" s="32" t="str">
        <x:v>https://pubmed.ncbi.nlm.nih.gov/39359186/</x:v>
      </x:c>
    </x:row>
    <x:row r="6" ht="53" customHeight="1">
      <x:c r="A6" s="24" t="str">
        <x:v>Flexor pollicis longus</x:v>
      </x:c>
      <x:c r="B6" s="24" t="str">
        <x:v>Anterior deep</x:v>
      </x:c>
      <x:c r="C6" s="24" t="str">
        <x:v>Flexor</x:v>
      </x:c>
      <x:c r="D6" s="28" t="str">
        <x:v>Yes</x:v>
      </x:c>
      <x:c r="E6" s="28" t="str">
        <x:v>No</x:v>
      </x:c>
      <x:c r="F6" s="28" t="str">
        <x:v>No</x:v>
      </x:c>
      <x:c r="G6" s="24" t="str">
        <x:v>Flexes thumb IP joint; assists MCP flexion</x:v>
      </x:c>
      <x:c r="H6" s="24" t="str">
        <x:v>Anterior radius; adjoining interosseous membrane</x:v>
      </x:c>
      <x:c r="I6" s="24" t="str">
        <x:v>Base of distal phalanx of thumb</x:v>
      </x:c>
      <x:c r="J6" s="24" t="str">
        <x:v>Anterior interosseous nerve (median)</x:v>
      </x:c>
      <x:c r="K6" s="24" t="str">
        <x:v>C8-T1</x:v>
      </x:c>
      <x:c r="L6" s="24" t="str">
        <x:v>FPL tendon</x:v>
      </x:c>
      <x:c r="M6" s="24" t="str">
        <x:v>Flexor retinaculum and thumb pulley system guide tendon</x:v>
      </x:c>
      <x:c r="N6" s="30" t="str">
        <x:v>Not established</x:v>
      </x:c>
      <x:c r="O6" s="30" t="str">
        <x:v>Not established</x:v>
      </x:c>
      <x:c r="P6" s="30" t="str">
        <x:v>Mixed Type I and Type II; ratio unverified</x:v>
      </x:c>
      <x:c r="Q6" s="24" t="str">
        <x:v>Published biopsies insufficient to state a reliable per-muscle percentage; no inference from function</x:v>
      </x:c>
      <x:c r="R6" s="32" t="str">
        <x:v>https://www.kenhub.com/en/library/anatomy/upper-limb-muscles-and-movements</x:v>
      </x:c>
      <x:c r="S6" s="32" t="str">
        <x:v>https://pubmed.ncbi.nlm.nih.gov/39359186/</x:v>
      </x:c>
    </x:row>
    <x:row r="7" ht="53" customHeight="1">
      <x:c r="A7" s="24" t="str">
        <x:v>Pronator quadratus</x:v>
      </x:c>
      <x:c r="B7" s="24" t="str">
        <x:v>Anterior deep</x:v>
      </x:c>
      <x:c r="C7" s="24" t="str">
        <x:v>Stabilizer</x:v>
      </x:c>
      <x:c r="D7" s="28" t="str">
        <x:v>No</x:v>
      </x:c>
      <x:c r="E7" s="28" t="str">
        <x:v>No</x:v>
      </x:c>
      <x:c r="F7" s="28" t="str">
        <x:v>Yes</x:v>
      </x:c>
      <x:c r="G7" s="24" t="str">
        <x:v>Prime pronator; stabilizes distal radioulnar joint</x:v>
      </x:c>
      <x:c r="H7" s="24" t="str">
        <x:v>Distal quarter anterior ulna</x:v>
      </x:c>
      <x:c r="I7" s="24" t="str">
        <x:v>Distal quarter anterior radius</x:v>
      </x:c>
      <x:c r="J7" s="24" t="str">
        <x:v>Anterior interosseous nerve (median)</x:v>
      </x:c>
      <x:c r="K7" s="24" t="str">
        <x:v>C8-T1</x:v>
      </x:c>
      <x:c r="L7" s="24" t="str">
        <x:v>Broad muscular insertion (no distinct long tendon)</x:v>
      </x:c>
      <x:c r="M7" s="24" t="str">
        <x:v>Distal radioulnar ligaments near muscle, not direct tendon attachments</x:v>
      </x:c>
      <x:c r="N7" s="30" t="str">
        <x:v>Not established</x:v>
      </x:c>
      <x:c r="O7" s="30" t="str">
        <x:v>Not established</x:v>
      </x:c>
      <x:c r="P7" s="30" t="str">
        <x:v>Mixed Type I and Type II; ratio unverified</x:v>
      </x:c>
      <x:c r="Q7" s="24" t="str">
        <x:v>Published biopsies insufficient to state a reliable per-muscle percentage; no inference from function</x:v>
      </x:c>
      <x:c r="R7" s="32" t="str">
        <x:v>https://www.kenhub.com/en/library/anatomy/upper-limb-muscles-and-movements</x:v>
      </x:c>
      <x:c r="S7" s="32" t="str">
        <x:v>https://pubmed.ncbi.nlm.nih.gov/39359186/</x:v>
      </x:c>
    </x:row>
    <x:row r="8" ht="53" customHeight="1">
      <x:c r="A8" s="24" t="str">
        <x:v>Flexor digitorum superficialis humeroulnar head</x:v>
      </x:c>
      <x:c r="B8" s="24" t="str">
        <x:v>Anterior intermediate</x:v>
      </x:c>
      <x:c r="C8" s="24" t="str">
        <x:v>Flexor</x:v>
      </x:c>
      <x:c r="D8" s="28" t="str">
        <x:v>Yes</x:v>
      </x:c>
      <x:c r="E8" s="28" t="str">
        <x:v>No</x:v>
      </x:c>
      <x:c r="F8" s="28" t="str">
        <x:v>No</x:v>
      </x:c>
      <x:c r="G8" s="24" t="str">
        <x:v>Flexes PIP joints; assists MCP and wrist flexion</x:v>
      </x:c>
      <x:c r="H8" s="24" t="str">
        <x:v>Medial epicondyle; coronoid process ulna</x:v>
      </x:c>
      <x:c r="I8" s="24" t="str">
        <x:v>Middle phalanges of digits 2-5</x:v>
      </x:c>
      <x:c r="J8" s="24" t="str">
        <x:v>Median nerve</x:v>
      </x:c>
      <x:c r="K8" s="24" t="str">
        <x:v>C7-T1</x:v>
      </x:c>
      <x:c r="L8" s="24" t="str">
        <x:v>Four bifurcating digital flexor tendons</x:v>
      </x:c>
      <x:c r="M8" s="24" t="str">
        <x:v>Flexor retinaculum over tendons; annular pulley ligaments guide them</x:v>
      </x:c>
      <x:c r="N8" s="30" t="str">
        <x:v>Not established</x:v>
      </x:c>
      <x:c r="O8" s="30" t="str">
        <x:v>Not established</x:v>
      </x:c>
      <x:c r="P8" s="30" t="str">
        <x:v>Mixed Type I and Type II; ratio unverified</x:v>
      </x:c>
      <x:c r="Q8" s="24" t="str">
        <x:v>Published biopsies insufficient to state a reliable per-muscle percentage; no inference from function</x:v>
      </x:c>
      <x:c r="R8" s="32" t="str">
        <x:v>https://www.kenhub.com/en/library/anatomy/upper-limb-muscles-and-movements</x:v>
      </x:c>
      <x:c r="S8" s="32" t="str">
        <x:v>https://pubmed.ncbi.nlm.nih.gov/39359186/</x:v>
      </x:c>
    </x:row>
    <x:row r="9" ht="53" customHeight="1">
      <x:c r="A9" s="24" t="str">
        <x:v>Flexor digitorum superficialis radial head</x:v>
      </x:c>
      <x:c r="B9" s="24" t="str">
        <x:v>Anterior intermediate</x:v>
      </x:c>
      <x:c r="C9" s="24" t="str">
        <x:v>Flexor</x:v>
      </x:c>
      <x:c r="D9" s="28" t="str">
        <x:v>Yes</x:v>
      </x:c>
      <x:c r="E9" s="28" t="str">
        <x:v>No</x:v>
      </x:c>
      <x:c r="F9" s="28" t="str">
        <x:v>No</x:v>
      </x:c>
      <x:c r="G9" s="24" t="str">
        <x:v>Flexes PIP joints; MCP/wrist flexion</x:v>
      </x:c>
      <x:c r="H9" s="24" t="str">
        <x:v>Anterior oblique line of radius</x:v>
      </x:c>
      <x:c r="I9" s="24" t="str">
        <x:v>Middle phalanges digits 2-5</x:v>
      </x:c>
      <x:c r="J9" s="24" t="str">
        <x:v>Median nerve</x:v>
      </x:c>
      <x:c r="K9" s="24" t="str">
        <x:v>C7-T1</x:v>
      </x:c>
      <x:c r="L9" s="24" t="str">
        <x:v>Common four digital flexor tendons</x:v>
      </x:c>
      <x:c r="M9" s="24" t="str">
        <x:v>Digital annular pulleys and flexor retinaculum guide tendons</x:v>
      </x:c>
      <x:c r="N9" s="30" t="str">
        <x:v>Not established</x:v>
      </x:c>
      <x:c r="O9" s="30" t="str">
        <x:v>Not established</x:v>
      </x:c>
      <x:c r="P9" s="30" t="str">
        <x:v>Mixed Type I and Type II; ratio unverified</x:v>
      </x:c>
      <x:c r="Q9" s="24" t="str">
        <x:v>Published biopsies insufficient to state a reliable per-muscle percentage; no inference from function</x:v>
      </x:c>
      <x:c r="R9" s="32" t="str">
        <x:v>https://www.kenhub.com/en/library/anatomy/upper-limb-muscles-and-movements</x:v>
      </x:c>
      <x:c r="S9" s="32" t="str">
        <x:v>https://pubmed.ncbi.nlm.nih.gov/39359186/</x:v>
      </x:c>
    </x:row>
    <x:row r="10" ht="53" customHeight="1">
      <x:c r="A10" s="24" t="str">
        <x:v>Flexor carpi radialis</x:v>
      </x:c>
      <x:c r="B10" s="24" t="str">
        <x:v>Anterior superficial</x:v>
      </x:c>
      <x:c r="C10" s="24" t="str">
        <x:v>Flexor</x:v>
      </x:c>
      <x:c r="D10" s="28" t="str">
        <x:v>Yes</x:v>
      </x:c>
      <x:c r="E10" s="28" t="str">
        <x:v>No</x:v>
      </x:c>
      <x:c r="F10" s="28" t="str">
        <x:v>No</x:v>
      </x:c>
      <x:c r="G10" s="24" t="str">
        <x:v>Wrist flexion and radial deviation</x:v>
      </x:c>
      <x:c r="H10" s="24" t="str">
        <x:v>Medial epicondyle via common flexor tendon</x:v>
      </x:c>
      <x:c r="I10" s="24" t="str">
        <x:v>Base of metacarpal 2 (slip to 3)</x:v>
      </x:c>
      <x:c r="J10" s="24" t="str">
        <x:v>Median nerve</x:v>
      </x:c>
      <x:c r="K10" s="24" t="str">
        <x:v>C6-C7</x:v>
      </x:c>
      <x:c r="L10" s="24" t="str">
        <x:v>FCR tendon through own fibro-osseous tunnel</x:v>
      </x:c>
      <x:c r="M10" s="24" t="str">
        <x:v>Flexor retinaculum forms roof of tendon tunnel (retinaculum, not origin)</x:v>
      </x:c>
      <x:c r="N10" s="30" t="str">
        <x:v>Not established</x:v>
      </x:c>
      <x:c r="O10" s="30" t="str">
        <x:v>Not established</x:v>
      </x:c>
      <x:c r="P10" s="30" t="str">
        <x:v>Mixed Type I and Type II; ratio unverified</x:v>
      </x:c>
      <x:c r="Q10" s="24" t="str">
        <x:v>Published biopsies insufficient to state a reliable per-muscle percentage; no inference from function</x:v>
      </x:c>
      <x:c r="R10" s="32" t="str">
        <x:v>https://www.kenhub.com/en/library/anatomy/upper-limb-muscles-and-movements</x:v>
      </x:c>
      <x:c r="S10" s="32" t="str">
        <x:v>https://pubmed.ncbi.nlm.nih.gov/39359186/</x:v>
      </x:c>
    </x:row>
    <x:row r="11" ht="53" customHeight="1">
      <x:c r="A11" s="24" t="str">
        <x:v>Flexor carpi ulnaris humeral head</x:v>
      </x:c>
      <x:c r="B11" s="24" t="str">
        <x:v>Anterior superficial</x:v>
      </x:c>
      <x:c r="C11" s="24" t="str">
        <x:v>Flexor</x:v>
      </x:c>
      <x:c r="D11" s="28" t="str">
        <x:v>Yes</x:v>
      </x:c>
      <x:c r="E11" s="28" t="str">
        <x:v>No</x:v>
      </x:c>
      <x:c r="F11" s="28" t="str">
        <x:v>No</x:v>
      </x:c>
      <x:c r="G11" s="24" t="str">
        <x:v>Wrist flexion and ulnar deviation</x:v>
      </x:c>
      <x:c r="H11" s="24" t="str">
        <x:v>Medial epicondyle</x:v>
      </x:c>
      <x:c r="I11" s="24" t="str">
        <x:v>Pisiform; hook of hamate; base of metacarpal 5</x:v>
      </x:c>
      <x:c r="J11" s="24" t="str">
        <x:v>Ulnar nerve</x:v>
      </x:c>
      <x:c r="K11" s="24" t="str">
        <x:v>C8-T1</x:v>
      </x:c>
      <x:c r="L11" s="24" t="str">
        <x:v>FCU tendon; pisohamate and pisometacarpal fibrous extensions</x:v>
      </x:c>
      <x:c r="M11" s="24" t="str">
        <x:v>Pisohamate and pisometacarpal ligaments function as tendon continuations</x:v>
      </x:c>
      <x:c r="N11" s="30" t="str">
        <x:v>Not established</x:v>
      </x:c>
      <x:c r="O11" s="30" t="str">
        <x:v>Not established</x:v>
      </x:c>
      <x:c r="P11" s="30" t="str">
        <x:v>Mixed Type I and Type II; ratio unverified</x:v>
      </x:c>
      <x:c r="Q11" s="24" t="str">
        <x:v>Published biopsies insufficient to state a reliable per-muscle percentage; no inference from function</x:v>
      </x:c>
      <x:c r="R11" s="32" t="str">
        <x:v>https://www.kenhub.com/en/library/anatomy/upper-limb-muscles-and-movements</x:v>
      </x:c>
      <x:c r="S11" s="32" t="str">
        <x:v>https://pubmed.ncbi.nlm.nih.gov/39359186/</x:v>
      </x:c>
    </x:row>
    <x:row r="12" ht="53" customHeight="1">
      <x:c r="A12" s="24" t="str">
        <x:v>Flexor carpi ulnaris ulnar head</x:v>
      </x:c>
      <x:c r="B12" s="24" t="str">
        <x:v>Anterior superficial</x:v>
      </x:c>
      <x:c r="C12" s="24" t="str">
        <x:v>Flexor</x:v>
      </x:c>
      <x:c r="D12" s="28" t="str">
        <x:v>Yes</x:v>
      </x:c>
      <x:c r="E12" s="28" t="str">
        <x:v>No</x:v>
      </x:c>
      <x:c r="F12" s="28" t="str">
        <x:v>No</x:v>
      </x:c>
      <x:c r="G12" s="24" t="str">
        <x:v>Wrist flexion and ulnar deviation</x:v>
      </x:c>
      <x:c r="H12" s="24" t="str">
        <x:v>Olecranon and posterior border of ulna</x:v>
      </x:c>
      <x:c r="I12" s="24" t="str">
        <x:v>Pisiform; hook of hamate; base of metacarpal 5</x:v>
      </x:c>
      <x:c r="J12" s="24" t="str">
        <x:v>Ulnar nerve</x:v>
      </x:c>
      <x:c r="K12" s="24" t="str">
        <x:v>C8-T1</x:v>
      </x:c>
      <x:c r="L12" s="24" t="str">
        <x:v>FCU tendon via pisiform</x:v>
      </x:c>
      <x:c r="M12" s="24" t="str">
        <x:v>Pisohamate/pisometacarpal ligaments as extensions</x:v>
      </x:c>
      <x:c r="N12" s="30" t="str">
        <x:v>Not established</x:v>
      </x:c>
      <x:c r="O12" s="30" t="str">
        <x:v>Not established</x:v>
      </x:c>
      <x:c r="P12" s="30" t="str">
        <x:v>Mixed Type I and Type II; ratio unverified</x:v>
      </x:c>
      <x:c r="Q12" s="24" t="str">
        <x:v>Published biopsies insufficient to state a reliable per-muscle percentage; no inference from function</x:v>
      </x:c>
      <x:c r="R12" s="32" t="str">
        <x:v>https://www.kenhub.com/en/library/anatomy/upper-limb-muscles-and-movements</x:v>
      </x:c>
      <x:c r="S12" s="32" t="str">
        <x:v>https://pubmed.ncbi.nlm.nih.gov/39359186/</x:v>
      </x:c>
    </x:row>
    <x:row r="13" ht="53" customHeight="1">
      <x:c r="A13" s="24" t="str">
        <x:v>Palmaris longus</x:v>
      </x:c>
      <x:c r="B13" s="24" t="str">
        <x:v>Anterior superficial</x:v>
      </x:c>
      <x:c r="C13" s="24" t="str">
        <x:v>Flexor; Stabilizer</x:v>
      </x:c>
      <x:c r="D13" s="28" t="str">
        <x:v>Yes</x:v>
      </x:c>
      <x:c r="E13" s="28" t="str">
        <x:v>No</x:v>
      </x:c>
      <x:c r="F13" s="28" t="str">
        <x:v>Yes</x:v>
      </x:c>
      <x:c r="G13" s="24" t="str">
        <x:v>Weak wrist flexion; tensions palmar aponeurosis</x:v>
      </x:c>
      <x:c r="H13" s="24" t="str">
        <x:v>Medial epicondyle via common flexor tendon</x:v>
      </x:c>
      <x:c r="I13" s="24" t="str">
        <x:v>Palmar aponeurosis and flexor retinaculum</x:v>
      </x:c>
      <x:c r="J13" s="24" t="str">
        <x:v>Median nerve</x:v>
      </x:c>
      <x:c r="K13" s="24" t="str">
        <x:v>C7-C8</x:v>
      </x:c>
      <x:c r="L13" s="24" t="str">
        <x:v>Long palmaris longus tendon; palmar aponeurosis</x:v>
      </x:c>
      <x:c r="M13" s="24" t="str">
        <x:v>Flexor retinaculum direct distal attachment</x:v>
      </x:c>
      <x:c r="N13" s="30" t="str">
        <x:v>Not established</x:v>
      </x:c>
      <x:c r="O13" s="30" t="str">
        <x:v>Not established</x:v>
      </x:c>
      <x:c r="P13" s="30" t="str">
        <x:v>Mixed Type I and Type II; ratio unverified</x:v>
      </x:c>
      <x:c r="Q13" s="24" t="str">
        <x:v>Published biopsies insufficient to state a reliable per-muscle percentage; no inference from function</x:v>
      </x:c>
      <x:c r="R13" s="32" t="str">
        <x:v>https://www.kenhub.com/en/library/anatomy/upper-limb-muscles-and-movements</x:v>
      </x:c>
      <x:c r="S13" s="32" t="str">
        <x:v>https://pubmed.ncbi.nlm.nih.gov/39359186/</x:v>
      </x:c>
    </x:row>
    <x:row r="14" ht="53" customHeight="1">
      <x:c r="A14" s="24" t="str">
        <x:v>Pronator teres humeral head</x:v>
      </x:c>
      <x:c r="B14" s="24" t="str">
        <x:v>Anterior superficial</x:v>
      </x:c>
      <x:c r="C14" s="24" t="str">
        <x:v>Flexor</x:v>
      </x:c>
      <x:c r="D14" s="28" t="str">
        <x:v>Yes</x:v>
      </x:c>
      <x:c r="E14" s="28" t="str">
        <x:v>No</x:v>
      </x:c>
      <x:c r="F14" s="28" t="str">
        <x:v>No</x:v>
      </x:c>
      <x:c r="G14" s="24" t="str">
        <x:v>Forearm pronation; weak elbow flexion</x:v>
      </x:c>
      <x:c r="H14" s="24" t="str">
        <x:v>Medial epicondyle via common flexor origin</x:v>
      </x:c>
      <x:c r="I14" s="24" t="str">
        <x:v>Lateral midshaft of radius</x:v>
      </x:c>
      <x:c r="J14" s="24" t="str">
        <x:v>Median nerve</x:v>
      </x:c>
      <x:c r="K14" s="24" t="str">
        <x:v>C6-C7</x:v>
      </x:c>
      <x:c r="L14" s="24" t="str">
        <x:v>Common flexor tendon</x:v>
      </x:c>
      <x:c r="M14" s="24" t="str">
        <x:v>Ulnar collateral ligament elbow adjacent</x:v>
      </x:c>
      <x:c r="N14" s="30" t="str">
        <x:v>Not established</x:v>
      </x:c>
      <x:c r="O14" s="30" t="str">
        <x:v>Not established</x:v>
      </x:c>
      <x:c r="P14" s="30" t="str">
        <x:v>Mixed Type I and Type II; ratio unverified</x:v>
      </x:c>
      <x:c r="Q14" s="24" t="str">
        <x:v>Published biopsies insufficient to state a reliable per-muscle percentage; no inference from function</x:v>
      </x:c>
      <x:c r="R14" s="32" t="str">
        <x:v>https://www.kenhub.com/en/library/anatomy/upper-limb-muscles-and-movements</x:v>
      </x:c>
      <x:c r="S14" s="32" t="str">
        <x:v>https://pubmed.ncbi.nlm.nih.gov/39359186/</x:v>
      </x:c>
    </x:row>
    <x:row r="15" ht="53" customHeight="1">
      <x:c r="A15" s="24" t="str">
        <x:v>Pronator teres ulnar head</x:v>
      </x:c>
      <x:c r="B15" s="24" t="str">
        <x:v>Anterior superficial</x:v>
      </x:c>
      <x:c r="C15" s="24" t="str">
        <x:v>Flexor</x:v>
      </x:c>
      <x:c r="D15" s="28" t="str">
        <x:v>Yes</x:v>
      </x:c>
      <x:c r="E15" s="28" t="str">
        <x:v>No</x:v>
      </x:c>
      <x:c r="F15" s="28" t="str">
        <x:v>No</x:v>
      </x:c>
      <x:c r="G15" s="24" t="str">
        <x:v>Pronation; assists elbow flexion</x:v>
      </x:c>
      <x:c r="H15" s="24" t="str">
        <x:v>Coronoid process of ulna</x:v>
      </x:c>
      <x:c r="I15" s="24" t="str">
        <x:v>Lateral midshaft of radius</x:v>
      </x:c>
      <x:c r="J15" s="24" t="str">
        <x:v>Median nerve</x:v>
      </x:c>
      <x:c r="K15" s="24" t="str">
        <x:v>C6-C7</x:v>
      </x:c>
      <x:c r="L15" s="24" t="str">
        <x:v>Short insertion tendon</x:v>
      </x:c>
      <x:c r="M15" s="24" t="str">
        <x:v>Ulnar collateral ligament of elbow nearby</x:v>
      </x:c>
      <x:c r="N15" s="30" t="str">
        <x:v>Not established</x:v>
      </x:c>
      <x:c r="O15" s="30" t="str">
        <x:v>Not established</x:v>
      </x:c>
      <x:c r="P15" s="30" t="str">
        <x:v>Mixed Type I and Type II; ratio unverified</x:v>
      </x:c>
      <x:c r="Q15" s="24" t="str">
        <x:v>Published biopsies insufficient to state a reliable per-muscle percentage; no inference from function</x:v>
      </x:c>
      <x:c r="R15" s="32" t="str">
        <x:v>https://www.kenhub.com/en/library/anatomy/upper-limb-muscles-and-movements</x:v>
      </x:c>
      <x:c r="S15" s="32" t="str">
        <x:v>https://pubmed.ncbi.nlm.nih.gov/39359186/</x:v>
      </x:c>
    </x:row>
    <x:row r="16" ht="53" customHeight="1">
      <x:c r="A16" s="24" t="str">
        <x:v>Brachioradialis</x:v>
      </x:c>
      <x:c r="B16" s="24" t="str">
        <x:v>Lateral forearm</x:v>
      </x:c>
      <x:c r="C16" s="24" t="str">
        <x:v>Flexor</x:v>
      </x:c>
      <x:c r="D16" s="28" t="str">
        <x:v>Yes</x:v>
      </x:c>
      <x:c r="E16" s="28" t="str">
        <x:v>No</x:v>
      </x:c>
      <x:c r="F16" s="28" t="str">
        <x:v>No</x:v>
      </x:c>
      <x:c r="G16" s="24" t="str">
        <x:v>Elbow flexion strongest at mid-pronation</x:v>
      </x:c>
      <x:c r="H16" s="24" t="str">
        <x:v>Proximal 2/3 lateral supracondylar ridge humerus</x:v>
      </x:c>
      <x:c r="I16" s="24" t="str">
        <x:v>Lateral distal radius proximal to styloid</x:v>
      </x:c>
      <x:c r="J16" s="24" t="str">
        <x:v>Radial nerve</x:v>
      </x:c>
      <x:c r="K16" s="24" t="str">
        <x:v>C5-C7</x:v>
      </x:c>
      <x:c r="L16" s="24" t="str">
        <x:v>Distal brachioradialis tendon</x:v>
      </x:c>
      <x:c r="M16" s="24" t="str">
        <x:v>Radial collateral elbow ligament near origin</x:v>
      </x:c>
      <x:c r="N16" s="30" t="str">
        <x:v>Not established</x:v>
      </x:c>
      <x:c r="O16" s="30" t="str">
        <x:v>Not established</x:v>
      </x:c>
      <x:c r="P16" s="30" t="str">
        <x:v>Mixed Type I and Type II; ratio unverified</x:v>
      </x:c>
      <x:c r="Q16" s="24" t="str">
        <x:v>Published biopsies insufficient to state a reliable per-muscle percentage; no inference from function</x:v>
      </x:c>
      <x:c r="R16" s="32" t="str">
        <x:v>https://www.kenhub.com/en/library/anatomy/upper-limb-muscles-and-movements</x:v>
      </x:c>
      <x:c r="S16" s="32" t="str">
        <x:v>https://pubmed.ncbi.nlm.nih.gov/39359186/</x:v>
      </x:c>
    </x:row>
    <x:row r="17" ht="53" customHeight="1">
      <x:c r="A17" s="24" t="str">
        <x:v>Abductor pollicis longus</x:v>
      </x:c>
      <x:c r="B17" s="24" t="str">
        <x:v>Posterior deep</x:v>
      </x:c>
      <x:c r="C17" s="24" t="str">
        <x:v>Extensor; Stabilizer</x:v>
      </x:c>
      <x:c r="D17" s="28" t="str">
        <x:v>No</x:v>
      </x:c>
      <x:c r="E17" s="28" t="str">
        <x:v>Yes</x:v>
      </x:c>
      <x:c r="F17" s="28" t="str">
        <x:v>Yes</x:v>
      </x:c>
      <x:c r="G17" s="24" t="str">
        <x:v>Abducts/extends thumb CMC; stabilizes thumb</x:v>
      </x:c>
      <x:c r="H17" s="24" t="str">
        <x:v>Posterior radius and ulna; interosseous membrane</x:v>
      </x:c>
      <x:c r="I17" s="24" t="str">
        <x:v>Lateral base metacarpal 1</x:v>
      </x:c>
      <x:c r="J17" s="24" t="str">
        <x:v>Posterior interosseous nerve</x:v>
      </x:c>
      <x:c r="K17" s="24" t="str">
        <x:v>C7-C8</x:v>
      </x:c>
      <x:c r="L17" s="24" t="str">
        <x:v>APL tendon(s), first dorsal compartment</x:v>
      </x:c>
      <x:c r="M17" s="24" t="str">
        <x:v>Extensor retinaculum restrains tendon</x:v>
      </x:c>
      <x:c r="N17" s="30" t="str">
        <x:v>Not established</x:v>
      </x:c>
      <x:c r="O17" s="30" t="str">
        <x:v>Not established</x:v>
      </x:c>
      <x:c r="P17" s="30" t="str">
        <x:v>Mixed Type I and Type II; ratio unverified</x:v>
      </x:c>
      <x:c r="Q17" s="24" t="str">
        <x:v>Published biopsies insufficient to state a reliable per-muscle percentage; no inference from function</x:v>
      </x:c>
      <x:c r="R17" s="32" t="str">
        <x:v>https://www.kenhub.com/en/library/anatomy/upper-limb-muscles-and-movements</x:v>
      </x:c>
      <x:c r="S17" s="32" t="str">
        <x:v>https://pubmed.ncbi.nlm.nih.gov/39359186/</x:v>
      </x:c>
    </x:row>
    <x:row r="18" ht="53" customHeight="1">
      <x:c r="A18" s="24" t="str">
        <x:v>Extensor indicis</x:v>
      </x:c>
      <x:c r="B18" s="24" t="str">
        <x:v>Posterior deep</x:v>
      </x:c>
      <x:c r="C18" s="24" t="str">
        <x:v>Extensor</x:v>
      </x:c>
      <x:c r="D18" s="28" t="str">
        <x:v>No</x:v>
      </x:c>
      <x:c r="E18" s="28" t="str">
        <x:v>Yes</x:v>
      </x:c>
      <x:c r="F18" s="28" t="str">
        <x:v>No</x:v>
      </x:c>
      <x:c r="G18" s="24" t="str">
        <x:v>Independent index extension</x:v>
      </x:c>
      <x:c r="H18" s="24" t="str">
        <x:v>Posterior distal ulna; interosseous membrane</x:v>
      </x:c>
      <x:c r="I18" s="24" t="str">
        <x:v>Extensor expansion index finger</x:v>
      </x:c>
      <x:c r="J18" s="24" t="str">
        <x:v>Posterior interosseous nerve</x:v>
      </x:c>
      <x:c r="K18" s="24" t="str">
        <x:v>C7-C8</x:v>
      </x:c>
      <x:c r="L18" s="24" t="str">
        <x:v>EI tendon, fourth dorsal compartment</x:v>
      </x:c>
      <x:c r="M18" s="24" t="str">
        <x:v>Extensor retinaculum and sagittal band</x:v>
      </x:c>
      <x:c r="N18" s="30" t="str">
        <x:v>Not established</x:v>
      </x:c>
      <x:c r="O18" s="30" t="str">
        <x:v>Not established</x:v>
      </x:c>
      <x:c r="P18" s="30" t="str">
        <x:v>Mixed Type I and Type II; ratio unverified</x:v>
      </x:c>
      <x:c r="Q18" s="24" t="str">
        <x:v>Published biopsies insufficient to state a reliable per-muscle percentage; no inference from function</x:v>
      </x:c>
      <x:c r="R18" s="32" t="str">
        <x:v>https://www.kenhub.com/en/library/anatomy/upper-limb-muscles-and-movements</x:v>
      </x:c>
      <x:c r="S18" s="32" t="str">
        <x:v>https://pubmed.ncbi.nlm.nih.gov/39359186/</x:v>
      </x:c>
    </x:row>
    <x:row r="19" ht="53" customHeight="1">
      <x:c r="A19" s="24" t="str">
        <x:v>Extensor pollicis brevis</x:v>
      </x:c>
      <x:c r="B19" s="24" t="str">
        <x:v>Posterior deep</x:v>
      </x:c>
      <x:c r="C19" s="24" t="str">
        <x:v>Extensor</x:v>
      </x:c>
      <x:c r="D19" s="28" t="str">
        <x:v>No</x:v>
      </x:c>
      <x:c r="E19" s="28" t="str">
        <x:v>Yes</x:v>
      </x:c>
      <x:c r="F19" s="28" t="str">
        <x:v>No</x:v>
      </x:c>
      <x:c r="G19" s="24" t="str">
        <x:v>Extends thumb MCP and CMC</x:v>
      </x:c>
      <x:c r="H19" s="24" t="str">
        <x:v>Posterior distal radius; interosseous membrane</x:v>
      </x:c>
      <x:c r="I19" s="24" t="str">
        <x:v>Dorsal base proximal phalanx thumb</x:v>
      </x:c>
      <x:c r="J19" s="24" t="str">
        <x:v>Posterior interosseous nerve</x:v>
      </x:c>
      <x:c r="K19" s="24" t="str">
        <x:v>C7-C8</x:v>
      </x:c>
      <x:c r="L19" s="24" t="str">
        <x:v>EPB tendon, first dorsal compartment</x:v>
      </x:c>
      <x:c r="M19" s="24" t="str">
        <x:v>Extensor retinaculum restrains tendon</x:v>
      </x:c>
      <x:c r="N19" s="30" t="str">
        <x:v>Not established</x:v>
      </x:c>
      <x:c r="O19" s="30" t="str">
        <x:v>Not established</x:v>
      </x:c>
      <x:c r="P19" s="30" t="str">
        <x:v>Mixed Type I and Type II; ratio unverified</x:v>
      </x:c>
      <x:c r="Q19" s="24" t="str">
        <x:v>Published biopsies insufficient to state a reliable per-muscle percentage; no inference from function</x:v>
      </x:c>
      <x:c r="R19" s="32" t="str">
        <x:v>https://www.kenhub.com/en/library/anatomy/upper-limb-muscles-and-movements</x:v>
      </x:c>
      <x:c r="S19" s="32" t="str">
        <x:v>https://pubmed.ncbi.nlm.nih.gov/39359186/</x:v>
      </x:c>
    </x:row>
    <x:row r="20" ht="53" customHeight="1">
      <x:c r="A20" s="24" t="str">
        <x:v>Extensor pollicis longus</x:v>
      </x:c>
      <x:c r="B20" s="24" t="str">
        <x:v>Posterior deep</x:v>
      </x:c>
      <x:c r="C20" s="24" t="str">
        <x:v>Extensor</x:v>
      </x:c>
      <x:c r="D20" s="28" t="str">
        <x:v>No</x:v>
      </x:c>
      <x:c r="E20" s="28" t="str">
        <x:v>Yes</x:v>
      </x:c>
      <x:c r="F20" s="28" t="str">
        <x:v>No</x:v>
      </x:c>
      <x:c r="G20" s="24" t="str">
        <x:v>Extends thumb IP; assists MCP/CMC extension</x:v>
      </x:c>
      <x:c r="H20" s="24" t="str">
        <x:v>Posterior middle ulna; interosseous membrane</x:v>
      </x:c>
      <x:c r="I20" s="24" t="str">
        <x:v>Dorsal base distal phalanx thumb</x:v>
      </x:c>
      <x:c r="J20" s="24" t="str">
        <x:v>Posterior interosseous nerve</x:v>
      </x:c>
      <x:c r="K20" s="24" t="str">
        <x:v>C7-C8</x:v>
      </x:c>
      <x:c r="L20" s="24" t="str">
        <x:v>EPL tendon, third dorsal compartment</x:v>
      </x:c>
      <x:c r="M20" s="24" t="str">
        <x:v>Extensor retinaculum and Lister tubercle redirect tendon</x:v>
      </x:c>
      <x:c r="N20" s="30" t="str">
        <x:v>Not established</x:v>
      </x:c>
      <x:c r="O20" s="30" t="str">
        <x:v>Not established</x:v>
      </x:c>
      <x:c r="P20" s="30" t="str">
        <x:v>Mixed Type I and Type II; ratio unverified</x:v>
      </x:c>
      <x:c r="Q20" s="24" t="str">
        <x:v>Published biopsies insufficient to state a reliable per-muscle percentage; no inference from function</x:v>
      </x:c>
      <x:c r="R20" s="32" t="str">
        <x:v>https://www.kenhub.com/en/library/anatomy/upper-limb-muscles-and-movements</x:v>
      </x:c>
      <x:c r="S20" s="32" t="str">
        <x:v>https://pubmed.ncbi.nlm.nih.gov/39359186/</x:v>
      </x:c>
    </x:row>
    <x:row r="21" ht="53" customHeight="1">
      <x:c r="A21" s="24" t="str">
        <x:v>Supinator deep layer</x:v>
      </x:c>
      <x:c r="B21" s="24" t="str">
        <x:v>Posterior deep</x:v>
      </x:c>
      <x:c r="C21" s="24" t="str">
        <x:v>Stabilizer</x:v>
      </x:c>
      <x:c r="D21" s="28" t="str">
        <x:v>No</x:v>
      </x:c>
      <x:c r="E21" s="28" t="str">
        <x:v>No</x:v>
      </x:c>
      <x:c r="F21" s="28" t="str">
        <x:v>Yes</x:v>
      </x:c>
      <x:c r="G21" s="24" t="str">
        <x:v>Supination; proximal radioulnar stabilization</x:v>
      </x:c>
      <x:c r="H21" s="24" t="str">
        <x:v>Supinator crest and fossa of ulna</x:v>
      </x:c>
      <x:c r="I21" s="24" t="str">
        <x:v>Proximal third radius</x:v>
      </x:c>
      <x:c r="J21" s="24" t="str">
        <x:v>Deep branch of radial nerve</x:v>
      </x:c>
      <x:c r="K21" s="24" t="str">
        <x:v>C6-C7</x:v>
      </x:c>
      <x:c r="L21" s="24" t="str">
        <x:v>Broad muscular insertion</x:v>
      </x:c>
      <x:c r="M21" s="24" t="str">
        <x:v>Annular ligament nearby/direct proximal fascial fibers</x:v>
      </x:c>
      <x:c r="N21" s="30" t="str">
        <x:v>Not established</x:v>
      </x:c>
      <x:c r="O21" s="30" t="str">
        <x:v>Not established</x:v>
      </x:c>
      <x:c r="P21" s="30" t="str">
        <x:v>Mixed Type I and Type II; ratio unverified</x:v>
      </x:c>
      <x:c r="Q21" s="24" t="str">
        <x:v>Published biopsies insufficient to state a reliable per-muscle percentage; no inference from function</x:v>
      </x:c>
      <x:c r="R21" s="32" t="str">
        <x:v>https://www.kenhub.com/en/library/anatomy/upper-limb-muscles-and-movements</x:v>
      </x:c>
      <x:c r="S21" s="32" t="str">
        <x:v>https://pubmed.ncbi.nlm.nih.gov/39359186/</x:v>
      </x:c>
    </x:row>
    <x:row r="22" ht="53" customHeight="1">
      <x:c r="A22" s="24" t="str">
        <x:v>Supinator superficial layer</x:v>
      </x:c>
      <x:c r="B22" s="24" t="str">
        <x:v>Posterior deep</x:v>
      </x:c>
      <x:c r="C22" s="24" t="str">
        <x:v>Stabilizer</x:v>
      </x:c>
      <x:c r="D22" s="28" t="str">
        <x:v>No</x:v>
      </x:c>
      <x:c r="E22" s="28" t="str">
        <x:v>No</x:v>
      </x:c>
      <x:c r="F22" s="28" t="str">
        <x:v>Yes</x:v>
      </x:c>
      <x:c r="G22" s="24" t="str">
        <x:v>Supinates forearm</x:v>
      </x:c>
      <x:c r="H22" s="24" t="str">
        <x:v>Lateral epicondyle; radial collateral and annular ligaments; supinator crest ulna</x:v>
      </x:c>
      <x:c r="I22" s="24" t="str">
        <x:v>Proximal third radius</x:v>
      </x:c>
      <x:c r="J22" s="24" t="str">
        <x:v>Deep branch of radial nerve</x:v>
      </x:c>
      <x:c r="K22" s="24" t="str">
        <x:v>C6-C7</x:v>
      </x:c>
      <x:c r="L22" s="24" t="str">
        <x:v>Aponeurotic attachment</x:v>
      </x:c>
      <x:c r="M22" s="24" t="str">
        <x:v>Annular and radial collateral ligaments direct origins</x:v>
      </x:c>
      <x:c r="N22" s="30" t="str">
        <x:v>Not established</x:v>
      </x:c>
      <x:c r="O22" s="30" t="str">
        <x:v>Not established</x:v>
      </x:c>
      <x:c r="P22" s="30" t="str">
        <x:v>Mixed Type I and Type II; ratio unverified</x:v>
      </x:c>
      <x:c r="Q22" s="24" t="str">
        <x:v>Published biopsies insufficient to state a reliable per-muscle percentage; no inference from function</x:v>
      </x:c>
      <x:c r="R22" s="32" t="str">
        <x:v>https://www.kenhub.com/en/library/anatomy/upper-limb-muscles-and-movements</x:v>
      </x:c>
      <x:c r="S22" s="32" t="str">
        <x:v>https://pubmed.ncbi.nlm.nih.gov/39359186/</x:v>
      </x:c>
    </x:row>
    <x:row r="23" ht="53" customHeight="1">
      <x:c r="A23" s="24" t="str">
        <x:v>Extensor carpi ulnaris</x:v>
      </x:c>
      <x:c r="B23" s="24" t="str">
        <x:v>Posterior superficial</x:v>
      </x:c>
      <x:c r="C23" s="24" t="str">
        <x:v>Extensor; Stabilizer</x:v>
      </x:c>
      <x:c r="D23" s="28" t="str">
        <x:v>No</x:v>
      </x:c>
      <x:c r="E23" s="28" t="str">
        <x:v>Yes</x:v>
      </x:c>
      <x:c r="F23" s="28" t="str">
        <x:v>Yes</x:v>
      </x:c>
      <x:c r="G23" s="24" t="str">
        <x:v>Wrist extension and ulnar deviation</x:v>
      </x:c>
      <x:c r="H23" s="24" t="str">
        <x:v>Lateral epicondyle; posterior ulna</x:v>
      </x:c>
      <x:c r="I23" s="24" t="str">
        <x:v>Dorsal base metacarpal 5</x:v>
      </x:c>
      <x:c r="J23" s="24" t="str">
        <x:v>Posterior interosseous nerve</x:v>
      </x:c>
      <x:c r="K23" s="24" t="str">
        <x:v>C7-C8</x:v>
      </x:c>
      <x:c r="L23" s="24" t="str">
        <x:v>ECU tendon, sixth dorsal compartment</x:v>
      </x:c>
      <x:c r="M23" s="24" t="str">
        <x:v>Extensor retinaculum and ECU subsheath restrain tendon</x:v>
      </x:c>
      <x:c r="N23" s="30" t="str">
        <x:v>Not established</x:v>
      </x:c>
      <x:c r="O23" s="30" t="str">
        <x:v>Not established</x:v>
      </x:c>
      <x:c r="P23" s="30" t="str">
        <x:v>Mixed Type I and Type II; ratio unverified</x:v>
      </x:c>
      <x:c r="Q23" s="24" t="str">
        <x:v>Published biopsies insufficient to state a reliable per-muscle percentage; no inference from function</x:v>
      </x:c>
      <x:c r="R23" s="32" t="str">
        <x:v>https://www.kenhub.com/en/library/anatomy/upper-limb-muscles-and-movements</x:v>
      </x:c>
      <x:c r="S23" s="32" t="str">
        <x:v>https://pubmed.ncbi.nlm.nih.gov/39359186/</x:v>
      </x:c>
    </x:row>
    <x:row r="24" ht="53" customHeight="1">
      <x:c r="A24" s="24" t="str">
        <x:v>Extensor digiti minimi</x:v>
      </x:c>
      <x:c r="B24" s="24" t="str">
        <x:v>Posterior superficial</x:v>
      </x:c>
      <x:c r="C24" s="24" t="str">
        <x:v>Extensor</x:v>
      </x:c>
      <x:c r="D24" s="28" t="str">
        <x:v>No</x:v>
      </x:c>
      <x:c r="E24" s="28" t="str">
        <x:v>Yes</x:v>
      </x:c>
      <x:c r="F24" s="28" t="str">
        <x:v>No</x:v>
      </x:c>
      <x:c r="G24" s="24" t="str">
        <x:v>Extends little finger; assists wrist extension</x:v>
      </x:c>
      <x:c r="H24" s="24" t="str">
        <x:v>Lateral epicondyle via common extensor tendon</x:v>
      </x:c>
      <x:c r="I24" s="24" t="str">
        <x:v>Extensor expansion digit 5</x:v>
      </x:c>
      <x:c r="J24" s="24" t="str">
        <x:v>Posterior interosseous nerve</x:v>
      </x:c>
      <x:c r="K24" s="24" t="str">
        <x:v>C7-C8</x:v>
      </x:c>
      <x:c r="L24" s="24" t="str">
        <x:v>EDM tendon, fifth dorsal compartment</x:v>
      </x:c>
      <x:c r="M24" s="24" t="str">
        <x:v>Extensor retinaculum; extensor hood bands</x:v>
      </x:c>
      <x:c r="N24" s="30" t="str">
        <x:v>Not established</x:v>
      </x:c>
      <x:c r="O24" s="30" t="str">
        <x:v>Not established</x:v>
      </x:c>
      <x:c r="P24" s="30" t="str">
        <x:v>Mixed Type I and Type II; ratio unverified</x:v>
      </x:c>
      <x:c r="Q24" s="24" t="str">
        <x:v>Published biopsies insufficient to state a reliable per-muscle percentage; no inference from function</x:v>
      </x:c>
      <x:c r="R24" s="32" t="str">
        <x:v>https://www.kenhub.com/en/library/anatomy/upper-limb-muscles-and-movements</x:v>
      </x:c>
      <x:c r="S24" s="32" t="str">
        <x:v>https://pubmed.ncbi.nlm.nih.gov/39359186/</x:v>
      </x:c>
    </x:row>
    <x:row r="25" ht="53" customHeight="1">
      <x:c r="A25" s="24" t="str">
        <x:v>Extensor digitorum</x:v>
      </x:c>
      <x:c r="B25" s="24" t="str">
        <x:v>Posterior superficial</x:v>
      </x:c>
      <x:c r="C25" s="24" t="str">
        <x:v>Extensor</x:v>
      </x:c>
      <x:c r="D25" s="28" t="str">
        <x:v>No</x:v>
      </x:c>
      <x:c r="E25" s="28" t="str">
        <x:v>Yes</x:v>
      </x:c>
      <x:c r="F25" s="28" t="str">
        <x:v>No</x:v>
      </x:c>
      <x:c r="G25" s="24" t="str">
        <x:v>Extends MCP and assists IP/wrist extension</x:v>
      </x:c>
      <x:c r="H25" s="24" t="str">
        <x:v>Lateral epicondyle via common extensor tendon</x:v>
      </x:c>
      <x:c r="I25" s="24" t="str">
        <x:v>Extensor expansions of digits 2-5</x:v>
      </x:c>
      <x:c r="J25" s="24" t="str">
        <x:v>Posterior interosseous nerve (radial)</x:v>
      </x:c>
      <x:c r="K25" s="24" t="str">
        <x:v>C7-C8</x:v>
      </x:c>
      <x:c r="L25" s="24" t="str">
        <x:v>Four extensor digitorum tendons with juncturae tendinum</x:v>
      </x:c>
      <x:c r="M25" s="24" t="str">
        <x:v>Extensor retinaculum; sagittal bands of extensor hood</x:v>
      </x:c>
      <x:c r="N25" s="30" t="str">
        <x:v>Not established</x:v>
      </x:c>
      <x:c r="O25" s="30" t="str">
        <x:v>Not established</x:v>
      </x:c>
      <x:c r="P25" s="30" t="str">
        <x:v>Mixed Type I and Type II; ratio unverified</x:v>
      </x:c>
      <x:c r="Q25" s="24" t="str">
        <x:v>Published biopsies insufficient to state a reliable per-muscle percentage; no inference from function</x:v>
      </x:c>
      <x:c r="R25" s="32" t="str">
        <x:v>https://www.kenhub.com/en/library/anatomy/upper-limb-muscles-and-movements</x:v>
      </x:c>
      <x:c r="S25" s="32" t="str">
        <x:v>https://pubmed.ncbi.nlm.nih.gov/39359186/</x:v>
      </x:c>
    </x:row>
    <x:row r="26" ht="53" customHeight="1">
      <x:c r="A26" s="24" t="str">
        <x:v>Extensor carpi radialis brevis</x:v>
      </x:c>
      <x:c r="B26" s="24" t="str">
        <x:v>Posterolateral superficial</x:v>
      </x:c>
      <x:c r="C26" s="24" t="str">
        <x:v>Extensor; Stabilizer</x:v>
      </x:c>
      <x:c r="D26" s="28" t="str">
        <x:v>No</x:v>
      </x:c>
      <x:c r="E26" s="28" t="str">
        <x:v>Yes</x:v>
      </x:c>
      <x:c r="F26" s="28" t="str">
        <x:v>Yes</x:v>
      </x:c>
      <x:c r="G26" s="24" t="str">
        <x:v>Wrist extension and radial deviation</x:v>
      </x:c>
      <x:c r="H26" s="24" t="str">
        <x:v>Lateral epicondyle via common extensor tendon</x:v>
      </x:c>
      <x:c r="I26" s="24" t="str">
        <x:v>Dorsal base metacarpal 3</x:v>
      </x:c>
      <x:c r="J26" s="24" t="str">
        <x:v>Deep branch of radial nerve</x:v>
      </x:c>
      <x:c r="K26" s="24" t="str">
        <x:v>C7-C8</x:v>
      </x:c>
      <x:c r="L26" s="24" t="str">
        <x:v>ECRB tendon, second dorsal compartment</x:v>
      </x:c>
      <x:c r="M26" s="24" t="str">
        <x:v>Radial collateral ligament often blends near proximal attachment; extensor retinaculum</x:v>
      </x:c>
      <x:c r="N26" s="30" t="str">
        <x:v>Not established</x:v>
      </x:c>
      <x:c r="O26" s="30" t="str">
        <x:v>Not established</x:v>
      </x:c>
      <x:c r="P26" s="30" t="str">
        <x:v>Mixed Type I and Type II; ratio unverified</x:v>
      </x:c>
      <x:c r="Q26" s="24" t="str">
        <x:v>Published biopsies insufficient to state a reliable per-muscle percentage; no inference from function</x:v>
      </x:c>
      <x:c r="R26" s="32" t="str">
        <x:v>https://www.kenhub.com/en/library/anatomy/upper-limb-muscles-and-movements</x:v>
      </x:c>
      <x:c r="S26" s="32" t="str">
        <x:v>https://pubmed.ncbi.nlm.nih.gov/39359186/</x:v>
      </x:c>
    </x:row>
    <x:row r="27" ht="53" customHeight="1">
      <x:c r="A27" s="24" t="str">
        <x:v>Extensor carpi radialis longus</x:v>
      </x:c>
      <x:c r="B27" s="24" t="str">
        <x:v>Posterolateral superficial</x:v>
      </x:c>
      <x:c r="C27" s="24" t="str">
        <x:v>Extensor; Stabilizer</x:v>
      </x:c>
      <x:c r="D27" s="28" t="str">
        <x:v>No</x:v>
      </x:c>
      <x:c r="E27" s="28" t="str">
        <x:v>Yes</x:v>
      </x:c>
      <x:c r="F27" s="28" t="str">
        <x:v>Yes</x:v>
      </x:c>
      <x:c r="G27" s="24" t="str">
        <x:v>Wrist extension and radial deviation</x:v>
      </x:c>
      <x:c r="H27" s="24" t="str">
        <x:v>Distal lateral supracondylar ridge humerus</x:v>
      </x:c>
      <x:c r="I27" s="24" t="str">
        <x:v>Dorsal base metacarpal 2</x:v>
      </x:c>
      <x:c r="J27" s="24" t="str">
        <x:v>Radial nerve</x:v>
      </x:c>
      <x:c r="K27" s="24" t="str">
        <x:v>C6-C7</x:v>
      </x:c>
      <x:c r="L27" s="24" t="str">
        <x:v>ECRL tendon, second dorsal extensor compartment</x:v>
      </x:c>
      <x:c r="M27" s="24" t="str">
        <x:v>Extensor retinaculum holds tendon at wrist</x:v>
      </x:c>
      <x:c r="N27" s="30" t="str">
        <x:v>Not established</x:v>
      </x:c>
      <x:c r="O27" s="30" t="str">
        <x:v>Not established</x:v>
      </x:c>
      <x:c r="P27" s="30" t="str">
        <x:v>Mixed Type I and Type II; ratio unverified</x:v>
      </x:c>
      <x:c r="Q27" s="24" t="str">
        <x:v>Published biopsies insufficient to state a reliable per-muscle percentage; no inference from function</x:v>
      </x:c>
      <x:c r="R27" s="32" t="str">
        <x:v>https://www.kenhub.com/en/library/anatomy/upper-limb-muscles-and-movements</x:v>
      </x:c>
      <x:c r="S27" s="32" t="str">
        <x:v>https://pubmed.ncbi.nlm.nih.gov/39359186/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f8a06425654c417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HAND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21 detailed entries | attachments and motor innervation | nearby versus direct ligament relationships explicitly indicated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Adductor pollicis oblique head</x:v>
      </x:c>
      <x:c r="B4" s="24" t="str">
        <x:v>Adductor compartment</x:v>
      </x:c>
      <x:c r="C4" s="24" t="str">
        <x:v>Stabilizer</x:v>
      </x:c>
      <x:c r="D4" s="28" t="str">
        <x:v>No</x:v>
      </x:c>
      <x:c r="E4" s="28" t="str">
        <x:v>No</x:v>
      </x:c>
      <x:c r="F4" s="28" t="str">
        <x:v>Yes</x:v>
      </x:c>
      <x:c r="G4" s="24" t="str">
        <x:v>Adducts thumb; strengthens pinch</x:v>
      </x:c>
      <x:c r="H4" s="24" t="str">
        <x:v>Capitate and bases of metacarpals 2-3</x:v>
      </x:c>
      <x:c r="I4" s="24" t="str">
        <x:v>Medial base proximal thumb phalanx and extensor expansion</x:v>
      </x:c>
      <x:c r="J4" s="24" t="str">
        <x:v>Deep branch ulnar nerve</x:v>
      </x:c>
      <x:c r="K4" s="24" t="str">
        <x:v>C8-T1</x:v>
      </x:c>
      <x:c r="L4" s="24" t="str">
        <x:v>Adductor tendon through ulnar sesamoid</x:v>
      </x:c>
      <x:c r="M4" s="24" t="str">
        <x:v>Deep transverse metacarpal ligament adjacent</x:v>
      </x:c>
      <x:c r="N4" s="30" t="str">
        <x:v>Not established</x:v>
      </x:c>
      <x:c r="O4" s="30" t="str">
        <x:v>Not established</x:v>
      </x:c>
      <x:c r="P4" s="30" t="str">
        <x:v>Mixed Type I and Type II; ratio unverified</x:v>
      </x:c>
      <x:c r="Q4" s="24" t="str">
        <x:v>Published biopsies insufficient to state a reliable per-muscle percentage; no inference from function</x:v>
      </x:c>
      <x:c r="R4" s="32" t="str">
        <x:v>https://www.kenhub.com/en/library/anatomy/upper-limb-muscles-and-movements</x:v>
      </x:c>
      <x:c r="S4" s="32" t="str">
        <x:v>https://pubmed.ncbi.nlm.nih.gov/39359186/</x:v>
      </x:c>
    </x:row>
    <x:row r="5" ht="53" customHeight="1">
      <x:c r="A5" s="24" t="str">
        <x:v>Adductor pollicis transverse head</x:v>
      </x:c>
      <x:c r="B5" s="24" t="str">
        <x:v>Adductor compartment</x:v>
      </x:c>
      <x:c r="C5" s="24" t="str">
        <x:v>Stabilizer</x:v>
      </x:c>
      <x:c r="D5" s="28" t="str">
        <x:v>No</x:v>
      </x:c>
      <x:c r="E5" s="28" t="str">
        <x:v>No</x:v>
      </x:c>
      <x:c r="F5" s="28" t="str">
        <x:v>Yes</x:v>
      </x:c>
      <x:c r="G5" s="24" t="str">
        <x:v>Adducts thumb; pinch grip</x:v>
      </x:c>
      <x:c r="H5" s="24" t="str">
        <x:v>Anterior shaft third metacarpal</x:v>
      </x:c>
      <x:c r="I5" s="24" t="str">
        <x:v>Medial base proximal thumb phalanx</x:v>
      </x:c>
      <x:c r="J5" s="24" t="str">
        <x:v>Deep branch ulnar nerve</x:v>
      </x:c>
      <x:c r="K5" s="24" t="str">
        <x:v>C8-T1</x:v>
      </x:c>
      <x:c r="L5" s="24" t="str">
        <x:v>Common adductor tendon</x:v>
      </x:c>
      <x:c r="M5" s="24" t="str">
        <x:v>Deep transverse metacarpal ligament nearby</x:v>
      </x:c>
      <x:c r="N5" s="30" t="str">
        <x:v>Not established</x:v>
      </x:c>
      <x:c r="O5" s="30" t="str">
        <x:v>Not established</x:v>
      </x:c>
      <x:c r="P5" s="30" t="str">
        <x:v>Mixed Type I and Type II; ratio unverified</x:v>
      </x:c>
      <x:c r="Q5" s="24" t="str">
        <x:v>Published biopsies insufficient to state a reliable per-muscle percentage; no inference from function</x:v>
      </x:c>
      <x:c r="R5" s="32" t="str">
        <x:v>https://www.kenhub.com/en/library/anatomy/upper-limb-muscles-and-movements</x:v>
      </x:c>
      <x:c r="S5" s="32" t="str">
        <x:v>https://pubmed.ncbi.nlm.nih.gov/39359186/</x:v>
      </x:c>
    </x:row>
    <x:row r="6" ht="53" customHeight="1">
      <x:c r="A6" s="24" t="str">
        <x:v>Lumbrical 1 (index)</x:v>
      </x:c>
      <x:c r="B6" s="24" t="str">
        <x:v>Central palm</x:v>
      </x:c>
      <x:c r="C6" s="24" t="str">
        <x:v>Flexor; Extensor</x:v>
      </x:c>
      <x:c r="D6" s="28" t="str">
        <x:v>Yes</x:v>
      </x:c>
      <x:c r="E6" s="28" t="str">
        <x:v>Yes</x:v>
      </x:c>
      <x:c r="F6" s="28" t="str">
        <x:v>No</x:v>
      </x:c>
      <x:c r="G6" s="24" t="str">
        <x:v>Flexes MCP while extending PIP/DIP digit 2</x:v>
      </x:c>
      <x:c r="H6" s="24" t="str">
        <x:v>Radial side FDP tendon to index</x:v>
      </x:c>
      <x:c r="I6" s="24" t="str">
        <x:v>Radial extensor expansion digit 2</x:v>
      </x:c>
      <x:c r="J6" s="24" t="str">
        <x:v>Median nerve</x:v>
      </x:c>
      <x:c r="K6" s="24" t="str">
        <x:v>C8-T1</x:v>
      </x:c>
      <x:c r="L6" s="24" t="str">
        <x:v>FDP tendon origin; extensor hood insertion</x:v>
      </x:c>
      <x:c r="M6" s="24" t="str">
        <x:v>Sagittal band/extensor mechanism at digit</x:v>
      </x:c>
      <x:c r="N6" s="30" t="str">
        <x:v>Not established</x:v>
      </x:c>
      <x:c r="O6" s="30" t="str">
        <x:v>Not established</x:v>
      </x:c>
      <x:c r="P6" s="30" t="str">
        <x:v>Mixed Type I and Type II; ratio unverified</x:v>
      </x:c>
      <x:c r="Q6" s="24" t="str">
        <x:v>Published biopsies insufficient to state a reliable per-muscle percentage; no inference from function</x:v>
      </x:c>
      <x:c r="R6" s="32" t="str">
        <x:v>https://www.kenhub.com/en/library/anatomy/upper-limb-muscles-and-movements</x:v>
      </x:c>
      <x:c r="S6" s="32" t="str">
        <x:v>https://pubmed.ncbi.nlm.nih.gov/39359186/</x:v>
      </x:c>
    </x:row>
    <x:row r="7" ht="53" customHeight="1">
      <x:c r="A7" s="24" t="str">
        <x:v>Lumbrical 2 (middle)</x:v>
      </x:c>
      <x:c r="B7" s="24" t="str">
        <x:v>Central palm</x:v>
      </x:c>
      <x:c r="C7" s="24" t="str">
        <x:v>Flexor; Extensor</x:v>
      </x:c>
      <x:c r="D7" s="28" t="str">
        <x:v>Yes</x:v>
      </x:c>
      <x:c r="E7" s="28" t="str">
        <x:v>Yes</x:v>
      </x:c>
      <x:c r="F7" s="28" t="str">
        <x:v>No</x:v>
      </x:c>
      <x:c r="G7" s="24" t="str">
        <x:v>Flexes MCP while extending IP digits 3</x:v>
      </x:c>
      <x:c r="H7" s="24" t="str">
        <x:v>Radial side FDP tendon to middle</x:v>
      </x:c>
      <x:c r="I7" s="24" t="str">
        <x:v>Radial extensor expansion digit 3</x:v>
      </x:c>
      <x:c r="J7" s="24" t="str">
        <x:v>Median nerve</x:v>
      </x:c>
      <x:c r="K7" s="24" t="str">
        <x:v>C8-T1</x:v>
      </x:c>
      <x:c r="L7" s="24" t="str">
        <x:v>FDP tendon origin; extensor hood insertion</x:v>
      </x:c>
      <x:c r="M7" s="24" t="str">
        <x:v>Extensor hood sagittal band, adjacent</x:v>
      </x:c>
      <x:c r="N7" s="30" t="str">
        <x:v>Not established</x:v>
      </x:c>
      <x:c r="O7" s="30" t="str">
        <x:v>Not established</x:v>
      </x:c>
      <x:c r="P7" s="30" t="str">
        <x:v>Mixed Type I and Type II; ratio unverified</x:v>
      </x:c>
      <x:c r="Q7" s="24" t="str">
        <x:v>Published biopsies insufficient to state a reliable per-muscle percentage; no inference from function</x:v>
      </x:c>
      <x:c r="R7" s="32" t="str">
        <x:v>https://www.kenhub.com/en/library/anatomy/upper-limb-muscles-and-movements</x:v>
      </x:c>
      <x:c r="S7" s="32" t="str">
        <x:v>https://pubmed.ncbi.nlm.nih.gov/39359186/</x:v>
      </x:c>
    </x:row>
    <x:row r="8" ht="53" customHeight="1">
      <x:c r="A8" s="24" t="str">
        <x:v>Lumbrical 3 (ring)</x:v>
      </x:c>
      <x:c r="B8" s="24" t="str">
        <x:v>Central palm</x:v>
      </x:c>
      <x:c r="C8" s="24" t="str">
        <x:v>Flexor; Extensor</x:v>
      </x:c>
      <x:c r="D8" s="28" t="str">
        <x:v>Yes</x:v>
      </x:c>
      <x:c r="E8" s="28" t="str">
        <x:v>Yes</x:v>
      </x:c>
      <x:c r="F8" s="28" t="str">
        <x:v>No</x:v>
      </x:c>
      <x:c r="G8" s="24" t="str">
        <x:v>Flexes MCP while extending IP digit 4</x:v>
      </x:c>
      <x:c r="H8" s="24" t="str">
        <x:v>Adjacent FDP tendons to middle and ring</x:v>
      </x:c>
      <x:c r="I8" s="24" t="str">
        <x:v>Radial extensor expansion digit 4</x:v>
      </x:c>
      <x:c r="J8" s="24" t="str">
        <x:v>Deep branch ulnar nerve</x:v>
      </x:c>
      <x:c r="K8" s="24" t="str">
        <x:v>C8-T1</x:v>
      </x:c>
      <x:c r="L8" s="24" t="str">
        <x:v>FDP tendon origin; extensor expansion insertion</x:v>
      </x:c>
      <x:c r="M8" s="24" t="str">
        <x:v>Extensor mechanism sagittal band</x:v>
      </x:c>
      <x:c r="N8" s="30" t="str">
        <x:v>Not established</x:v>
      </x:c>
      <x:c r="O8" s="30" t="str">
        <x:v>Not established</x:v>
      </x:c>
      <x:c r="P8" s="30" t="str">
        <x:v>Mixed Type I and Type II; ratio unverified</x:v>
      </x:c>
      <x:c r="Q8" s="24" t="str">
        <x:v>Published biopsies insufficient to state a reliable per-muscle percentage; no inference from function</x:v>
      </x:c>
      <x:c r="R8" s="32" t="str">
        <x:v>https://www.kenhub.com/en/library/anatomy/upper-limb-muscles-and-movements</x:v>
      </x:c>
      <x:c r="S8" s="32" t="str">
        <x:v>https://pubmed.ncbi.nlm.nih.gov/39359186/</x:v>
      </x:c>
    </x:row>
    <x:row r="9" ht="53" customHeight="1">
      <x:c r="A9" s="24" t="str">
        <x:v>Lumbrical 4 (little)</x:v>
      </x:c>
      <x:c r="B9" s="24" t="str">
        <x:v>Central palm</x:v>
      </x:c>
      <x:c r="C9" s="24" t="str">
        <x:v>Flexor; Extensor</x:v>
      </x:c>
      <x:c r="D9" s="28" t="str">
        <x:v>Yes</x:v>
      </x:c>
      <x:c r="E9" s="28" t="str">
        <x:v>Yes</x:v>
      </x:c>
      <x:c r="F9" s="28" t="str">
        <x:v>No</x:v>
      </x:c>
      <x:c r="G9" s="24" t="str">
        <x:v>Flexes MCP while extending IP digit 5</x:v>
      </x:c>
      <x:c r="H9" s="24" t="str">
        <x:v>Adjacent FDP tendons to ring and little fingers</x:v>
      </x:c>
      <x:c r="I9" s="24" t="str">
        <x:v>Radial extensor expansion digit 5</x:v>
      </x:c>
      <x:c r="J9" s="24" t="str">
        <x:v>Deep branch ulnar nerve</x:v>
      </x:c>
      <x:c r="K9" s="24" t="str">
        <x:v>C8-T1</x:v>
      </x:c>
      <x:c r="L9" s="24" t="str">
        <x:v>FDP tendon origin; extensor expansion insertion</x:v>
      </x:c>
      <x:c r="M9" s="24" t="str">
        <x:v>Extensor mechanism sagittal band</x:v>
      </x:c>
      <x:c r="N9" s="30" t="str">
        <x:v>Not established</x:v>
      </x:c>
      <x:c r="O9" s="30" t="str">
        <x:v>Not established</x:v>
      </x:c>
      <x:c r="P9" s="30" t="str">
        <x:v>Mixed Type I and Type II; ratio unverified</x:v>
      </x:c>
      <x:c r="Q9" s="24" t="str">
        <x:v>Published biopsies insufficient to state a reliable per-muscle percentage; no inference from function</x:v>
      </x:c>
      <x:c r="R9" s="32" t="str">
        <x:v>https://www.kenhub.com/en/library/anatomy/upper-limb-muscles-and-movements</x:v>
      </x:c>
      <x:c r="S9" s="32" t="str">
        <x:v>https://pubmed.ncbi.nlm.nih.gov/39359186/</x:v>
      </x:c>
    </x:row>
    <x:row r="10" ht="53" customHeight="1">
      <x:c r="A10" s="24" t="str">
        <x:v>Dorsal interosseous 1 (index)</x:v>
      </x:c>
      <x:c r="B10" s="24" t="str">
        <x:v>Dorsal intermetacarpal</x:v>
      </x:c>
      <x:c r="C10" s="24" t="str">
        <x:v>Flexor; Extensor; Stabilizer</x:v>
      </x:c>
      <x:c r="D10" s="28" t="str">
        <x:v>Yes</x:v>
      </x:c>
      <x:c r="E10" s="28" t="str">
        <x:v>Yes</x:v>
      </x:c>
      <x:c r="F10" s="28" t="str">
        <x:v>Yes</x:v>
      </x:c>
      <x:c r="G10" s="24" t="str">
        <x:v>Abducts index; flexes MCP, extends IP</x:v>
      </x:c>
      <x:c r="H10" s="24" t="str">
        <x:v>Facing sides metacarpals 1-2</x:v>
      </x:c>
      <x:c r="I10" s="24" t="str">
        <x:v>Radial base proximal phalanx and extensor expansion digit 2</x:v>
      </x:c>
      <x:c r="J10" s="24" t="str">
        <x:v>Deep branch ulnar nerve</x:v>
      </x:c>
      <x:c r="K10" s="24" t="str">
        <x:v>C8-T1</x:v>
      </x:c>
      <x:c r="L10" s="24" t="str">
        <x:v>Interosseous insertion tendon to extensor hood</x:v>
      </x:c>
      <x:c r="M10" s="24" t="str">
        <x:v>Deep transverse metacarpal ligament nearby</x:v>
      </x:c>
      <x:c r="N10" s="30" t="str">
        <x:v>Not established</x:v>
      </x:c>
      <x:c r="O10" s="30" t="str">
        <x:v>Not established</x:v>
      </x:c>
      <x:c r="P10" s="30" t="str">
        <x:v>Mixed Type I and Type II; ratio unverified</x:v>
      </x:c>
      <x:c r="Q10" s="24" t="str">
        <x:v>Published biopsies insufficient to state a reliable per-muscle percentage; no inference from function</x:v>
      </x:c>
      <x:c r="R10" s="32" t="str">
        <x:v>https://www.kenhub.com/en/library/anatomy/upper-limb-muscles-and-movements</x:v>
      </x:c>
      <x:c r="S10" s="32" t="str">
        <x:v>https://pubmed.ncbi.nlm.nih.gov/39359186/</x:v>
      </x:c>
    </x:row>
    <x:row r="11" ht="53" customHeight="1">
      <x:c r="A11" s="24" t="str">
        <x:v>Dorsal interosseous 2 (middle radial)</x:v>
      </x:c>
      <x:c r="B11" s="24" t="str">
        <x:v>Dorsal intermetacarpal</x:v>
      </x:c>
      <x:c r="C11" s="24" t="str">
        <x:v>Flexor; Extensor; Stabilizer</x:v>
      </x:c>
      <x:c r="D11" s="28" t="str">
        <x:v>Yes</x:v>
      </x:c>
      <x:c r="E11" s="28" t="str">
        <x:v>Yes</x:v>
      </x:c>
      <x:c r="F11" s="28" t="str">
        <x:v>Yes</x:v>
      </x:c>
      <x:c r="G11" s="24" t="str">
        <x:v>Abducts middle finger radially; MCP flexion/IP extension</x:v>
      </x:c>
      <x:c r="H11" s="24" t="str">
        <x:v>Facing sides metacarpals 2-3</x:v>
      </x:c>
      <x:c r="I11" s="24" t="str">
        <x:v>Radial base proximal phalanx and extensor hood digit 3</x:v>
      </x:c>
      <x:c r="J11" s="24" t="str">
        <x:v>Deep branch ulnar nerve</x:v>
      </x:c>
      <x:c r="K11" s="24" t="str">
        <x:v>C8-T1</x:v>
      </x:c>
      <x:c r="L11" s="24" t="str">
        <x:v>Insertion tendon to extensor hood</x:v>
      </x:c>
      <x:c r="M11" s="24" t="str">
        <x:v>Deep transverse metacarpal ligament nearby</x:v>
      </x:c>
      <x:c r="N11" s="30" t="str">
        <x:v>Not established</x:v>
      </x:c>
      <x:c r="O11" s="30" t="str">
        <x:v>Not established</x:v>
      </x:c>
      <x:c r="P11" s="30" t="str">
        <x:v>Mixed Type I and Type II; ratio unverified</x:v>
      </x:c>
      <x:c r="Q11" s="24" t="str">
        <x:v>Published biopsies insufficient to state a reliable per-muscle percentage; no inference from function</x:v>
      </x:c>
      <x:c r="R11" s="32" t="str">
        <x:v>https://www.kenhub.com/en/library/anatomy/upper-limb-muscles-and-movements</x:v>
      </x:c>
      <x:c r="S11" s="32" t="str">
        <x:v>https://pubmed.ncbi.nlm.nih.gov/39359186/</x:v>
      </x:c>
    </x:row>
    <x:row r="12" ht="53" customHeight="1">
      <x:c r="A12" s="24" t="str">
        <x:v>Dorsal interosseous 3 (middle ulnar)</x:v>
      </x:c>
      <x:c r="B12" s="24" t="str">
        <x:v>Dorsal intermetacarpal</x:v>
      </x:c>
      <x:c r="C12" s="24" t="str">
        <x:v>Flexor; Extensor; Stabilizer</x:v>
      </x:c>
      <x:c r="D12" s="28" t="str">
        <x:v>Yes</x:v>
      </x:c>
      <x:c r="E12" s="28" t="str">
        <x:v>Yes</x:v>
      </x:c>
      <x:c r="F12" s="28" t="str">
        <x:v>Yes</x:v>
      </x:c>
      <x:c r="G12" s="24" t="str">
        <x:v>Abducts middle finger ulnarly; MCP flexion/IP extension</x:v>
      </x:c>
      <x:c r="H12" s="24" t="str">
        <x:v>Facing sides metacarpals 3-4</x:v>
      </x:c>
      <x:c r="I12" s="24" t="str">
        <x:v>Ulnar base proximal phalanx and extensor hood digit 3</x:v>
      </x:c>
      <x:c r="J12" s="24" t="str">
        <x:v>Deep branch ulnar nerve</x:v>
      </x:c>
      <x:c r="K12" s="24" t="str">
        <x:v>C8-T1</x:v>
      </x:c>
      <x:c r="L12" s="24" t="str">
        <x:v>Insertion tendon to extensor hood</x:v>
      </x:c>
      <x:c r="M12" s="24" t="str">
        <x:v>Deep transverse metacarpal ligament nearby</x:v>
      </x:c>
      <x:c r="N12" s="30" t="str">
        <x:v>Not established</x:v>
      </x:c>
      <x:c r="O12" s="30" t="str">
        <x:v>Not established</x:v>
      </x:c>
      <x:c r="P12" s="30" t="str">
        <x:v>Mixed Type I and Type II; ratio unverified</x:v>
      </x:c>
      <x:c r="Q12" s="24" t="str">
        <x:v>Published biopsies insufficient to state a reliable per-muscle percentage; no inference from function</x:v>
      </x:c>
      <x:c r="R12" s="32" t="str">
        <x:v>https://www.kenhub.com/en/library/anatomy/upper-limb-muscles-and-movements</x:v>
      </x:c>
      <x:c r="S12" s="32" t="str">
        <x:v>https://pubmed.ncbi.nlm.nih.gov/39359186/</x:v>
      </x:c>
    </x:row>
    <x:row r="13" ht="53" customHeight="1">
      <x:c r="A13" s="24" t="str">
        <x:v>Dorsal interosseous 4 (ring)</x:v>
      </x:c>
      <x:c r="B13" s="24" t="str">
        <x:v>Dorsal intermetacarpal</x:v>
      </x:c>
      <x:c r="C13" s="24" t="str">
        <x:v>Flexor; Extensor; Stabilizer</x:v>
      </x:c>
      <x:c r="D13" s="28" t="str">
        <x:v>Yes</x:v>
      </x:c>
      <x:c r="E13" s="28" t="str">
        <x:v>Yes</x:v>
      </x:c>
      <x:c r="F13" s="28" t="str">
        <x:v>Yes</x:v>
      </x:c>
      <x:c r="G13" s="24" t="str">
        <x:v>Abducts ring finger; MCP flexion/IP extension</x:v>
      </x:c>
      <x:c r="H13" s="24" t="str">
        <x:v>Facing sides metacarpals 4-5</x:v>
      </x:c>
      <x:c r="I13" s="24" t="str">
        <x:v>Ulnar base proximal phalanx and extensor hood digit 4</x:v>
      </x:c>
      <x:c r="J13" s="24" t="str">
        <x:v>Deep branch ulnar nerve</x:v>
      </x:c>
      <x:c r="K13" s="24" t="str">
        <x:v>C8-T1</x:v>
      </x:c>
      <x:c r="L13" s="24" t="str">
        <x:v>Insertion tendon to extensor hood</x:v>
      </x:c>
      <x:c r="M13" s="24" t="str">
        <x:v>Deep transverse metacarpal ligament nearby</x:v>
      </x:c>
      <x:c r="N13" s="30" t="str">
        <x:v>Not established</x:v>
      </x:c>
      <x:c r="O13" s="30" t="str">
        <x:v>Not established</x:v>
      </x:c>
      <x:c r="P13" s="30" t="str">
        <x:v>Mixed Type I and Type II; ratio unverified</x:v>
      </x:c>
      <x:c r="Q13" s="24" t="str">
        <x:v>Published biopsies insufficient to state a reliable per-muscle percentage; no inference from function</x:v>
      </x:c>
      <x:c r="R13" s="32" t="str">
        <x:v>https://www.kenhub.com/en/library/anatomy/upper-limb-muscles-and-movements</x:v>
      </x:c>
      <x:c r="S13" s="32" t="str">
        <x:v>https://pubmed.ncbi.nlm.nih.gov/39359186/</x:v>
      </x:c>
    </x:row>
    <x:row r="14" ht="53" customHeight="1">
      <x:c r="A14" s="24" t="str">
        <x:v>Abductor digiti minimi (hand)</x:v>
      </x:c>
      <x:c r="B14" s="24" t="str">
        <x:v>Hypothenar</x:v>
      </x:c>
      <x:c r="C14" s="24" t="str">
        <x:v>Flexor; Stabilizer</x:v>
      </x:c>
      <x:c r="D14" s="28" t="str">
        <x:v>Yes</x:v>
      </x:c>
      <x:c r="E14" s="28" t="str">
        <x:v>No</x:v>
      </x:c>
      <x:c r="F14" s="28" t="str">
        <x:v>Yes</x:v>
      </x:c>
      <x:c r="G14" s="24" t="str">
        <x:v>Abducts fifth digit; assists MCP flexion</x:v>
      </x:c>
      <x:c r="H14" s="24" t="str">
        <x:v>Pisiform; flexor carpi ulnaris tendon</x:v>
      </x:c>
      <x:c r="I14" s="24" t="str">
        <x:v>Ulnar base proximal phalanx little finger</x:v>
      </x:c>
      <x:c r="J14" s="24" t="str">
        <x:v>Deep branch ulnar nerve</x:v>
      </x:c>
      <x:c r="K14" s="24" t="str">
        <x:v>C8-T1</x:v>
      </x:c>
      <x:c r="L14" s="24" t="str">
        <x:v>ADM tendon to proximal phalanx/extensor expansion</x:v>
      </x:c>
      <x:c r="M14" s="24" t="str">
        <x:v>Pisohamate ligament near origin</x:v>
      </x:c>
      <x:c r="N14" s="30" t="str">
        <x:v>Not established</x:v>
      </x:c>
      <x:c r="O14" s="30" t="str">
        <x:v>Not established</x:v>
      </x:c>
      <x:c r="P14" s="30" t="str">
        <x:v>Mixed Type I and Type II; ratio unverified</x:v>
      </x:c>
      <x:c r="Q14" s="24" t="str">
        <x:v>Published biopsies insufficient to state a reliable per-muscle percentage; no inference from function</x:v>
      </x:c>
      <x:c r="R14" s="32" t="str">
        <x:v>https://www.kenhub.com/en/library/anatomy/upper-limb-muscles-and-movements</x:v>
      </x:c>
      <x:c r="S14" s="32" t="str">
        <x:v>https://pubmed.ncbi.nlm.nih.gov/39359186/</x:v>
      </x:c>
    </x:row>
    <x:row r="15" ht="53" customHeight="1">
      <x:c r="A15" s="24" t="str">
        <x:v>Flexor digiti minimi brevis (hand)</x:v>
      </x:c>
      <x:c r="B15" s="24" t="str">
        <x:v>Hypothenar</x:v>
      </x:c>
      <x:c r="C15" s="24" t="str">
        <x:v>Flexor</x:v>
      </x:c>
      <x:c r="D15" s="28" t="str">
        <x:v>Yes</x:v>
      </x:c>
      <x:c r="E15" s="28" t="str">
        <x:v>No</x:v>
      </x:c>
      <x:c r="F15" s="28" t="str">
        <x:v>No</x:v>
      </x:c>
      <x:c r="G15" s="24" t="str">
        <x:v>Flexes fifth digit MCP</x:v>
      </x:c>
      <x:c r="H15" s="24" t="str">
        <x:v>Hook of hamate; flexor retinaculum</x:v>
      </x:c>
      <x:c r="I15" s="24" t="str">
        <x:v>Ulnar base proximal phalanx digit 5</x:v>
      </x:c>
      <x:c r="J15" s="24" t="str">
        <x:v>Deep branch ulnar nerve</x:v>
      </x:c>
      <x:c r="K15" s="24" t="str">
        <x:v>C8-T1</x:v>
      </x:c>
      <x:c r="L15" s="24" t="str">
        <x:v>Small insertion tendon</x:v>
      </x:c>
      <x:c r="M15" s="24" t="str">
        <x:v>Flexor retinaculum direct origin</x:v>
      </x:c>
      <x:c r="N15" s="30" t="str">
        <x:v>Not established</x:v>
      </x:c>
      <x:c r="O15" s="30" t="str">
        <x:v>Not established</x:v>
      </x:c>
      <x:c r="P15" s="30" t="str">
        <x:v>Mixed Type I and Type II; ratio unverified</x:v>
      </x:c>
      <x:c r="Q15" s="24" t="str">
        <x:v>Published biopsies insufficient to state a reliable per-muscle percentage; no inference from function</x:v>
      </x:c>
      <x:c r="R15" s="32" t="str">
        <x:v>https://www.kenhub.com/en/library/anatomy/upper-limb-muscles-and-movements</x:v>
      </x:c>
      <x:c r="S15" s="32" t="str">
        <x:v>https://pubmed.ncbi.nlm.nih.gov/39359186/</x:v>
      </x:c>
    </x:row>
    <x:row r="16" ht="53" customHeight="1">
      <x:c r="A16" s="24" t="str">
        <x:v>Opponens digiti minimi</x:v>
      </x:c>
      <x:c r="B16" s="24" t="str">
        <x:v>Hypothenar</x:v>
      </x:c>
      <x:c r="C16" s="24" t="str">
        <x:v>Flexor; Stabilizer</x:v>
      </x:c>
      <x:c r="D16" s="28" t="str">
        <x:v>Yes</x:v>
      </x:c>
      <x:c r="E16" s="28" t="str">
        <x:v>No</x:v>
      </x:c>
      <x:c r="F16" s="28" t="str">
        <x:v>Yes</x:v>
      </x:c>
      <x:c r="G16" s="24" t="str">
        <x:v>Draws fifth metacarpal anteriorly; cups palm</x:v>
      </x:c>
      <x:c r="H16" s="24" t="str">
        <x:v>Hook of hamate; flexor retinaculum</x:v>
      </x:c>
      <x:c r="I16" s="24" t="str">
        <x:v>Ulnar border fifth metacarpal</x:v>
      </x:c>
      <x:c r="J16" s="24" t="str">
        <x:v>Deep branch ulnar nerve</x:v>
      </x:c>
      <x:c r="K16" s="24" t="str">
        <x:v>C8-T1</x:v>
      </x:c>
      <x:c r="L16" s="24" t="str">
        <x:v>Broad fleshy insertion</x:v>
      </x:c>
      <x:c r="M16" s="24" t="str">
        <x:v>Flexor retinaculum direct origin</x:v>
      </x:c>
      <x:c r="N16" s="30" t="str">
        <x:v>Not established</x:v>
      </x:c>
      <x:c r="O16" s="30" t="str">
        <x:v>Not established</x:v>
      </x:c>
      <x:c r="P16" s="30" t="str">
        <x:v>Mixed Type I and Type II; ratio unverified</x:v>
      </x:c>
      <x:c r="Q16" s="24" t="str">
        <x:v>Published biopsies insufficient to state a reliable per-muscle percentage; no inference from function</x:v>
      </x:c>
      <x:c r="R16" s="32" t="str">
        <x:v>https://www.kenhub.com/en/library/anatomy/upper-limb-muscles-and-movements</x:v>
      </x:c>
      <x:c r="S16" s="32" t="str">
        <x:v>https://pubmed.ncbi.nlm.nih.gov/39359186/</x:v>
      </x:c>
    </x:row>
    <x:row r="17" ht="53" customHeight="1">
      <x:c r="A17" s="24" t="str">
        <x:v>Palmaris brevis</x:v>
      </x:c>
      <x:c r="B17" s="24" t="str">
        <x:v>Hypothenar superficial</x:v>
      </x:c>
      <x:c r="C17" s="24" t="str">
        <x:v>Stabilizer</x:v>
      </x:c>
      <x:c r="D17" s="28" t="str">
        <x:v>No</x:v>
      </x:c>
      <x:c r="E17" s="28" t="str">
        <x:v>No</x:v>
      </x:c>
      <x:c r="F17" s="28" t="str">
        <x:v>Yes</x:v>
      </x:c>
      <x:c r="G17" s="24" t="str">
        <x:v>Wrinkles hypothenar skin; deepens hand cup</x:v>
      </x:c>
      <x:c r="H17" s="24" t="str">
        <x:v>Palmar aponeurosis and flexor retinaculum</x:v>
      </x:c>
      <x:c r="I17" s="24" t="str">
        <x:v>Dermis of hypothenar skin</x:v>
      </x:c>
      <x:c r="J17" s="24" t="str">
        <x:v>Superficial branch ulnar nerve</x:v>
      </x:c>
      <x:c r="K17" s="24" t="str">
        <x:v>C8-T1</x:v>
      </x:c>
      <x:c r="L17" s="24" t="str">
        <x:v>Dermal fibrous insertion, no long tendon</x:v>
      </x:c>
      <x:c r="M17" s="24" t="str">
        <x:v>Flexor retinaculum direct origin</x:v>
      </x:c>
      <x:c r="N17" s="30" t="str">
        <x:v>Not established</x:v>
      </x:c>
      <x:c r="O17" s="30" t="str">
        <x:v>Not established</x:v>
      </x:c>
      <x:c r="P17" s="30" t="str">
        <x:v>Mixed Type I and Type II; ratio unverified</x:v>
      </x:c>
      <x:c r="Q17" s="24" t="str">
        <x:v>Published biopsies insufficient to state a reliable per-muscle percentage; no inference from function</x:v>
      </x:c>
      <x:c r="R17" s="32" t="str">
        <x:v>https://www.kenhub.com/en/library/anatomy/upper-limb-muscles-and-movements</x:v>
      </x:c>
      <x:c r="S17" s="32" t="str">
        <x:v>https://pubmed.ncbi.nlm.nih.gov/39359186/</x:v>
      </x:c>
    </x:row>
    <x:row r="18" ht="53" customHeight="1">
      <x:c r="A18" s="24" t="str">
        <x:v>Palmar interosseous 1 (index)</x:v>
      </x:c>
      <x:c r="B18" s="24" t="str">
        <x:v>Palmar intermetacarpal</x:v>
      </x:c>
      <x:c r="C18" s="24" t="str">
        <x:v>Flexor; Extensor; Stabilizer</x:v>
      </x:c>
      <x:c r="D18" s="28" t="str">
        <x:v>Yes</x:v>
      </x:c>
      <x:c r="E18" s="28" t="str">
        <x:v>Yes</x:v>
      </x:c>
      <x:c r="F18" s="28" t="str">
        <x:v>Yes</x:v>
      </x:c>
      <x:c r="G18" s="24" t="str">
        <x:v>Adducts index toward digit 3; MCP flexion/IP extension</x:v>
      </x:c>
      <x:c r="H18" s="24" t="str">
        <x:v>Ulnar palmar metacarpal 2</x:v>
      </x:c>
      <x:c r="I18" s="24" t="str">
        <x:v>Ulnar proximal phalanx/extensor hood index</x:v>
      </x:c>
      <x:c r="J18" s="24" t="str">
        <x:v>Deep branch ulnar nerve</x:v>
      </x:c>
      <x:c r="K18" s="24" t="str">
        <x:v>C8-T1</x:v>
      </x:c>
      <x:c r="L18" s="24" t="str">
        <x:v>Tendon to extensor hood</x:v>
      </x:c>
      <x:c r="M18" s="24" t="str">
        <x:v>Deep transverse metacarpal ligament adjacent</x:v>
      </x:c>
      <x:c r="N18" s="30" t="str">
        <x:v>Not established</x:v>
      </x:c>
      <x:c r="O18" s="30" t="str">
        <x:v>Not established</x:v>
      </x:c>
      <x:c r="P18" s="30" t="str">
        <x:v>Mixed Type I and Type II; ratio unverified</x:v>
      </x:c>
      <x:c r="Q18" s="24" t="str">
        <x:v>Published biopsies insufficient to state a reliable per-muscle percentage; no inference from function</x:v>
      </x:c>
      <x:c r="R18" s="32" t="str">
        <x:v>https://www.kenhub.com/en/library/anatomy/upper-limb-muscles-and-movements</x:v>
      </x:c>
      <x:c r="S18" s="32" t="str">
        <x:v>https://pubmed.ncbi.nlm.nih.gov/39359186/</x:v>
      </x:c>
    </x:row>
    <x:row r="19" ht="53" customHeight="1">
      <x:c r="A19" s="24" t="str">
        <x:v>Palmar interosseous 2 (ring)</x:v>
      </x:c>
      <x:c r="B19" s="24" t="str">
        <x:v>Palmar intermetacarpal</x:v>
      </x:c>
      <x:c r="C19" s="24" t="str">
        <x:v>Flexor; Extensor; Stabilizer</x:v>
      </x:c>
      <x:c r="D19" s="28" t="str">
        <x:v>Yes</x:v>
      </x:c>
      <x:c r="E19" s="28" t="str">
        <x:v>Yes</x:v>
      </x:c>
      <x:c r="F19" s="28" t="str">
        <x:v>Yes</x:v>
      </x:c>
      <x:c r="G19" s="24" t="str">
        <x:v>Adducts ring toward digit 3; MCP flexion/IP extension</x:v>
      </x:c>
      <x:c r="H19" s="24" t="str">
        <x:v>Radial palmar metacarpal 4</x:v>
      </x:c>
      <x:c r="I19" s="24" t="str">
        <x:v>Radial proximal phalanx/extensor hood ring</x:v>
      </x:c>
      <x:c r="J19" s="24" t="str">
        <x:v>Deep branch ulnar nerve</x:v>
      </x:c>
      <x:c r="K19" s="24" t="str">
        <x:v>C8-T1</x:v>
      </x:c>
      <x:c r="L19" s="24" t="str">
        <x:v>Tendon to extensor hood</x:v>
      </x:c>
      <x:c r="M19" s="24" t="str">
        <x:v>Deep transverse metacarpal ligament adjacent</x:v>
      </x:c>
      <x:c r="N19" s="30" t="str">
        <x:v>Not established</x:v>
      </x:c>
      <x:c r="O19" s="30" t="str">
        <x:v>Not established</x:v>
      </x:c>
      <x:c r="P19" s="30" t="str">
        <x:v>Mixed Type I and Type II; ratio unverified</x:v>
      </x:c>
      <x:c r="Q19" s="24" t="str">
        <x:v>Published biopsies insufficient to state a reliable per-muscle percentage; no inference from function</x:v>
      </x:c>
      <x:c r="R19" s="32" t="str">
        <x:v>https://www.kenhub.com/en/library/anatomy/upper-limb-muscles-and-movements</x:v>
      </x:c>
      <x:c r="S19" s="32" t="str">
        <x:v>https://pubmed.ncbi.nlm.nih.gov/39359186/</x:v>
      </x:c>
    </x:row>
    <x:row r="20" ht="53" customHeight="1">
      <x:c r="A20" s="24" t="str">
        <x:v>Palmar interosseous 3 (little)</x:v>
      </x:c>
      <x:c r="B20" s="24" t="str">
        <x:v>Palmar intermetacarpal</x:v>
      </x:c>
      <x:c r="C20" s="24" t="str">
        <x:v>Flexor; Extensor; Stabilizer</x:v>
      </x:c>
      <x:c r="D20" s="28" t="str">
        <x:v>Yes</x:v>
      </x:c>
      <x:c r="E20" s="28" t="str">
        <x:v>Yes</x:v>
      </x:c>
      <x:c r="F20" s="28" t="str">
        <x:v>Yes</x:v>
      </x:c>
      <x:c r="G20" s="24" t="str">
        <x:v>Adducts little finger; MCP flexion/IP extension</x:v>
      </x:c>
      <x:c r="H20" s="24" t="str">
        <x:v>Radial palmar metacarpal 5</x:v>
      </x:c>
      <x:c r="I20" s="24" t="str">
        <x:v>Radial proximal phalanx/extensor hood digit 5</x:v>
      </x:c>
      <x:c r="J20" s="24" t="str">
        <x:v>Deep branch ulnar nerve</x:v>
      </x:c>
      <x:c r="K20" s="24" t="str">
        <x:v>C8-T1</x:v>
      </x:c>
      <x:c r="L20" s="24" t="str">
        <x:v>Tendon to extensor hood</x:v>
      </x:c>
      <x:c r="M20" s="24" t="str">
        <x:v>Deep transverse metacarpal ligament adjacent</x:v>
      </x:c>
      <x:c r="N20" s="30" t="str">
        <x:v>Not established</x:v>
      </x:c>
      <x:c r="O20" s="30" t="str">
        <x:v>Not established</x:v>
      </x:c>
      <x:c r="P20" s="30" t="str">
        <x:v>Mixed Type I and Type II; ratio unverified</x:v>
      </x:c>
      <x:c r="Q20" s="24" t="str">
        <x:v>Published biopsies insufficient to state a reliable per-muscle percentage; no inference from function</x:v>
      </x:c>
      <x:c r="R20" s="32" t="str">
        <x:v>https://www.kenhub.com/en/library/anatomy/upper-limb-muscles-and-movements</x:v>
      </x:c>
      <x:c r="S20" s="32" t="str">
        <x:v>https://pubmed.ncbi.nlm.nih.gov/39359186/</x:v>
      </x:c>
    </x:row>
    <x:row r="21" ht="53" customHeight="1">
      <x:c r="A21" s="24" t="str">
        <x:v>Abductor pollicis brevis</x:v>
      </x:c>
      <x:c r="B21" s="24" t="str">
        <x:v>Thenar</x:v>
      </x:c>
      <x:c r="C21" s="24" t="str">
        <x:v>Stabilizer</x:v>
      </x:c>
      <x:c r="D21" s="28" t="str">
        <x:v>No</x:v>
      </x:c>
      <x:c r="E21" s="28" t="str">
        <x:v>No</x:v>
      </x:c>
      <x:c r="F21" s="28" t="str">
        <x:v>Yes</x:v>
      </x:c>
      <x:c r="G21" s="24" t="str">
        <x:v>Abducts thumb perpendicular to palm; assists opposition</x:v>
      </x:c>
      <x:c r="H21" s="24" t="str">
        <x:v>Scaphoid tubercle; trapezium; flexor retinaculum</x:v>
      </x:c>
      <x:c r="I21" s="24" t="str">
        <x:v>Lateral base proximal phalanx thumb/extensor expansion</x:v>
      </x:c>
      <x:c r="J21" s="24" t="str">
        <x:v>Recurrent branch median nerve</x:v>
      </x:c>
      <x:c r="K21" s="24" t="str">
        <x:v>C8-T1</x:v>
      </x:c>
      <x:c r="L21" s="24" t="str">
        <x:v>Thenar aponeurotic insertion</x:v>
      </x:c>
      <x:c r="M21" s="24" t="str">
        <x:v>Flexor retinaculum direct origin</x:v>
      </x:c>
      <x:c r="N21" s="30" t="str">
        <x:v>Not established</x:v>
      </x:c>
      <x:c r="O21" s="30" t="str">
        <x:v>Not established</x:v>
      </x:c>
      <x:c r="P21" s="30" t="str">
        <x:v>Mixed Type I and Type II; ratio unverified</x:v>
      </x:c>
      <x:c r="Q21" s="24" t="str">
        <x:v>Published biopsies insufficient to state a reliable per-muscle percentage; no inference from function</x:v>
      </x:c>
      <x:c r="R21" s="32" t="str">
        <x:v>https://www.kenhub.com/en/library/anatomy/upper-limb-muscles-and-movements</x:v>
      </x:c>
      <x:c r="S21" s="32" t="str">
        <x:v>https://pubmed.ncbi.nlm.nih.gov/39359186/</x:v>
      </x:c>
    </x:row>
    <x:row r="22" ht="53" customHeight="1">
      <x:c r="A22" s="24" t="str">
        <x:v>Flexor pollicis brevis deep head</x:v>
      </x:c>
      <x:c r="B22" s="24" t="str">
        <x:v>Thenar</x:v>
      </x:c>
      <x:c r="C22" s="24" t="str">
        <x:v>Flexor</x:v>
      </x:c>
      <x:c r="D22" s="28" t="str">
        <x:v>Yes</x:v>
      </x:c>
      <x:c r="E22" s="28" t="str">
        <x:v>No</x:v>
      </x:c>
      <x:c r="F22" s="28" t="str">
        <x:v>No</x:v>
      </x:c>
      <x:c r="G22" s="24" t="str">
        <x:v>Flexes thumb MCP</x:v>
      </x:c>
      <x:c r="H22" s="24" t="str">
        <x:v>Trapezoid and capitate</x:v>
      </x:c>
      <x:c r="I22" s="24" t="str">
        <x:v>Lateral base proximal phalanx thumb via sesamoid</x:v>
      </x:c>
      <x:c r="J22" s="24" t="str">
        <x:v>Deep branch ulnar nerve (variable median contribution)</x:v>
      </x:c>
      <x:c r="K22" s="24" t="str">
        <x:v>C8-T1</x:v>
      </x:c>
      <x:c r="L22" s="24" t="str">
        <x:v>Thenar tendon via sesamoid</x:v>
      </x:c>
      <x:c r="M22" s="24" t="str">
        <x:v>Deep transverse metacarpal ligament nearby, no direct attachment</x:v>
      </x:c>
      <x:c r="N22" s="30" t="str">
        <x:v>Not established</x:v>
      </x:c>
      <x:c r="O22" s="30" t="str">
        <x:v>Not established</x:v>
      </x:c>
      <x:c r="P22" s="30" t="str">
        <x:v>Mixed Type I and Type II; ratio unverified</x:v>
      </x:c>
      <x:c r="Q22" s="24" t="str">
        <x:v>Published biopsies insufficient to state a reliable per-muscle percentage; no inference from function</x:v>
      </x:c>
      <x:c r="R22" s="32" t="str">
        <x:v>https://www.kenhub.com/en/library/anatomy/upper-limb-muscles-and-movements</x:v>
      </x:c>
      <x:c r="S22" s="32" t="str">
        <x:v>https://pubmed.ncbi.nlm.nih.gov/39359186/</x:v>
      </x:c>
    </x:row>
    <x:row r="23" ht="53" customHeight="1">
      <x:c r="A23" s="24" t="str">
        <x:v>Flexor pollicis brevis superficial head</x:v>
      </x:c>
      <x:c r="B23" s="24" t="str">
        <x:v>Thenar</x:v>
      </x:c>
      <x:c r="C23" s="24" t="str">
        <x:v>Flexor</x:v>
      </x:c>
      <x:c r="D23" s="28" t="str">
        <x:v>Yes</x:v>
      </x:c>
      <x:c r="E23" s="28" t="str">
        <x:v>No</x:v>
      </x:c>
      <x:c r="F23" s="28" t="str">
        <x:v>No</x:v>
      </x:c>
      <x:c r="G23" s="24" t="str">
        <x:v>Flexes thumb MCP</x:v>
      </x:c>
      <x:c r="H23" s="24" t="str">
        <x:v>Flexor retinaculum and trapezium</x:v>
      </x:c>
      <x:c r="I23" s="24" t="str">
        <x:v>Lateral base proximal phalanx thumb via sesamoid</x:v>
      </x:c>
      <x:c r="J23" s="24" t="str">
        <x:v>Recurrent branch median nerve</x:v>
      </x:c>
      <x:c r="K23" s="24" t="str">
        <x:v>C8-T1</x:v>
      </x:c>
      <x:c r="L23" s="24" t="str">
        <x:v>Insertion via radial sesamoid tendon</x:v>
      </x:c>
      <x:c r="M23" s="24" t="str">
        <x:v>Flexor retinaculum direct origin</x:v>
      </x:c>
      <x:c r="N23" s="30" t="str">
        <x:v>Not established</x:v>
      </x:c>
      <x:c r="O23" s="30" t="str">
        <x:v>Not established</x:v>
      </x:c>
      <x:c r="P23" s="30" t="str">
        <x:v>Mixed Type I and Type II; ratio unverified</x:v>
      </x:c>
      <x:c r="Q23" s="24" t="str">
        <x:v>Published biopsies insufficient to state a reliable per-muscle percentage; no inference from function</x:v>
      </x:c>
      <x:c r="R23" s="32" t="str">
        <x:v>https://www.kenhub.com/en/library/anatomy/upper-limb-muscles-and-movements</x:v>
      </x:c>
      <x:c r="S23" s="32" t="str">
        <x:v>https://pubmed.ncbi.nlm.nih.gov/39359186/</x:v>
      </x:c>
    </x:row>
    <x:row r="24" ht="53" customHeight="1">
      <x:c r="A24" s="24" t="str">
        <x:v>Opponens pollicis</x:v>
      </x:c>
      <x:c r="B24" s="24" t="str">
        <x:v>Thenar</x:v>
      </x:c>
      <x:c r="C24" s="24" t="str">
        <x:v>Flexor; Stabilizer</x:v>
      </x:c>
      <x:c r="D24" s="28" t="str">
        <x:v>Yes</x:v>
      </x:c>
      <x:c r="E24" s="28" t="str">
        <x:v>No</x:v>
      </x:c>
      <x:c r="F24" s="28" t="str">
        <x:v>Yes</x:v>
      </x:c>
      <x:c r="G24" s="24" t="str">
        <x:v>Opposes thumb by flexion and medial rotation at CMC</x:v>
      </x:c>
      <x:c r="H24" s="24" t="str">
        <x:v>Trapezium tubercle; flexor retinaculum</x:v>
      </x:c>
      <x:c r="I24" s="24" t="str">
        <x:v>Lateral shaft first metacarpal</x:v>
      </x:c>
      <x:c r="J24" s="24" t="str">
        <x:v>Recurrent branch median nerve</x:v>
      </x:c>
      <x:c r="K24" s="24" t="str">
        <x:v>C8-T1</x:v>
      </x:c>
      <x:c r="L24" s="24" t="str">
        <x:v>Broad muscular insertion</x:v>
      </x:c>
      <x:c r="M24" s="24" t="str">
        <x:v>Flexor retinaculum direct origin</x:v>
      </x:c>
      <x:c r="N24" s="30" t="str">
        <x:v>Not established</x:v>
      </x:c>
      <x:c r="O24" s="30" t="str">
        <x:v>Not established</x:v>
      </x:c>
      <x:c r="P24" s="30" t="str">
        <x:v>Mixed Type I and Type II; ratio unverified</x:v>
      </x:c>
      <x:c r="Q24" s="24" t="str">
        <x:v>Published biopsies insufficient to state a reliable per-muscle percentage; no inference from function</x:v>
      </x:c>
      <x:c r="R24" s="32" t="str">
        <x:v>https://www.kenhub.com/en/library/anatomy/upper-limb-muscles-and-movements</x:v>
      </x:c>
      <x:c r="S24" s="32" t="str">
        <x:v>https://pubmed.ncbi.nlm.nih.gov/39359186/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9f10f87832ce44a5"/>
  </x:tableParts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HIP &amp; GLUTEAL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13 detailed entries | attachments and motor innervation | nearby versus direct ligament relationships explicitly indicated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Gluteus minimus</x:v>
      </x:c>
      <x:c r="B4" s="24" t="str">
        <x:v>Deep gluteal</x:v>
      </x:c>
      <x:c r="C4" s="24" t="str">
        <x:v>Stabilizer</x:v>
      </x:c>
      <x:c r="D4" s="28" t="str">
        <x:v>No</x:v>
      </x:c>
      <x:c r="E4" s="28" t="str">
        <x:v>No</x:v>
      </x:c>
      <x:c r="F4" s="28" t="str">
        <x:v>Yes</x:v>
      </x:c>
      <x:c r="G4" s="24" t="str">
        <x:v>Abducts/medially rotates hip; stabilizes femoral head</x:v>
      </x:c>
      <x:c r="H4" s="24" t="str">
        <x:v>External ilium between anterior/inferior gluteal lines</x:v>
      </x:c>
      <x:c r="I4" s="24" t="str">
        <x:v>Anterior facet greater trochanter</x:v>
      </x:c>
      <x:c r="J4" s="24" t="str">
        <x:v>Superior gluteal nerve</x:v>
      </x:c>
      <x:c r="K4" s="24" t="str">
        <x:v>L4-S1</x:v>
      </x:c>
      <x:c r="L4" s="24" t="str">
        <x:v>Gluteus minimus tendon and joint-capsule expansions</x:v>
      </x:c>
      <x:c r="M4" s="24" t="str">
        <x:v>Iliofemoral ligament adjacent</x:v>
      </x:c>
      <x:c r="N4" s="30" t="str">
        <x:v>Not established</x:v>
      </x:c>
      <x:c r="O4" s="30" t="str">
        <x:v>Not established</x:v>
      </x:c>
      <x:c r="P4" s="30" t="str">
        <x:v>Mixed Type I and Type II; ratio unverified</x:v>
      </x:c>
      <x:c r="Q4" s="24" t="str">
        <x:v>Published biopsies insufficient to state a reliable per-muscle percentage; no inference from function</x:v>
      </x:c>
      <x:c r="R4" s="32" t="str">
        <x:v>https://www.kenhub.com/en/library/anatomy/lower-extremity-anatomy</x:v>
      </x:c>
      <x:c r="S4" s="32" t="str">
        <x:v>https://pubmed.ncbi.nlm.nih.gov/39359186/</x:v>
      </x:c>
    </x:row>
    <x:row r="5" ht="53" customHeight="1">
      <x:c r="A5" s="24" t="str">
        <x:v>Inferior gemellus</x:v>
      </x:c>
      <x:c r="B5" s="24" t="str">
        <x:v>Deep gluteal</x:v>
      </x:c>
      <x:c r="C5" s="24" t="str">
        <x:v>Stabilizer</x:v>
      </x:c>
      <x:c r="D5" s="28" t="str">
        <x:v>No</x:v>
      </x:c>
      <x:c r="E5" s="28" t="str">
        <x:v>No</x:v>
      </x:c>
      <x:c r="F5" s="28" t="str">
        <x:v>Yes</x:v>
      </x:c>
      <x:c r="G5" s="24" t="str">
        <x:v>Externally rotates extended hip; abducts flexed hip</x:v>
      </x:c>
      <x:c r="H5" s="24" t="str">
        <x:v>Ischial tuberosity</x:v>
      </x:c>
      <x:c r="I5" s="24" t="str">
        <x:v>Medial greater trochanter with obturator internus</x:v>
      </x:c>
      <x:c r="J5" s="24" t="str">
        <x:v>Nerve to quadratus femoris</x:v>
      </x:c>
      <x:c r="K5" s="24" t="str">
        <x:v>L4-S1</x:v>
      </x:c>
      <x:c r="L5" s="24" t="str">
        <x:v>Common tendon with obturator internus</x:v>
      </x:c>
      <x:c r="M5" s="24" t="str">
        <x:v>Sacrotuberous ligament shares ischial tuberosity vicinity</x:v>
      </x:c>
      <x:c r="N5" s="30" t="str">
        <x:v>Not established</x:v>
      </x:c>
      <x:c r="O5" s="30" t="str">
        <x:v>Not established</x:v>
      </x:c>
      <x:c r="P5" s="30" t="str">
        <x:v>Mixed Type I and Type II; ratio unverified</x:v>
      </x:c>
      <x:c r="Q5" s="24" t="str">
        <x:v>Published biopsies insufficient to state a reliable per-muscle percentage; no inference from function</x:v>
      </x:c>
      <x:c r="R5" s="32" t="str">
        <x:v>https://www.kenhub.com/en/library/anatomy/lower-extremity-anatomy</x:v>
      </x:c>
      <x:c r="S5" s="32" t="str">
        <x:v>https://pubmed.ncbi.nlm.nih.gov/39359186/</x:v>
      </x:c>
    </x:row>
    <x:row r="6" ht="53" customHeight="1">
      <x:c r="A6" s="24" t="str">
        <x:v>Obturator internus</x:v>
      </x:c>
      <x:c r="B6" s="24" t="str">
        <x:v>Deep gluteal</x:v>
      </x:c>
      <x:c r="C6" s="24" t="str">
        <x:v>Stabilizer</x:v>
      </x:c>
      <x:c r="D6" s="28" t="str">
        <x:v>No</x:v>
      </x:c>
      <x:c r="E6" s="28" t="str">
        <x:v>No</x:v>
      </x:c>
      <x:c r="F6" s="28" t="str">
        <x:v>Yes</x:v>
      </x:c>
      <x:c r="G6" s="24" t="str">
        <x:v>External hip rotation; abduction of flexed thigh</x:v>
      </x:c>
      <x:c r="H6" s="24" t="str">
        <x:v>Pelvic surface obturator membrane; adjacent pubis/ischium</x:v>
      </x:c>
      <x:c r="I6" s="24" t="str">
        <x:v>Medial surface greater trochanter</x:v>
      </x:c>
      <x:c r="J6" s="24" t="str">
        <x:v>Nerve to obturator internus</x:v>
      </x:c>
      <x:c r="K6" s="24" t="str">
        <x:v>L5-S2</x:v>
      </x:c>
      <x:c r="L6" s="24" t="str">
        <x:v>Tendon bends around lesser sciatic notch</x:v>
      </x:c>
      <x:c r="M6" s="24" t="str">
        <x:v>Obturator membrane (fibrous membrane); sacrospinous ligament nearby</x:v>
      </x:c>
      <x:c r="N6" s="30" t="str">
        <x:v>Not established</x:v>
      </x:c>
      <x:c r="O6" s="30" t="str">
        <x:v>Not established</x:v>
      </x:c>
      <x:c r="P6" s="30" t="str">
        <x:v>Mixed Type I and Type II; ratio unverified</x:v>
      </x:c>
      <x:c r="Q6" s="24" t="str">
        <x:v>Published biopsies insufficient to state a reliable per-muscle percentage; no inference from function</x:v>
      </x:c>
      <x:c r="R6" s="32" t="str">
        <x:v>https://www.kenhub.com/en/library/anatomy/lower-extremity-anatomy</x:v>
      </x:c>
      <x:c r="S6" s="32" t="str">
        <x:v>https://pubmed.ncbi.nlm.nih.gov/39359186/</x:v>
      </x:c>
    </x:row>
    <x:row r="7" ht="53" customHeight="1">
      <x:c r="A7" s="24" t="str">
        <x:v>Piriformis</x:v>
      </x:c>
      <x:c r="B7" s="24" t="str">
        <x:v>Deep gluteal</x:v>
      </x:c>
      <x:c r="C7" s="24" t="str">
        <x:v>Stabilizer</x:v>
      </x:c>
      <x:c r="D7" s="28" t="str">
        <x:v>No</x:v>
      </x:c>
      <x:c r="E7" s="28" t="str">
        <x:v>No</x:v>
      </x:c>
      <x:c r="F7" s="28" t="str">
        <x:v>Yes</x:v>
      </x:c>
      <x:c r="G7" s="24" t="str">
        <x:v>Externally rotates extended hip; abducts flexed hip; steadies joint</x:v>
      </x:c>
      <x:c r="H7" s="24" t="str">
        <x:v>Pelvic/anterior sacrum S2-S4; sacrotuberous ligament variable</x:v>
      </x:c>
      <x:c r="I7" s="24" t="str">
        <x:v>Superior border greater trochanter</x:v>
      </x:c>
      <x:c r="J7" s="24" t="str">
        <x:v>Nerve to piriformis</x:v>
      </x:c>
      <x:c r="K7" s="24" t="str">
        <x:v>S1-S2</x:v>
      </x:c>
      <x:c r="L7" s="24" t="str">
        <x:v>Piriformis insertion tendon</x:v>
      </x:c>
      <x:c r="M7" s="24" t="str">
        <x:v>Sacrotuberous ligament can contribute to origin</x:v>
      </x:c>
      <x:c r="N7" s="30" t="str">
        <x:v>Not established</x:v>
      </x:c>
      <x:c r="O7" s="30" t="str">
        <x:v>Not established</x:v>
      </x:c>
      <x:c r="P7" s="30" t="str">
        <x:v>Mixed Type I and Type II; ratio unverified</x:v>
      </x:c>
      <x:c r="Q7" s="24" t="str">
        <x:v>Published biopsies insufficient to state a reliable per-muscle percentage; no inference from function</x:v>
      </x:c>
      <x:c r="R7" s="32" t="str">
        <x:v>https://www.kenhub.com/en/library/anatomy/lower-extremity-anatomy</x:v>
      </x:c>
      <x:c r="S7" s="32" t="str">
        <x:v>https://pubmed.ncbi.nlm.nih.gov/39359186/</x:v>
      </x:c>
    </x:row>
    <x:row r="8" ht="53" customHeight="1">
      <x:c r="A8" s="24" t="str">
        <x:v>Quadratus femoris</x:v>
      </x:c>
      <x:c r="B8" s="24" t="str">
        <x:v>Deep gluteal</x:v>
      </x:c>
      <x:c r="C8" s="24" t="str">
        <x:v>Stabilizer</x:v>
      </x:c>
      <x:c r="D8" s="28" t="str">
        <x:v>No</x:v>
      </x:c>
      <x:c r="E8" s="28" t="str">
        <x:v>No</x:v>
      </x:c>
      <x:c r="F8" s="28" t="str">
        <x:v>Yes</x:v>
      </x:c>
      <x:c r="G8" s="24" t="str">
        <x:v>Externally rotates/adducts hip; stabilizes femoral head</x:v>
      </x:c>
      <x:c r="H8" s="24" t="str">
        <x:v>Lateral border ischial tuberosity</x:v>
      </x:c>
      <x:c r="I8" s="24" t="str">
        <x:v>Quadrate tubercle of intertrochanteric crest</x:v>
      </x:c>
      <x:c r="J8" s="24" t="str">
        <x:v>Nerve to quadratus femoris</x:v>
      </x:c>
      <x:c r="K8" s="24" t="str">
        <x:v>L4-S1</x:v>
      </x:c>
      <x:c r="L8" s="24" t="str">
        <x:v>Short femoral insertion tendon</x:v>
      </x:c>
      <x:c r="M8" s="24" t="str">
        <x:v>Ischiofemoral ligament posterior to hip joint nearby</x:v>
      </x:c>
      <x:c r="N8" s="30" t="str">
        <x:v>Not established</x:v>
      </x:c>
      <x:c r="O8" s="30" t="str">
        <x:v>Not established</x:v>
      </x:c>
      <x:c r="P8" s="30" t="str">
        <x:v>Mixed Type I and Type II; ratio unverified</x:v>
      </x:c>
      <x:c r="Q8" s="24" t="str">
        <x:v>Published biopsies insufficient to state a reliable per-muscle percentage; no inference from function</x:v>
      </x:c>
      <x:c r="R8" s="32" t="str">
        <x:v>https://www.kenhub.com/en/library/anatomy/lower-extremity-anatomy</x:v>
      </x:c>
      <x:c r="S8" s="32" t="str">
        <x:v>https://pubmed.ncbi.nlm.nih.gov/39359186/</x:v>
      </x:c>
    </x:row>
    <x:row r="9" ht="53" customHeight="1">
      <x:c r="A9" s="24" t="str">
        <x:v>Superior gemellus</x:v>
      </x:c>
      <x:c r="B9" s="24" t="str">
        <x:v>Deep gluteal</x:v>
      </x:c>
      <x:c r="C9" s="24" t="str">
        <x:v>Stabilizer</x:v>
      </x:c>
      <x:c r="D9" s="28" t="str">
        <x:v>No</x:v>
      </x:c>
      <x:c r="E9" s="28" t="str">
        <x:v>No</x:v>
      </x:c>
      <x:c r="F9" s="28" t="str">
        <x:v>Yes</x:v>
      </x:c>
      <x:c r="G9" s="24" t="str">
        <x:v>Externally rotates extended hip; abducts flexed hip</x:v>
      </x:c>
      <x:c r="H9" s="24" t="str">
        <x:v>Ischial spine</x:v>
      </x:c>
      <x:c r="I9" s="24" t="str">
        <x:v>Medial greater trochanter with obturator internus</x:v>
      </x:c>
      <x:c r="J9" s="24" t="str">
        <x:v>Nerve to obturator internus</x:v>
      </x:c>
      <x:c r="K9" s="24" t="str">
        <x:v>L5-S2</x:v>
      </x:c>
      <x:c r="L9" s="24" t="str">
        <x:v>Common tendon with obturator internus</x:v>
      </x:c>
      <x:c r="M9" s="24" t="str">
        <x:v>Sacrospinous ligament attached to ischial spine nearby</x:v>
      </x:c>
      <x:c r="N9" s="30" t="str">
        <x:v>Not established</x:v>
      </x:c>
      <x:c r="O9" s="30" t="str">
        <x:v>Not established</x:v>
      </x:c>
      <x:c r="P9" s="30" t="str">
        <x:v>Mixed Type I and Type II; ratio unverified</x:v>
      </x:c>
      <x:c r="Q9" s="24" t="str">
        <x:v>Published biopsies insufficient to state a reliable per-muscle percentage; no inference from function</x:v>
      </x:c>
      <x:c r="R9" s="32" t="str">
        <x:v>https://www.kenhub.com/en/library/anatomy/lower-extremity-anatomy</x:v>
      </x:c>
      <x:c r="S9" s="32" t="str">
        <x:v>https://pubmed.ncbi.nlm.nih.gov/39359186/</x:v>
      </x:c>
    </x:row>
    <x:row r="10" ht="53" customHeight="1">
      <x:c r="A10" s="24" t="str">
        <x:v>Obturator externus</x:v>
      </x:c>
      <x:c r="B10" s="24" t="str">
        <x:v>Deep hip</x:v>
      </x:c>
      <x:c r="C10" s="24" t="str">
        <x:v>Stabilizer</x:v>
      </x:c>
      <x:c r="D10" s="28" t="str">
        <x:v>No</x:v>
      </x:c>
      <x:c r="E10" s="28" t="str">
        <x:v>No</x:v>
      </x:c>
      <x:c r="F10" s="28" t="str">
        <x:v>Yes</x:v>
      </x:c>
      <x:c r="G10" s="24" t="str">
        <x:v>Externally rotates hip; supports femoral head</x:v>
      </x:c>
      <x:c r="H10" s="24" t="str">
        <x:v>External obturator membrane; adjacent pubis and ischium</x:v>
      </x:c>
      <x:c r="I10" s="24" t="str">
        <x:v>Trochanteric fossa femur</x:v>
      </x:c>
      <x:c r="J10" s="24" t="str">
        <x:v>Obturator nerve posterior division</x:v>
      </x:c>
      <x:c r="K10" s="24" t="str">
        <x:v>L3-L4</x:v>
      </x:c>
      <x:c r="L10" s="24" t="str">
        <x:v>Obturator externus tendon</x:v>
      </x:c>
      <x:c r="M10" s="24" t="str">
        <x:v>Obturator membrane direct origin</x:v>
      </x:c>
      <x:c r="N10" s="30" t="str">
        <x:v>Not established</x:v>
      </x:c>
      <x:c r="O10" s="30" t="str">
        <x:v>Not established</x:v>
      </x:c>
      <x:c r="P10" s="30" t="str">
        <x:v>Mixed Type I and Type II; ratio unverified</x:v>
      </x:c>
      <x:c r="Q10" s="24" t="str">
        <x:v>Published biopsies insufficient to state a reliable per-muscle percentage; no inference from function</x:v>
      </x:c>
      <x:c r="R10" s="32" t="str">
        <x:v>https://www.kenhub.com/en/library/anatomy/lower-extremity-anatomy</x:v>
      </x:c>
      <x:c r="S10" s="32" t="str">
        <x:v>https://pubmed.ncbi.nlm.nih.gov/39359186/</x:v>
      </x:c>
    </x:row>
    <x:row r="11" ht="53" customHeight="1">
      <x:c r="A11" s="24" t="str">
        <x:v>Iliacus</x:v>
      </x:c>
      <x:c r="B11" s="24" t="str">
        <x:v>Iliopsoas</x:v>
      </x:c>
      <x:c r="C11" s="24" t="str">
        <x:v>Flexor; Stabilizer</x:v>
      </x:c>
      <x:c r="D11" s="28" t="str">
        <x:v>Yes</x:v>
      </x:c>
      <x:c r="E11" s="28" t="str">
        <x:v>No</x:v>
      </x:c>
      <x:c r="F11" s="28" t="str">
        <x:v>Yes</x:v>
      </x:c>
      <x:c r="G11" s="24" t="str">
        <x:v>Hip flexion; pelvic/anterior hip stability</x:v>
      </x:c>
      <x:c r="H11" s="24" t="str">
        <x:v>Iliac fossa; iliac crest; ala sacrum</x:v>
      </x:c>
      <x:c r="I11" s="24" t="str">
        <x:v>Lesser trochanter with psoas major</x:v>
      </x:c>
      <x:c r="J11" s="24" t="str">
        <x:v>Femoral nerve</x:v>
      </x:c>
      <x:c r="K11" s="24" t="str">
        <x:v>L2-L3</x:v>
      </x:c>
      <x:c r="L11" s="24" t="str">
        <x:v>Iliopsoas shared tendon</x:v>
      </x:c>
      <x:c r="M11" s="24" t="str">
        <x:v>Inguinal ligament crosses tendon anteriorly (not attachment)</x:v>
      </x:c>
      <x:c r="N11" s="30" t="str">
        <x:v>Not established</x:v>
      </x:c>
      <x:c r="O11" s="30" t="str">
        <x:v>Not established</x:v>
      </x:c>
      <x:c r="P11" s="30" t="str">
        <x:v>Mixed Type I and Type II; ratio unverified</x:v>
      </x:c>
      <x:c r="Q11" s="24" t="str">
        <x:v>Published biopsies insufficient to state a reliable per-muscle percentage; no inference from function</x:v>
      </x:c>
      <x:c r="R11" s="32" t="str">
        <x:v>https://www.kenhub.com/en/library/anatomy/lower-extremity-anatomy</x:v>
      </x:c>
      <x:c r="S11" s="32" t="str">
        <x:v>https://pubmed.ncbi.nlm.nih.gov/39359186/</x:v>
      </x:c>
    </x:row>
    <x:row r="12" ht="53" customHeight="1">
      <x:c r="A12" s="24" t="str">
        <x:v>Psoas major</x:v>
      </x:c>
      <x:c r="B12" s="24" t="str">
        <x:v>Iliopsoas</x:v>
      </x:c>
      <x:c r="C12" s="24" t="str">
        <x:v>Flexor; Stabilizer</x:v>
      </x:c>
      <x:c r="D12" s="28" t="str">
        <x:v>Yes</x:v>
      </x:c>
      <x:c r="E12" s="28" t="str">
        <x:v>No</x:v>
      </x:c>
      <x:c r="F12" s="28" t="str">
        <x:v>Yes</x:v>
      </x:c>
      <x:c r="G12" s="24" t="str">
        <x:v>Hip flexion; trunk flexion when femur fixed; lumbar stabilization</x:v>
      </x:c>
      <x:c r="H12" s="24" t="str">
        <x:v>Vertebral bodies/discs T12-L5 and transverse processes L1-L5</x:v>
      </x:c>
      <x:c r="I12" s="24" t="str">
        <x:v>Lesser trochanter via iliopsoas tendon</x:v>
      </x:c>
      <x:c r="J12" s="24" t="str">
        <x:v>Direct anterior rami lumbar spinal nerves</x:v>
      </x:c>
      <x:c r="K12" s="24" t="str">
        <x:v>L1-L3 (often L1-L4)</x:v>
      </x:c>
      <x:c r="L12" s="24" t="str">
        <x:v>Iliopsoas shared tendon</x:v>
      </x:c>
      <x:c r="M12" s="24" t="str">
        <x:v>Iliolumbar ligament nearby; not a standard tendon attachment</x:v>
      </x:c>
      <x:c r="N12" s="30" t="str">
        <x:v>Not established</x:v>
      </x:c>
      <x:c r="O12" s="30" t="str">
        <x:v>Not established</x:v>
      </x:c>
      <x:c r="P12" s="30" t="str">
        <x:v>Mixed Type I and Type II; ratio unverified</x:v>
      </x:c>
      <x:c r="Q12" s="24" t="str">
        <x:v>Published biopsies insufficient to state a reliable per-muscle percentage; no inference from function</x:v>
      </x:c>
      <x:c r="R12" s="32" t="str">
        <x:v>https://www.kenhub.com/en/library/anatomy/lower-extremity-anatomy</x:v>
      </x:c>
      <x:c r="S12" s="32" t="str">
        <x:v>https://pubmed.ncbi.nlm.nih.gov/39359186/</x:v>
      </x:c>
    </x:row>
    <x:row r="13" ht="53" customHeight="1">
      <x:c r="A13" s="24" t="str">
        <x:v>Psoas minor (variable/absent)</x:v>
      </x:c>
      <x:c r="B13" s="24" t="str">
        <x:v>Iliopsoas accessory</x:v>
      </x:c>
      <x:c r="C13" s="24" t="str">
        <x:v>Flexor</x:v>
      </x:c>
      <x:c r="D13" s="28" t="str">
        <x:v>Yes</x:v>
      </x:c>
      <x:c r="E13" s="28" t="str">
        <x:v>No</x:v>
      </x:c>
      <x:c r="F13" s="28" t="str">
        <x:v>No</x:v>
      </x:c>
      <x:c r="G13" s="24" t="str">
        <x:v>Weak trunk flexion and tension of iliac fascia</x:v>
      </x:c>
      <x:c r="H13" s="24" t="str">
        <x:v>Bodies/disc T12-L1</x:v>
      </x:c>
      <x:c r="I13" s="24" t="str">
        <x:v>Iliopectineal eminence and iliac fascia</x:v>
      </x:c>
      <x:c r="J13" s="24" t="str">
        <x:v>Anterior ramus L1</x:v>
      </x:c>
      <x:c r="K13" s="24" t="str">
        <x:v>L1</x:v>
      </x:c>
      <x:c r="L13" s="24" t="str">
        <x:v>Long psoas minor tendon</x:v>
      </x:c>
      <x:c r="M13" s="24" t="str">
        <x:v>Iliopubic tract nearby, not direct insertion</x:v>
      </x:c>
      <x:c r="N13" s="30" t="str">
        <x:v>Not established</x:v>
      </x:c>
      <x:c r="O13" s="30" t="str">
        <x:v>Not established</x:v>
      </x:c>
      <x:c r="P13" s="30" t="str">
        <x:v>Mixed Type I and Type II; ratio unverified</x:v>
      </x:c>
      <x:c r="Q13" s="24" t="str">
        <x:v>Published biopsies insufficient to state a reliable per-muscle percentage; no inference from function</x:v>
      </x:c>
      <x:c r="R13" s="32" t="str">
        <x:v>https://www.kenhub.com/en/library/anatomy/lower-extremity-anatomy</x:v>
      </x:c>
      <x:c r="S13" s="32" t="str">
        <x:v>https://pubmed.ncbi.nlm.nih.gov/39359186/</x:v>
      </x:c>
    </x:row>
    <x:row r="14" ht="53" customHeight="1">
      <x:c r="A14" s="24" t="str">
        <x:v>Tensor fasciae latae</x:v>
      </x:c>
      <x:c r="B14" s="24" t="str">
        <x:v>Lateral hip</x:v>
      </x:c>
      <x:c r="C14" s="24" t="str">
        <x:v>Flexor; Stabilizer</x:v>
      </x:c>
      <x:c r="D14" s="28" t="str">
        <x:v>Yes</x:v>
      </x:c>
      <x:c r="E14" s="28" t="str">
        <x:v>No</x:v>
      </x:c>
      <x:c r="F14" s="28" t="str">
        <x:v>Yes</x:v>
      </x:c>
      <x:c r="G14" s="24" t="str">
        <x:v>Flexes/abducts/medially rotates hip; stabilizes knee/pelvis</x:v>
      </x:c>
      <x:c r="H14" s="24" t="str">
        <x:v>ASIS and anterior iliac crest</x:v>
      </x:c>
      <x:c r="I14" s="24" t="str">
        <x:v>Iliotibial tract (lateral tibial condyle)</x:v>
      </x:c>
      <x:c r="J14" s="24" t="str">
        <x:v>Superior gluteal nerve</x:v>
      </x:c>
      <x:c r="K14" s="24" t="str">
        <x:v>L4-S1</x:v>
      </x:c>
      <x:c r="L14" s="24" t="str">
        <x:v>Iliotibial tract (fascial thickening)</x:v>
      </x:c>
      <x:c r="M14" s="24" t="str">
        <x:v>IT tract is fascia, not a ligament; capsule nearby</x:v>
      </x:c>
      <x:c r="N14" s="30" t="str">
        <x:v>Not established</x:v>
      </x:c>
      <x:c r="O14" s="30" t="str">
        <x:v>Not established</x:v>
      </x:c>
      <x:c r="P14" s="30" t="str">
        <x:v>Mixed Type I and Type II; ratio unverified</x:v>
      </x:c>
      <x:c r="Q14" s="24" t="str">
        <x:v>Published biopsies insufficient to state a reliable per-muscle percentage; no inference from function</x:v>
      </x:c>
      <x:c r="R14" s="32" t="str">
        <x:v>https://www.kenhub.com/en/library/anatomy/lower-extremity-anatomy</x:v>
      </x:c>
      <x:c r="S14" s="32" t="str">
        <x:v>https://pubmed.ncbi.nlm.nih.gov/39359186/</x:v>
      </x:c>
    </x:row>
    <x:row r="15" ht="53" customHeight="1">
      <x:c r="A15" s="24" t="str">
        <x:v>Gluteus maximus</x:v>
      </x:c>
      <x:c r="B15" s="24" t="str">
        <x:v>Superficial gluteal</x:v>
      </x:c>
      <x:c r="C15" s="24" t="str">
        <x:v>Extensor; Stabilizer</x:v>
      </x:c>
      <x:c r="D15" s="28" t="str">
        <x:v>No</x:v>
      </x:c>
      <x:c r="E15" s="28" t="str">
        <x:v>Yes</x:v>
      </x:c>
      <x:c r="F15" s="28" t="str">
        <x:v>Yes</x:v>
      </x:c>
      <x:c r="G15" s="24" t="str">
        <x:v>Powerful hip extension and external rotation; steadies pelvis</x:v>
      </x:c>
      <x:c r="H15" s="24" t="str">
        <x:v>Posterior ilium; sacrum; coccyx; sacrotuberous ligament</x:v>
      </x:c>
      <x:c r="I15" s="24" t="str">
        <x:v>Iliotibial tract and gluteal tuberosity femur</x:v>
      </x:c>
      <x:c r="J15" s="24" t="str">
        <x:v>Inferior gluteal nerve</x:v>
      </x:c>
      <x:c r="K15" s="24" t="str">
        <x:v>L5-S2</x:v>
      </x:c>
      <x:c r="L15" s="24" t="str">
        <x:v>Iliotibial tract aponeurosis and gluteal tendon</x:v>
      </x:c>
      <x:c r="M15" s="24" t="str">
        <x:v>Sacrotuberous ligament direct origin; IT tract is fascia</x:v>
      </x:c>
      <x:c r="N15" s="30" t="str">
        <x:v>Not established</x:v>
      </x:c>
      <x:c r="O15" s="30" t="str">
        <x:v>Not established</x:v>
      </x:c>
      <x:c r="P15" s="30" t="str">
        <x:v>Mixed Type I and Type II; ratio unverified</x:v>
      </x:c>
      <x:c r="Q15" s="24" t="str">
        <x:v>Published biopsies insufficient to state a reliable per-muscle percentage; no inference from function</x:v>
      </x:c>
      <x:c r="R15" s="32" t="str">
        <x:v>https://www.kenhub.com/en/library/anatomy/lower-extremity-anatomy</x:v>
      </x:c>
      <x:c r="S15" s="32" t="str">
        <x:v>https://pubmed.ncbi.nlm.nih.gov/39359186/</x:v>
      </x:c>
    </x:row>
    <x:row r="16" ht="53" customHeight="1">
      <x:c r="A16" s="24" t="str">
        <x:v>Gluteus medius</x:v>
      </x:c>
      <x:c r="B16" s="24" t="str">
        <x:v>Superficial gluteal</x:v>
      </x:c>
      <x:c r="C16" s="24" t="str">
        <x:v>Stabilizer</x:v>
      </x:c>
      <x:c r="D16" s="28" t="str">
        <x:v>No</x:v>
      </x:c>
      <x:c r="E16" s="28" t="str">
        <x:v>No</x:v>
      </x:c>
      <x:c r="F16" s="28" t="str">
        <x:v>Yes</x:v>
      </x:c>
      <x:c r="G16" s="24" t="str">
        <x:v>Abducts hip; stabilizes pelvis in single-leg stance</x:v>
      </x:c>
      <x:c r="H16" s="24" t="str">
        <x:v>External ilium between anterior and posterior gluteal lines</x:v>
      </x:c>
      <x:c r="I16" s="24" t="str">
        <x:v>Lateral surface greater trochanter</x:v>
      </x:c>
      <x:c r="J16" s="24" t="str">
        <x:v>Superior gluteal nerve</x:v>
      </x:c>
      <x:c r="K16" s="24" t="str">
        <x:v>L4-S1</x:v>
      </x:c>
      <x:c r="L16" s="24" t="str">
        <x:v>Gluteus medius tendon</x:v>
      </x:c>
      <x:c r="M16" s="24" t="str">
        <x:v>Iliofemoral ligament adjacent to joint, not direct origin</x:v>
      </x:c>
      <x:c r="N16" s="30" t="str">
        <x:v>Not established</x:v>
      </x:c>
      <x:c r="O16" s="30" t="str">
        <x:v>Not established</x:v>
      </x:c>
      <x:c r="P16" s="30" t="str">
        <x:v>Mixed Type I and Type II; ratio unverified</x:v>
      </x:c>
      <x:c r="Q16" s="24" t="str">
        <x:v>Published biopsies insufficient to state a reliable per-muscle percentage; no inference from function</x:v>
      </x:c>
      <x:c r="R16" s="32" t="str">
        <x:v>https://www.kenhub.com/en/library/anatomy/lower-extremity-anatomy</x:v>
      </x:c>
      <x:c r="S16" s="32" t="str">
        <x:v>https://pubmed.ncbi.nlm.nih.gov/39359186/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2a1c2410c90b41b0"/>
  </x:tableParts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THIGH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18 detailed entries | attachments and motor innervation | nearby versus direct ligament relationships explicitly indicated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Sartorius</x:v>
      </x:c>
      <x:c r="B4" s="24" t="str">
        <x:v>Anterior thigh</x:v>
      </x:c>
      <x:c r="C4" s="24" t="str">
        <x:v>Flexor; Stabilizer</x:v>
      </x:c>
      <x:c r="D4" s="28" t="str">
        <x:v>Yes</x:v>
      </x:c>
      <x:c r="E4" s="28" t="str">
        <x:v>No</x:v>
      </x:c>
      <x:c r="F4" s="28" t="str">
        <x:v>Yes</x:v>
      </x:c>
      <x:c r="G4" s="24" t="str">
        <x:v>Hip flexion/abduction/external rotation; knee flexion</x:v>
      </x:c>
      <x:c r="H4" s="24" t="str">
        <x:v>Anterior superior iliac spine</x:v>
      </x:c>
      <x:c r="I4" s="24" t="str">
        <x:v>Superomedial tibia via pes anserinus</x:v>
      </x:c>
      <x:c r="J4" s="24" t="str">
        <x:v>Femoral nerve</x:v>
      </x:c>
      <x:c r="K4" s="24" t="str">
        <x:v>L2-L3</x:v>
      </x:c>
      <x:c r="L4" s="24" t="str">
        <x:v>Pes anserinus superficial tendon</x:v>
      </x:c>
      <x:c r="M4" s="24" t="str">
        <x:v>Medial collateral ligament of knee lies deep to pes anserinus</x:v>
      </x:c>
      <x:c r="N4" s="30" t="str">
        <x:v>Not established</x:v>
      </x:c>
      <x:c r="O4" s="30" t="str">
        <x:v>Not established</x:v>
      </x:c>
      <x:c r="P4" s="30" t="str">
        <x:v>Mixed Type I and Type II; ratio unverified</x:v>
      </x:c>
      <x:c r="Q4" s="24" t="str">
        <x:v>Published biopsies insufficient to state a reliable per-muscle percentage; no inference from function</x:v>
      </x:c>
      <x:c r="R4" s="32" t="str">
        <x:v>https://www.kenhub.com/en/library/anatomy/lower-extremity-anatomy</x:v>
      </x:c>
      <x:c r="S4" s="32" t="str">
        <x:v>https://pubmed.ncbi.nlm.nih.gov/39359186/</x:v>
      </x:c>
    </x:row>
    <x:row r="5" ht="53" customHeight="1">
      <x:c r="A5" s="24" t="str">
        <x:v>Rectus femoris reflected head</x:v>
      </x:c>
      <x:c r="B5" s="24" t="str">
        <x:v>Anterior thigh quadriceps</x:v>
      </x:c>
      <x:c r="C5" s="24" t="str">
        <x:v>Flexor; Extensor</x:v>
      </x:c>
      <x:c r="D5" s="28" t="str">
        <x:v>Yes</x:v>
      </x:c>
      <x:c r="E5" s="28" t="str">
        <x:v>Yes</x:v>
      </x:c>
      <x:c r="F5" s="28" t="str">
        <x:v>No</x:v>
      </x:c>
      <x:c r="G5" s="24" t="str">
        <x:v>Knee extension; hip flexion</x:v>
      </x:c>
      <x:c r="H5" s="24" t="str">
        <x:v>Supra-acetabular groove and hip capsule</x:v>
      </x:c>
      <x:c r="I5" s="24" t="str">
        <x:v>Patella then tibial tuberosity via patellar ligament</x:v>
      </x:c>
      <x:c r="J5" s="24" t="str">
        <x:v>Femoral nerve</x:v>
      </x:c>
      <x:c r="K5" s="24" t="str">
        <x:v>L2-L4</x:v>
      </x:c>
      <x:c r="L5" s="24" t="str">
        <x:v>Reflected proximal tendon; quadriceps tendon</x:v>
      </x:c>
      <x:c r="M5" s="24" t="str">
        <x:v>Hip capsule origin and patellar ligament distal continuation</x:v>
      </x:c>
      <x:c r="N5" s="30" t="str">
        <x:v>Not established</x:v>
      </x:c>
      <x:c r="O5" s="30" t="str">
        <x:v>Not established</x:v>
      </x:c>
      <x:c r="P5" s="30" t="str">
        <x:v>Mixed Type I and Type II; ratio unverified</x:v>
      </x:c>
      <x:c r="Q5" s="24" t="str">
        <x:v>Published biopsies insufficient to state a reliable per-muscle percentage; no inference from function</x:v>
      </x:c>
      <x:c r="R5" s="32" t="str">
        <x:v>https://www.kenhub.com/en/library/anatomy/lower-extremity-anatomy</x:v>
      </x:c>
      <x:c r="S5" s="32" t="str">
        <x:v>https://pubmed.ncbi.nlm.nih.gov/39359186/</x:v>
      </x:c>
    </x:row>
    <x:row r="6" ht="53" customHeight="1">
      <x:c r="A6" s="24" t="str">
        <x:v>Rectus femoris straight head</x:v>
      </x:c>
      <x:c r="B6" s="24" t="str">
        <x:v>Anterior thigh quadriceps</x:v>
      </x:c>
      <x:c r="C6" s="24" t="str">
        <x:v>Flexor; Extensor</x:v>
      </x:c>
      <x:c r="D6" s="28" t="str">
        <x:v>Yes</x:v>
      </x:c>
      <x:c r="E6" s="28" t="str">
        <x:v>Yes</x:v>
      </x:c>
      <x:c r="F6" s="28" t="str">
        <x:v>No</x:v>
      </x:c>
      <x:c r="G6" s="24" t="str">
        <x:v>Extends knee and flexes hip</x:v>
      </x:c>
      <x:c r="H6" s="24" t="str">
        <x:v>Anterior inferior iliac spine</x:v>
      </x:c>
      <x:c r="I6" s="24" t="str">
        <x:v>Patella and tibial tuberosity via patellar ligament</x:v>
      </x:c>
      <x:c r="J6" s="24" t="str">
        <x:v>Femoral nerve</x:v>
      </x:c>
      <x:c r="K6" s="24" t="str">
        <x:v>L2-L4</x:v>
      </x:c>
      <x:c r="L6" s="24" t="str">
        <x:v>Quadriceps tendon; patellar ligament continuation</x:v>
      </x:c>
      <x:c r="M6" s="24" t="str">
        <x:v>Patellar ligament directly transmits quadriceps force</x:v>
      </x:c>
      <x:c r="N6" s="30" t="str">
        <x:v>Not established</x:v>
      </x:c>
      <x:c r="O6" s="30" t="str">
        <x:v>Not established</x:v>
      </x:c>
      <x:c r="P6" s="30" t="str">
        <x:v>Mixed Type I and Type II; ratio unverified</x:v>
      </x:c>
      <x:c r="Q6" s="24" t="str">
        <x:v>Published biopsies insufficient to state a reliable per-muscle percentage; no inference from function</x:v>
      </x:c>
      <x:c r="R6" s="32" t="str">
        <x:v>https://www.kenhub.com/en/library/anatomy/lower-extremity-anatomy</x:v>
      </x:c>
      <x:c r="S6" s="32" t="str">
        <x:v>https://pubmed.ncbi.nlm.nih.gov/39359186/</x:v>
      </x:c>
    </x:row>
    <x:row r="7" ht="53" customHeight="1">
      <x:c r="A7" s="24" t="str">
        <x:v>Vastus intermedius</x:v>
      </x:c>
      <x:c r="B7" s="24" t="str">
        <x:v>Anterior thigh quadriceps</x:v>
      </x:c>
      <x:c r="C7" s="24" t="str">
        <x:v>Extensor</x:v>
      </x:c>
      <x:c r="D7" s="28" t="str">
        <x:v>No</x:v>
      </x:c>
      <x:c r="E7" s="28" t="str">
        <x:v>Yes</x:v>
      </x:c>
      <x:c r="F7" s="28" t="str">
        <x:v>No</x:v>
      </x:c>
      <x:c r="G7" s="24" t="str">
        <x:v>Extends knee</x:v>
      </x:c>
      <x:c r="H7" s="24" t="str">
        <x:v>Anterior/lateral proximal two-thirds femoral shaft</x:v>
      </x:c>
      <x:c r="I7" s="24" t="str">
        <x:v>Patella via quadriceps tendon; tibial tuberosity via patellar ligament</x:v>
      </x:c>
      <x:c r="J7" s="24" t="str">
        <x:v>Femoral nerve</x:v>
      </x:c>
      <x:c r="K7" s="24" t="str">
        <x:v>L2-L4</x:v>
      </x:c>
      <x:c r="L7" s="24" t="str">
        <x:v>Deep quadriceps tendon</x:v>
      </x:c>
      <x:c r="M7" s="24" t="str">
        <x:v>Patellar ligament distal continuation</x:v>
      </x:c>
      <x:c r="N7" s="30" t="str">
        <x:v>Not established</x:v>
      </x:c>
      <x:c r="O7" s="30" t="str">
        <x:v>Not established</x:v>
      </x:c>
      <x:c r="P7" s="30" t="str">
        <x:v>Mixed Type I and Type II; ratio unverified</x:v>
      </x:c>
      <x:c r="Q7" s="24" t="str">
        <x:v>Published biopsies insufficient to state a reliable per-muscle percentage; no inference from function</x:v>
      </x:c>
      <x:c r="R7" s="32" t="str">
        <x:v>https://www.kenhub.com/en/library/anatomy/lower-extremity-anatomy</x:v>
      </x:c>
      <x:c r="S7" s="32" t="str">
        <x:v>https://pubmed.ncbi.nlm.nih.gov/39359186/</x:v>
      </x:c>
    </x:row>
    <x:row r="8" ht="53" customHeight="1">
      <x:c r="A8" s="24" t="str">
        <x:v>Vastus lateralis</x:v>
      </x:c>
      <x:c r="B8" s="24" t="str">
        <x:v>Anterior thigh quadriceps</x:v>
      </x:c>
      <x:c r="C8" s="24" t="str">
        <x:v>Extensor; Stabilizer</x:v>
      </x:c>
      <x:c r="D8" s="28" t="str">
        <x:v>No</x:v>
      </x:c>
      <x:c r="E8" s="28" t="str">
        <x:v>Yes</x:v>
      </x:c>
      <x:c r="F8" s="28" t="str">
        <x:v>Yes</x:v>
      </x:c>
      <x:c r="G8" s="24" t="str">
        <x:v>Extends knee; lateral patellar restraint</x:v>
      </x:c>
      <x:c r="H8" s="24" t="str">
        <x:v>Greater trochanter; lateral lip linea aspera</x:v>
      </x:c>
      <x:c r="I8" s="24" t="str">
        <x:v>Patella via quadriceps tendon; tibial tuberosity via patellar ligament</x:v>
      </x:c>
      <x:c r="J8" s="24" t="str">
        <x:v>Femoral nerve</x:v>
      </x:c>
      <x:c r="K8" s="24" t="str">
        <x:v>L2-L4</x:v>
      </x:c>
      <x:c r="L8" s="24" t="str">
        <x:v>Quadriceps tendon and lateral retinaculum</x:v>
      </x:c>
      <x:c r="M8" s="24" t="str">
        <x:v>Patellar ligament is distal continuation</x:v>
      </x:c>
      <x:c r="N8" s="30" t="str">
        <x:v>Not established</x:v>
      </x:c>
      <x:c r="O8" s="30" t="str">
        <x:v>Not established</x:v>
      </x:c>
      <x:c r="P8" s="30" t="str">
        <x:v>Mixed Type I and Type II; ratio unverified</x:v>
      </x:c>
      <x:c r="Q8" s="24" t="str">
        <x:v>Published biopsies insufficient to state a reliable per-muscle percentage; no inference from function</x:v>
      </x:c>
      <x:c r="R8" s="32" t="str">
        <x:v>https://www.kenhub.com/en/library/anatomy/lower-extremity-anatomy</x:v>
      </x:c>
      <x:c r="S8" s="32" t="str">
        <x:v>https://pubmed.ncbi.nlm.nih.gov/39359186/</x:v>
      </x:c>
    </x:row>
    <x:row r="9" ht="53" customHeight="1">
      <x:c r="A9" s="24" t="str">
        <x:v>Vastus medialis</x:v>
      </x:c>
      <x:c r="B9" s="24" t="str">
        <x:v>Anterior thigh quadriceps</x:v>
      </x:c>
      <x:c r="C9" s="24" t="str">
        <x:v>Extensor; Stabilizer</x:v>
      </x:c>
      <x:c r="D9" s="28" t="str">
        <x:v>No</x:v>
      </x:c>
      <x:c r="E9" s="28" t="str">
        <x:v>Yes</x:v>
      </x:c>
      <x:c r="F9" s="28" t="str">
        <x:v>Yes</x:v>
      </x:c>
      <x:c r="G9" s="24" t="str">
        <x:v>Knee extension; medial patellar stabilization</x:v>
      </x:c>
      <x:c r="H9" s="24" t="str">
        <x:v>Intertrochanteric line; medial lip linea aspera</x:v>
      </x:c>
      <x:c r="I9" s="24" t="str">
        <x:v>Patella via quadriceps tendon; tibial tuberosity via patellar ligament</x:v>
      </x:c>
      <x:c r="J9" s="24" t="str">
        <x:v>Femoral nerve</x:v>
      </x:c>
      <x:c r="K9" s="24" t="str">
        <x:v>L2-L4</x:v>
      </x:c>
      <x:c r="L9" s="24" t="str">
        <x:v>Quadriceps tendon; medial patellar retinaculum</x:v>
      </x:c>
      <x:c r="M9" s="24" t="str">
        <x:v>Medial patellofemoral ligament adjacent to VM oblique fibers</x:v>
      </x:c>
      <x:c r="N9" s="30" t="str">
        <x:v>Not established</x:v>
      </x:c>
      <x:c r="O9" s="30" t="str">
        <x:v>Not established</x:v>
      </x:c>
      <x:c r="P9" s="30" t="str">
        <x:v>Mixed Type I and Type II; ratio unverified</x:v>
      </x:c>
      <x:c r="Q9" s="24" t="str">
        <x:v>Published biopsies insufficient to state a reliable per-muscle percentage; no inference from function</x:v>
      </x:c>
      <x:c r="R9" s="32" t="str">
        <x:v>https://www.kenhub.com/en/library/anatomy/lower-extremity-anatomy</x:v>
      </x:c>
      <x:c r="S9" s="32" t="str">
        <x:v>https://pubmed.ncbi.nlm.nih.gov/39359186/</x:v>
      </x:c>
    </x:row>
    <x:row r="10" ht="53" customHeight="1">
      <x:c r="A10" s="24" t="str">
        <x:v>Articularis genus</x:v>
      </x:c>
      <x:c r="B10" s="24" t="str">
        <x:v>Deep anterior thigh</x:v>
      </x:c>
      <x:c r="C10" s="24" t="str">
        <x:v>Stabilizer</x:v>
      </x:c>
      <x:c r="D10" s="28" t="str">
        <x:v>No</x:v>
      </x:c>
      <x:c r="E10" s="28" t="str">
        <x:v>No</x:v>
      </x:c>
      <x:c r="F10" s="28" t="str">
        <x:v>Yes</x:v>
      </x:c>
      <x:c r="G10" s="24" t="str">
        <x:v>Pulls suprapatellar bursa/capsule superiorly during extension</x:v>
      </x:c>
      <x:c r="H10" s="24" t="str">
        <x:v>Distal anterior femoral shaft</x:v>
      </x:c>
      <x:c r="I10" s="24" t="str">
        <x:v>Suprapatellar bursa and knee joint capsule</x:v>
      </x:c>
      <x:c r="J10" s="24" t="str">
        <x:v>Femoral nerve</x:v>
      </x:c>
      <x:c r="K10" s="24" t="str">
        <x:v>L2-L4</x:v>
      </x:c>
      <x:c r="L10" s="24" t="str">
        <x:v>Short capsular insertion slips</x:v>
      </x:c>
      <x:c r="M10" s="24" t="str">
        <x:v>Suprapatellar joint capsule associated</x:v>
      </x:c>
      <x:c r="N10" s="30" t="str">
        <x:v>Not established</x:v>
      </x:c>
      <x:c r="O10" s="30" t="str">
        <x:v>Not established</x:v>
      </x:c>
      <x:c r="P10" s="30" t="str">
        <x:v>Mixed Type I and Type II; ratio unverified</x:v>
      </x:c>
      <x:c r="Q10" s="24" t="str">
        <x:v>Published biopsies insufficient to state a reliable per-muscle percentage; no inference from function</x:v>
      </x:c>
      <x:c r="R10" s="32" t="str">
        <x:v>https://www.kenhub.com/en/library/anatomy/lower-extremity-anatomy</x:v>
      </x:c>
      <x:c r="S10" s="32" t="str">
        <x:v>https://pubmed.ncbi.nlm.nih.gov/39359186/</x:v>
      </x:c>
    </x:row>
    <x:row r="11" ht="53" customHeight="1">
      <x:c r="A11" s="24" t="str">
        <x:v>Adductor minimus (proximal magnus subdivision)</x:v>
      </x:c>
      <x:c r="B11" s="24" t="str">
        <x:v>Deep medial thigh</x:v>
      </x:c>
      <x:c r="C11" s="24" t="str">
        <x:v>Stabilizer</x:v>
      </x:c>
      <x:c r="D11" s="28" t="str">
        <x:v>No</x:v>
      </x:c>
      <x:c r="E11" s="28" t="str">
        <x:v>No</x:v>
      </x:c>
      <x:c r="F11" s="28" t="str">
        <x:v>Yes</x:v>
      </x:c>
      <x:c r="G11" s="24" t="str">
        <x:v>Adducts and externally rotates hip</x:v>
      </x:c>
      <x:c r="H11" s="24" t="str">
        <x:v>Ischiopubic ramus</x:v>
      </x:c>
      <x:c r="I11" s="24" t="str">
        <x:v>Gluteal tuberosity and upper linea aspera</x:v>
      </x:c>
      <x:c r="J11" s="24" t="str">
        <x:v>Obturator nerve posterior division</x:v>
      </x:c>
      <x:c r="K11" s="24" t="str">
        <x:v>L2-L4</x:v>
      </x:c>
      <x:c r="L11" s="24" t="str">
        <x:v>Broad short insertion</x:v>
      </x:c>
      <x:c r="M11" s="24" t="str">
        <x:v>No specific direct ligament attachment</x:v>
      </x:c>
      <x:c r="N11" s="30" t="str">
        <x:v>Not established</x:v>
      </x:c>
      <x:c r="O11" s="30" t="str">
        <x:v>Not established</x:v>
      </x:c>
      <x:c r="P11" s="30" t="str">
        <x:v>Mixed Type I and Type II; ratio unverified</x:v>
      </x:c>
      <x:c r="Q11" s="24" t="str">
        <x:v>Published biopsies insufficient to state a reliable per-muscle percentage; no inference from function</x:v>
      </x:c>
      <x:c r="R11" s="32" t="str">
        <x:v>https://www.kenhub.com/en/library/anatomy/lower-extremity-anatomy</x:v>
      </x:c>
      <x:c r="S11" s="32" t="str">
        <x:v>https://pubmed.ncbi.nlm.nih.gov/39359186/</x:v>
      </x:c>
    </x:row>
    <x:row r="12" ht="53" customHeight="1">
      <x:c r="A12" s="24" t="str">
        <x:v>Adductor brevis</x:v>
      </x:c>
      <x:c r="B12" s="24" t="str">
        <x:v>Medial thigh</x:v>
      </x:c>
      <x:c r="C12" s="24" t="str">
        <x:v>Flexor; Stabilizer</x:v>
      </x:c>
      <x:c r="D12" s="28" t="str">
        <x:v>Yes</x:v>
      </x:c>
      <x:c r="E12" s="28" t="str">
        <x:v>No</x:v>
      </x:c>
      <x:c r="F12" s="28" t="str">
        <x:v>Yes</x:v>
      </x:c>
      <x:c r="G12" s="24" t="str">
        <x:v>Hip adduction, weak flexion</x:v>
      </x:c>
      <x:c r="H12" s="24" t="str">
        <x:v>Body/inferior ramus pubis</x:v>
      </x:c>
      <x:c r="I12" s="24" t="str">
        <x:v>Pectineal line and proximal linea aspera</x:v>
      </x:c>
      <x:c r="J12" s="24" t="str">
        <x:v>Obturator nerve</x:v>
      </x:c>
      <x:c r="K12" s="24" t="str">
        <x:v>L2-L4</x:v>
      </x:c>
      <x:c r="L12" s="24" t="str">
        <x:v>Short proximal tendon</x:v>
      </x:c>
      <x:c r="M12" s="24" t="str">
        <x:v>Pubic symphysis ligament region near origin</x:v>
      </x:c>
      <x:c r="N12" s="30" t="str">
        <x:v>Not established</x:v>
      </x:c>
      <x:c r="O12" s="30" t="str">
        <x:v>Not established</x:v>
      </x:c>
      <x:c r="P12" s="30" t="str">
        <x:v>Mixed Type I and Type II; ratio unverified</x:v>
      </x:c>
      <x:c r="Q12" s="24" t="str">
        <x:v>Published biopsies insufficient to state a reliable per-muscle percentage; no inference from function</x:v>
      </x:c>
      <x:c r="R12" s="32" t="str">
        <x:v>https://www.kenhub.com/en/library/anatomy/lower-extremity-anatomy</x:v>
      </x:c>
      <x:c r="S12" s="32" t="str">
        <x:v>https://pubmed.ncbi.nlm.nih.gov/39359186/</x:v>
      </x:c>
    </x:row>
    <x:row r="13" ht="53" customHeight="1">
      <x:c r="A13" s="24" t="str">
        <x:v>Adductor longus</x:v>
      </x:c>
      <x:c r="B13" s="24" t="str">
        <x:v>Medial thigh</x:v>
      </x:c>
      <x:c r="C13" s="24" t="str">
        <x:v>Flexor; Stabilizer</x:v>
      </x:c>
      <x:c r="D13" s="28" t="str">
        <x:v>Yes</x:v>
      </x:c>
      <x:c r="E13" s="28" t="str">
        <x:v>No</x:v>
      </x:c>
      <x:c r="F13" s="28" t="str">
        <x:v>Yes</x:v>
      </x:c>
      <x:c r="G13" s="24" t="str">
        <x:v>Hip adduction; assists hip flexion</x:v>
      </x:c>
      <x:c r="H13" s="24" t="str">
        <x:v>Body of pubis inferior to pubic crest</x:v>
      </x:c>
      <x:c r="I13" s="24" t="str">
        <x:v>Middle third linea aspera femur</x:v>
      </x:c>
      <x:c r="J13" s="24" t="str">
        <x:v>Obturator nerve anterior division</x:v>
      </x:c>
      <x:c r="K13" s="24" t="str">
        <x:v>L2-L4</x:v>
      </x:c>
      <x:c r="L13" s="24" t="str">
        <x:v>Strong proximal tendon; broad distal aponeurosis</x:v>
      </x:c>
      <x:c r="M13" s="24" t="str">
        <x:v>Pubic symphysis ligaments near origin</x:v>
      </x:c>
      <x:c r="N13" s="30" t="str">
        <x:v>Not established</x:v>
      </x:c>
      <x:c r="O13" s="30" t="str">
        <x:v>Not established</x:v>
      </x:c>
      <x:c r="P13" s="30" t="str">
        <x:v>Mixed Type I and Type II; ratio unverified</x:v>
      </x:c>
      <x:c r="Q13" s="24" t="str">
        <x:v>Published biopsies insufficient to state a reliable per-muscle percentage; no inference from function</x:v>
      </x:c>
      <x:c r="R13" s="32" t="str">
        <x:v>https://www.kenhub.com/en/library/anatomy/lower-extremity-anatomy</x:v>
      </x:c>
      <x:c r="S13" s="32" t="str">
        <x:v>https://pubmed.ncbi.nlm.nih.gov/39359186/</x:v>
      </x:c>
    </x:row>
    <x:row r="14" ht="53" customHeight="1">
      <x:c r="A14" s="24" t="str">
        <x:v>Adductor magnus adductor part</x:v>
      </x:c>
      <x:c r="B14" s="24" t="str">
        <x:v>Medial thigh</x:v>
      </x:c>
      <x:c r="C14" s="24" t="str">
        <x:v>Flexor; Stabilizer</x:v>
      </x:c>
      <x:c r="D14" s="28" t="str">
        <x:v>Yes</x:v>
      </x:c>
      <x:c r="E14" s="28" t="str">
        <x:v>No</x:v>
      </x:c>
      <x:c r="F14" s="28" t="str">
        <x:v>Yes</x:v>
      </x:c>
      <x:c r="G14" s="24" t="str">
        <x:v>Powerful hip adduction; assists hip flexion</x:v>
      </x:c>
      <x:c r="H14" s="24" t="str">
        <x:v>Inferior pubic ramus and ischial ramus</x:v>
      </x:c>
      <x:c r="I14" s="24" t="str">
        <x:v>Gluteal tuberosity, linea aspera, medial supracondylar line</x:v>
      </x:c>
      <x:c r="J14" s="24" t="str">
        <x:v>Obturator nerve posterior division</x:v>
      </x:c>
      <x:c r="K14" s="24" t="str">
        <x:v>L2-L4</x:v>
      </x:c>
      <x:c r="L14" s="24" t="str">
        <x:v>Broad aponeurotic femoral insertion</x:v>
      </x:c>
      <x:c r="M14" s="24" t="str">
        <x:v>No specific direct ligament attachment</x:v>
      </x:c>
      <x:c r="N14" s="30" t="str">
        <x:v>Not established</x:v>
      </x:c>
      <x:c r="O14" s="30" t="str">
        <x:v>Not established</x:v>
      </x:c>
      <x:c r="P14" s="30" t="str">
        <x:v>Mixed Type I and Type II; ratio unverified</x:v>
      </x:c>
      <x:c r="Q14" s="24" t="str">
        <x:v>Published biopsies insufficient to state a reliable per-muscle percentage; no inference from function</x:v>
      </x:c>
      <x:c r="R14" s="32" t="str">
        <x:v>https://www.kenhub.com/en/library/anatomy/lower-extremity-anatomy</x:v>
      </x:c>
      <x:c r="S14" s="32" t="str">
        <x:v>https://pubmed.ncbi.nlm.nih.gov/39359186/</x:v>
      </x:c>
    </x:row>
    <x:row r="15" ht="53" customHeight="1">
      <x:c r="A15" s="24" t="str">
        <x:v>Gracilis</x:v>
      </x:c>
      <x:c r="B15" s="24" t="str">
        <x:v>Medial thigh superficial</x:v>
      </x:c>
      <x:c r="C15" s="24" t="str">
        <x:v>Flexor; Stabilizer</x:v>
      </x:c>
      <x:c r="D15" s="28" t="str">
        <x:v>Yes</x:v>
      </x:c>
      <x:c r="E15" s="28" t="str">
        <x:v>No</x:v>
      </x:c>
      <x:c r="F15" s="28" t="str">
        <x:v>Yes</x:v>
      </x:c>
      <x:c r="G15" s="24" t="str">
        <x:v>Hip adduction; knee flexion; internal tibial rotation</x:v>
      </x:c>
      <x:c r="H15" s="24" t="str">
        <x:v>Body and inferior ramus pubis</x:v>
      </x:c>
      <x:c r="I15" s="24" t="str">
        <x:v>Superomedial tibia via pes anserinus</x:v>
      </x:c>
      <x:c r="J15" s="24" t="str">
        <x:v>Obturator nerve</x:v>
      </x:c>
      <x:c r="K15" s="24" t="str">
        <x:v>L2-L3</x:v>
      </x:c>
      <x:c r="L15" s="24" t="str">
        <x:v>Gracilis pes anserinus tendon</x:v>
      </x:c>
      <x:c r="M15" s="24" t="str">
        <x:v>Medial collateral ligament beneath pes anserinus</x:v>
      </x:c>
      <x:c r="N15" s="30" t="str">
        <x:v>Not established</x:v>
      </x:c>
      <x:c r="O15" s="30" t="str">
        <x:v>Not established</x:v>
      </x:c>
      <x:c r="P15" s="30" t="str">
        <x:v>Mixed Type I and Type II; ratio unverified</x:v>
      </x:c>
      <x:c r="Q15" s="24" t="str">
        <x:v>Published biopsies insufficient to state a reliable per-muscle percentage; no inference from function</x:v>
      </x:c>
      <x:c r="R15" s="32" t="str">
        <x:v>https://www.kenhub.com/en/library/anatomy/lower-extremity-anatomy</x:v>
      </x:c>
      <x:c r="S15" s="32" t="str">
        <x:v>https://pubmed.ncbi.nlm.nih.gov/39359186/</x:v>
      </x:c>
    </x:row>
    <x:row r="16" ht="53" customHeight="1">
      <x:c r="A16" s="24" t="str">
        <x:v>Pectineus</x:v>
      </x:c>
      <x:c r="B16" s="24" t="str">
        <x:v>Medial/anterior thigh</x:v>
      </x:c>
      <x:c r="C16" s="24" t="str">
        <x:v>Flexor; Stabilizer</x:v>
      </x:c>
      <x:c r="D16" s="28" t="str">
        <x:v>Yes</x:v>
      </x:c>
      <x:c r="E16" s="28" t="str">
        <x:v>No</x:v>
      </x:c>
      <x:c r="F16" s="28" t="str">
        <x:v>Yes</x:v>
      </x:c>
      <x:c r="G16" s="24" t="str">
        <x:v>Adducts and flexes hip</x:v>
      </x:c>
      <x:c r="H16" s="24" t="str">
        <x:v>Pecten pubis (superior pubic ramus)</x:v>
      </x:c>
      <x:c r="I16" s="24" t="str">
        <x:v>Pectineal line femur</x:v>
      </x:c>
      <x:c r="J16" s="24" t="str">
        <x:v>Femoral nerve (sometimes obturator)</x:v>
      </x:c>
      <x:c r="K16" s="24" t="str">
        <x:v>L2-L3</x:v>
      </x:c>
      <x:c r="L16" s="24" t="str">
        <x:v>Flat pectineus insertion</x:v>
      </x:c>
      <x:c r="M16" s="24" t="str">
        <x:v>Pubofemoral ligament near hip, not direct tendon attachment</x:v>
      </x:c>
      <x:c r="N16" s="30" t="str">
        <x:v>Not established</x:v>
      </x:c>
      <x:c r="O16" s="30" t="str">
        <x:v>Not established</x:v>
      </x:c>
      <x:c r="P16" s="30" t="str">
        <x:v>Mixed Type I and Type II; ratio unverified</x:v>
      </x:c>
      <x:c r="Q16" s="24" t="str">
        <x:v>Published biopsies insufficient to state a reliable per-muscle percentage; no inference from function</x:v>
      </x:c>
      <x:c r="R16" s="32" t="str">
        <x:v>https://www.kenhub.com/en/library/anatomy/lower-extremity-anatomy</x:v>
      </x:c>
      <x:c r="S16" s="32" t="str">
        <x:v>https://pubmed.ncbi.nlm.nih.gov/39359186/</x:v>
      </x:c>
    </x:row>
    <x:row r="17" ht="53" customHeight="1">
      <x:c r="A17" s="24" t="str">
        <x:v>Biceps femoris long head</x:v>
      </x:c>
      <x:c r="B17" s="24" t="str">
        <x:v>Posterior thigh hamstrings</x:v>
      </x:c>
      <x:c r="C17" s="24" t="str">
        <x:v>Flexor; Extensor</x:v>
      </x:c>
      <x:c r="D17" s="28" t="str">
        <x:v>Yes</x:v>
      </x:c>
      <x:c r="E17" s="28" t="str">
        <x:v>Yes</x:v>
      </x:c>
      <x:c r="F17" s="28" t="str">
        <x:v>No</x:v>
      </x:c>
      <x:c r="G17" s="24" t="str">
        <x:v>Extends hip; flexes knee; laterally rotates flexed knee</x:v>
      </x:c>
      <x:c r="H17" s="24" t="str">
        <x:v>Ischial tuberosity with semitendinosus</x:v>
      </x:c>
      <x:c r="I17" s="24" t="str">
        <x:v>Head of fibula</x:v>
      </x:c>
      <x:c r="J17" s="24" t="str">
        <x:v>Tibial division sciatic nerve</x:v>
      </x:c>
      <x:c r="K17" s="24" t="str">
        <x:v>L5-S2</x:v>
      </x:c>
      <x:c r="L17" s="24" t="str">
        <x:v>Common hamstring proximal tendon; distal biceps tendon</x:v>
      </x:c>
      <x:c r="M17" s="24" t="str">
        <x:v>Fibular collateral ligament adjacent to distal insertion</x:v>
      </x:c>
      <x:c r="N17" s="30" t="str">
        <x:v>Not established</x:v>
      </x:c>
      <x:c r="O17" s="30" t="str">
        <x:v>Not established</x:v>
      </x:c>
      <x:c r="P17" s="30" t="str">
        <x:v>Mixed Type I and Type II; ratio unverified</x:v>
      </x:c>
      <x:c r="Q17" s="24" t="str">
        <x:v>Published biopsies insufficient to state a reliable per-muscle percentage; no inference from function</x:v>
      </x:c>
      <x:c r="R17" s="32" t="str">
        <x:v>https://www.kenhub.com/en/library/anatomy/lower-extremity-anatomy</x:v>
      </x:c>
      <x:c r="S17" s="32" t="str">
        <x:v>https://pubmed.ncbi.nlm.nih.gov/39359186/</x:v>
      </x:c>
    </x:row>
    <x:row r="18" ht="53" customHeight="1">
      <x:c r="A18" s="24" t="str">
        <x:v>Biceps femoris short head</x:v>
      </x:c>
      <x:c r="B18" s="24" t="str">
        <x:v>Posterior thigh hamstrings</x:v>
      </x:c>
      <x:c r="C18" s="24" t="str">
        <x:v>Flexor</x:v>
      </x:c>
      <x:c r="D18" s="28" t="str">
        <x:v>Yes</x:v>
      </x:c>
      <x:c r="E18" s="28" t="str">
        <x:v>No</x:v>
      </x:c>
      <x:c r="F18" s="28" t="str">
        <x:v>No</x:v>
      </x:c>
      <x:c r="G18" s="24" t="str">
        <x:v>Flexes knee; laterally rotates flexed knee</x:v>
      </x:c>
      <x:c r="H18" s="24" t="str">
        <x:v>Lateral lip linea aspera and lateral supracondylar line</x:v>
      </x:c>
      <x:c r="I18" s="24" t="str">
        <x:v>Head of fibula</x:v>
      </x:c>
      <x:c r="J18" s="24" t="str">
        <x:v>Common fibular division sciatic nerve</x:v>
      </x:c>
      <x:c r="K18" s="24" t="str">
        <x:v>L5-S2</x:v>
      </x:c>
      <x:c r="L18" s="24" t="str">
        <x:v>Common biceps femoris distal tendon</x:v>
      </x:c>
      <x:c r="M18" s="24" t="str">
        <x:v>Fibular collateral ligament close to fibular attachment</x:v>
      </x:c>
      <x:c r="N18" s="30" t="str">
        <x:v>Not established</x:v>
      </x:c>
      <x:c r="O18" s="30" t="str">
        <x:v>Not established</x:v>
      </x:c>
      <x:c r="P18" s="30" t="str">
        <x:v>Mixed Type I and Type II; ratio unverified</x:v>
      </x:c>
      <x:c r="Q18" s="24" t="str">
        <x:v>Published biopsies insufficient to state a reliable per-muscle percentage; no inference from function</x:v>
      </x:c>
      <x:c r="R18" s="32" t="str">
        <x:v>https://www.kenhub.com/en/library/anatomy/lower-extremity-anatomy</x:v>
      </x:c>
      <x:c r="S18" s="32" t="str">
        <x:v>https://pubmed.ncbi.nlm.nih.gov/39359186/</x:v>
      </x:c>
    </x:row>
    <x:row r="19" ht="53" customHeight="1">
      <x:c r="A19" s="24" t="str">
        <x:v>Semimembranosus</x:v>
      </x:c>
      <x:c r="B19" s="24" t="str">
        <x:v>Posterior thigh hamstrings</x:v>
      </x:c>
      <x:c r="C19" s="24" t="str">
        <x:v>Flexor; Extensor; Stabilizer</x:v>
      </x:c>
      <x:c r="D19" s="28" t="str">
        <x:v>Yes</x:v>
      </x:c>
      <x:c r="E19" s="28" t="str">
        <x:v>Yes</x:v>
      </x:c>
      <x:c r="F19" s="28" t="str">
        <x:v>Yes</x:v>
      </x:c>
      <x:c r="G19" s="24" t="str">
        <x:v>Extends hip; flexes knee; medially rotates flexed tibia</x:v>
      </x:c>
      <x:c r="H19" s="24" t="str">
        <x:v>Ischial tuberosity</x:v>
      </x:c>
      <x:c r="I19" s="24" t="str">
        <x:v>Posteromedial tibial condyle</x:v>
      </x:c>
      <x:c r="J19" s="24" t="str">
        <x:v>Tibial division sciatic nerve</x:v>
      </x:c>
      <x:c r="K19" s="24" t="str">
        <x:v>L5-S2</x:v>
      </x:c>
      <x:c r="L19" s="24" t="str">
        <x:v>Broad proximal membrane; distal semimembranosus tendon</x:v>
      </x:c>
      <x:c r="M19" s="24" t="str">
        <x:v>Oblique popliteal ligament is tendon expansion; capsule and arcuate system nearby</x:v>
      </x:c>
      <x:c r="N19" s="30" t="str">
        <x:v>Not established</x:v>
      </x:c>
      <x:c r="O19" s="30" t="str">
        <x:v>Not established</x:v>
      </x:c>
      <x:c r="P19" s="30" t="str">
        <x:v>Mixed Type I and Type II; ratio unverified</x:v>
      </x:c>
      <x:c r="Q19" s="24" t="str">
        <x:v>Published biopsies insufficient to state a reliable per-muscle percentage; no inference from function</x:v>
      </x:c>
      <x:c r="R19" s="32" t="str">
        <x:v>https://www.kenhub.com/en/library/anatomy/lower-extremity-anatomy</x:v>
      </x:c>
      <x:c r="S19" s="32" t="str">
        <x:v>https://pubmed.ncbi.nlm.nih.gov/39359186/</x:v>
      </x:c>
    </x:row>
    <x:row r="20" ht="53" customHeight="1">
      <x:c r="A20" s="24" t="str">
        <x:v>Semitendinosus</x:v>
      </x:c>
      <x:c r="B20" s="24" t="str">
        <x:v>Posterior thigh hamstrings</x:v>
      </x:c>
      <x:c r="C20" s="24" t="str">
        <x:v>Flexor; Extensor</x:v>
      </x:c>
      <x:c r="D20" s="28" t="str">
        <x:v>Yes</x:v>
      </x:c>
      <x:c r="E20" s="28" t="str">
        <x:v>Yes</x:v>
      </x:c>
      <x:c r="F20" s="28" t="str">
        <x:v>No</x:v>
      </x:c>
      <x:c r="G20" s="24" t="str">
        <x:v>Extends hip; flexes knee; medially rotates flexed tibia</x:v>
      </x:c>
      <x:c r="H20" s="24" t="str">
        <x:v>Ischial tuberosity with biceps long head</x:v>
      </x:c>
      <x:c r="I20" s="24" t="str">
        <x:v>Superomedial tibia via pes anserinus</x:v>
      </x:c>
      <x:c r="J20" s="24" t="str">
        <x:v>Tibial division sciatic nerve</x:v>
      </x:c>
      <x:c r="K20" s="24" t="str">
        <x:v>L5-S2</x:v>
      </x:c>
      <x:c r="L20" s="24" t="str">
        <x:v>Long distal pes anserinus tendon</x:v>
      </x:c>
      <x:c r="M20" s="24" t="str">
        <x:v>Medial collateral ligament deep to pes anserinus</x:v>
      </x:c>
      <x:c r="N20" s="30" t="str">
        <x:v>Not established</x:v>
      </x:c>
      <x:c r="O20" s="30" t="str">
        <x:v>Not established</x:v>
      </x:c>
      <x:c r="P20" s="30" t="str">
        <x:v>Mixed Type I and Type II; ratio unverified</x:v>
      </x:c>
      <x:c r="Q20" s="24" t="str">
        <x:v>Published biopsies insufficient to state a reliable per-muscle percentage; no inference from function</x:v>
      </x:c>
      <x:c r="R20" s="32" t="str">
        <x:v>https://www.kenhub.com/en/library/anatomy/lower-extremity-anatomy</x:v>
      </x:c>
      <x:c r="S20" s="32" t="str">
        <x:v>https://pubmed.ncbi.nlm.nih.gov/39359186/</x:v>
      </x:c>
    </x:row>
    <x:row r="21" ht="53" customHeight="1">
      <x:c r="A21" s="24" t="str">
        <x:v>Adductor magnus hamstring part</x:v>
      </x:c>
      <x:c r="B21" s="24" t="str">
        <x:v>Posteromedial thigh</x:v>
      </x:c>
      <x:c r="C21" s="24" t="str">
        <x:v>Extensor; Stabilizer</x:v>
      </x:c>
      <x:c r="D21" s="28" t="str">
        <x:v>No</x:v>
      </x:c>
      <x:c r="E21" s="28" t="str">
        <x:v>Yes</x:v>
      </x:c>
      <x:c r="F21" s="28" t="str">
        <x:v>Yes</x:v>
      </x:c>
      <x:c r="G21" s="24" t="str">
        <x:v>Hip extension and adduction</x:v>
      </x:c>
      <x:c r="H21" s="24" t="str">
        <x:v>Ischial tuberosity</x:v>
      </x:c>
      <x:c r="I21" s="24" t="str">
        <x:v>Adductor tubercle medial femur</x:v>
      </x:c>
      <x:c r="J21" s="24" t="str">
        <x:v>Tibial division sciatic nerve</x:v>
      </x:c>
      <x:c r="K21" s="24" t="str">
        <x:v>L4 (often L4-L5)</x:v>
      </x:c>
      <x:c r="L21" s="24" t="str">
        <x:v>Thick adductor magnus hamstring tendon</x:v>
      </x:c>
      <x:c r="M21" s="24" t="str">
        <x:v>Sacrotuberous ligament shares ischial attachment area</x:v>
      </x:c>
      <x:c r="N21" s="30" t="str">
        <x:v>Not established</x:v>
      </x:c>
      <x:c r="O21" s="30" t="str">
        <x:v>Not established</x:v>
      </x:c>
      <x:c r="P21" s="30" t="str">
        <x:v>Mixed Type I and Type II; ratio unverified</x:v>
      </x:c>
      <x:c r="Q21" s="24" t="str">
        <x:v>Published biopsies insufficient to state a reliable per-muscle percentage; no inference from function</x:v>
      </x:c>
      <x:c r="R21" s="32" t="str">
        <x:v>https://www.kenhub.com/en/library/anatomy/lower-extremity-anatomy</x:v>
      </x:c>
      <x:c r="S21" s="32" t="str">
        <x:v>https://pubmed.ncbi.nlm.nih.gov/39359186/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e174dbbecfbc4d07"/>
  </x:tableParts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LEG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14 detailed entries | attachments and motor innervation | nearby versus direct ligament relationships explicitly indicated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Extensor digitorum longus</x:v>
      </x:c>
      <x:c r="B4" s="24" t="str">
        <x:v>Anterior leg</x:v>
      </x:c>
      <x:c r="C4" s="24" t="str">
        <x:v>Extensor</x:v>
      </x:c>
      <x:c r="D4" s="28" t="str">
        <x:v>No</x:v>
      </x:c>
      <x:c r="E4" s="28" t="str">
        <x:v>Yes</x:v>
      </x:c>
      <x:c r="F4" s="28" t="str">
        <x:v>No</x:v>
      </x:c>
      <x:c r="G4" s="24" t="str">
        <x:v>Extends toes 2-5; dorsiflexes ankle</x:v>
      </x:c>
      <x:c r="H4" s="24" t="str">
        <x:v>Lateral tibial condyle; anterior fibula; interosseous membrane</x:v>
      </x:c>
      <x:c r="I4" s="24" t="str">
        <x:v>Dorsal digital expansions toes 2-5</x:v>
      </x:c>
      <x:c r="J4" s="24" t="str">
        <x:v>Deep fibular nerve</x:v>
      </x:c>
      <x:c r="K4" s="24" t="str">
        <x:v>L5-S1</x:v>
      </x:c>
      <x:c r="L4" s="24" t="str">
        <x:v>Four extensor digitorum longus tendons</x:v>
      </x:c>
      <x:c r="M4" s="24" t="str">
        <x:v>Extensor retinacula restrain tendons</x:v>
      </x:c>
      <x:c r="N4" s="30" t="str">
        <x:v>Not established</x:v>
      </x:c>
      <x:c r="O4" s="30" t="str">
        <x:v>Not established</x:v>
      </x:c>
      <x:c r="P4" s="30" t="str">
        <x:v>Mixed Type I and Type II; ratio unverified</x:v>
      </x:c>
      <x:c r="Q4" s="24" t="str">
        <x:v>Published biopsies insufficient to state a reliable per-muscle percentage; no inference from function</x:v>
      </x:c>
      <x:c r="R4" s="32" t="str">
        <x:v>https://www.kenhub.com/en/library/anatomy/leg-muscles</x:v>
      </x:c>
      <x:c r="S4" s="32" t="str">
        <x:v>https://pubmed.ncbi.nlm.nih.gov/39359186/</x:v>
      </x:c>
    </x:row>
    <x:row r="5" ht="53" customHeight="1">
      <x:c r="A5" s="24" t="str">
        <x:v>Extensor hallucis longus</x:v>
      </x:c>
      <x:c r="B5" s="24" t="str">
        <x:v>Anterior leg</x:v>
      </x:c>
      <x:c r="C5" s="24" t="str">
        <x:v>Extensor</x:v>
      </x:c>
      <x:c r="D5" s="28" t="str">
        <x:v>No</x:v>
      </x:c>
      <x:c r="E5" s="28" t="str">
        <x:v>Yes</x:v>
      </x:c>
      <x:c r="F5" s="28" t="str">
        <x:v>No</x:v>
      </x:c>
      <x:c r="G5" s="24" t="str">
        <x:v>Extends hallux; dorsiflexes ankle</x:v>
      </x:c>
      <x:c r="H5" s="24" t="str">
        <x:v>Middle anterior fibula; interosseous membrane</x:v>
      </x:c>
      <x:c r="I5" s="24" t="str">
        <x:v>Dorsal base distal phalanx hallux</x:v>
      </x:c>
      <x:c r="J5" s="24" t="str">
        <x:v>Deep fibular nerve</x:v>
      </x:c>
      <x:c r="K5" s="24" t="str">
        <x:v>L5-S1</x:v>
      </x:c>
      <x:c r="L5" s="24" t="str">
        <x:v>EHL tendon</x:v>
      </x:c>
      <x:c r="M5" s="24" t="str">
        <x:v>Extensor retinacula restrain tendon</x:v>
      </x:c>
      <x:c r="N5" s="30" t="str">
        <x:v>Not established</x:v>
      </x:c>
      <x:c r="O5" s="30" t="str">
        <x:v>Not established</x:v>
      </x:c>
      <x:c r="P5" s="30" t="str">
        <x:v>Mixed Type I and Type II; ratio unverified</x:v>
      </x:c>
      <x:c r="Q5" s="24" t="str">
        <x:v>Published biopsies insufficient to state a reliable per-muscle percentage; no inference from function</x:v>
      </x:c>
      <x:c r="R5" s="32" t="str">
        <x:v>https://www.kenhub.com/en/library/anatomy/leg-muscles</x:v>
      </x:c>
      <x:c r="S5" s="32" t="str">
        <x:v>https://pubmed.ncbi.nlm.nih.gov/39359186/</x:v>
      </x:c>
    </x:row>
    <x:row r="6" ht="53" customHeight="1">
      <x:c r="A6" s="24" t="str">
        <x:v>Fibularis tertius</x:v>
      </x:c>
      <x:c r="B6" s="24" t="str">
        <x:v>Anterior leg</x:v>
      </x:c>
      <x:c r="C6" s="24" t="str">
        <x:v>Flexor; Stabilizer</x:v>
      </x:c>
      <x:c r="D6" s="28" t="str">
        <x:v>Yes</x:v>
      </x:c>
      <x:c r="E6" s="28" t="str">
        <x:v>No</x:v>
      </x:c>
      <x:c r="F6" s="28" t="str">
        <x:v>Yes</x:v>
      </x:c>
      <x:c r="G6" s="24" t="str">
        <x:v>Dorsiflexes and everts foot</x:v>
      </x:c>
      <x:c r="H6" s="24" t="str">
        <x:v>Distal anterior fibula and interosseous membrane</x:v>
      </x:c>
      <x:c r="I6" s="24" t="str">
        <x:v>Dorsal base metatarsal 5</x:v>
      </x:c>
      <x:c r="J6" s="24" t="str">
        <x:v>Deep fibular nerve</x:v>
      </x:c>
      <x:c r="K6" s="24" t="str">
        <x:v>L5-S1</x:v>
      </x:c>
      <x:c r="L6" s="24" t="str">
        <x:v>Fibularis tertius tendon</x:v>
      </x:c>
      <x:c r="M6" s="24" t="str">
        <x:v>Inferior extensor retinaculum retains tendon</x:v>
      </x:c>
      <x:c r="N6" s="30" t="str">
        <x:v>Not established</x:v>
      </x:c>
      <x:c r="O6" s="30" t="str">
        <x:v>Not established</x:v>
      </x:c>
      <x:c r="P6" s="30" t="str">
        <x:v>Mixed Type I and Type II; ratio unverified</x:v>
      </x:c>
      <x:c r="Q6" s="24" t="str">
        <x:v>Published biopsies insufficient to state a reliable per-muscle percentage; no inference from function</x:v>
      </x:c>
      <x:c r="R6" s="32" t="str">
        <x:v>https://www.kenhub.com/en/library/anatomy/leg-muscles</x:v>
      </x:c>
      <x:c r="S6" s="32" t="str">
        <x:v>https://pubmed.ncbi.nlm.nih.gov/39359186/</x:v>
      </x:c>
    </x:row>
    <x:row r="7" ht="53" customHeight="1">
      <x:c r="A7" s="24" t="str">
        <x:v>Tibialis anterior</x:v>
      </x:c>
      <x:c r="B7" s="24" t="str">
        <x:v>Anterior leg</x:v>
      </x:c>
      <x:c r="C7" s="24" t="str">
        <x:v>Flexor; Stabilizer</x:v>
      </x:c>
      <x:c r="D7" s="28" t="str">
        <x:v>Yes</x:v>
      </x:c>
      <x:c r="E7" s="28" t="str">
        <x:v>No</x:v>
      </x:c>
      <x:c r="F7" s="28" t="str">
        <x:v>Yes</x:v>
      </x:c>
      <x:c r="G7" s="24" t="str">
        <x:v>Ankle dorsiflexion and inversion; medial arch support</x:v>
      </x:c>
      <x:c r="H7" s="24" t="str">
        <x:v>Lateral tibial condyle; proximal lateral tibia; interosseous membrane</x:v>
      </x:c>
      <x:c r="I7" s="24" t="str">
        <x:v>Medial cuneiform and base metatarsal 1</x:v>
      </x:c>
      <x:c r="J7" s="24" t="str">
        <x:v>Deep fibular nerve</x:v>
      </x:c>
      <x:c r="K7" s="24" t="str">
        <x:v>L4-L5</x:v>
      </x:c>
      <x:c r="L7" s="24" t="str">
        <x:v>Tibialis anterior tendon</x:v>
      </x:c>
      <x:c r="M7" s="24" t="str">
        <x:v>Superior/inferior extensor retinacula hold tendon (retinacula)</x:v>
      </x:c>
      <x:c r="N7" s="30" t="str">
        <x:v>Not established</x:v>
      </x:c>
      <x:c r="O7" s="30" t="str">
        <x:v>Not established</x:v>
      </x:c>
      <x:c r="P7" s="30" t="str">
        <x:v>Mixed Type I and Type II; ratio unverified</x:v>
      </x:c>
      <x:c r="Q7" s="24" t="str">
        <x:v>Published biopsies insufficient to state a reliable per-muscle percentage; no inference from function</x:v>
      </x:c>
      <x:c r="R7" s="32" t="str">
        <x:v>https://www.kenhub.com/en/library/anatomy/leg-muscles</x:v>
      </x:c>
      <x:c r="S7" s="32" t="str">
        <x:v>https://pubmed.ncbi.nlm.nih.gov/39359186/</x:v>
      </x:c>
    </x:row>
    <x:row r="8" ht="53" customHeight="1">
      <x:c r="A8" s="24" t="str">
        <x:v>Fibularis brevis</x:v>
      </x:c>
      <x:c r="B8" s="24" t="str">
        <x:v>Lateral leg</x:v>
      </x:c>
      <x:c r="C8" s="24" t="str">
        <x:v>Stabilizer</x:v>
      </x:c>
      <x:c r="D8" s="28" t="str">
        <x:v>No</x:v>
      </x:c>
      <x:c r="E8" s="28" t="str">
        <x:v>No</x:v>
      </x:c>
      <x:c r="F8" s="28" t="str">
        <x:v>Yes</x:v>
      </x:c>
      <x:c r="G8" s="24" t="str">
        <x:v>Everts and plantarflexes foot</x:v>
      </x:c>
      <x:c r="H8" s="24" t="str">
        <x:v>Distal two-thirds lateral fibula</x:v>
      </x:c>
      <x:c r="I8" s="24" t="str">
        <x:v>Tuberosity base metatarsal 5</x:v>
      </x:c>
      <x:c r="J8" s="24" t="str">
        <x:v>Superficial fibular nerve</x:v>
      </x:c>
      <x:c r="K8" s="24" t="str">
        <x:v>L5-S2</x:v>
      </x:c>
      <x:c r="L8" s="24" t="str">
        <x:v>Fibularis brevis tendon</x:v>
      </x:c>
      <x:c r="M8" s="24" t="str">
        <x:v>Superior/inferior fibular retinacula retain tendon</x:v>
      </x:c>
      <x:c r="N8" s="30" t="str">
        <x:v>Not established</x:v>
      </x:c>
      <x:c r="O8" s="30" t="str">
        <x:v>Not established</x:v>
      </x:c>
      <x:c r="P8" s="30" t="str">
        <x:v>Mixed Type I and Type II; ratio unverified</x:v>
      </x:c>
      <x:c r="Q8" s="24" t="str">
        <x:v>Published biopsies insufficient to state a reliable per-muscle percentage; no inference from function</x:v>
      </x:c>
      <x:c r="R8" s="32" t="str">
        <x:v>https://www.kenhub.com/en/library/anatomy/leg-muscles</x:v>
      </x:c>
      <x:c r="S8" s="32" t="str">
        <x:v>https://pubmed.ncbi.nlm.nih.gov/39359186/</x:v>
      </x:c>
    </x:row>
    <x:row r="9" ht="53" customHeight="1">
      <x:c r="A9" s="24" t="str">
        <x:v>Fibularis longus</x:v>
      </x:c>
      <x:c r="B9" s="24" t="str">
        <x:v>Lateral leg</x:v>
      </x:c>
      <x:c r="C9" s="24" t="str">
        <x:v>Stabilizer</x:v>
      </x:c>
      <x:c r="D9" s="28" t="str">
        <x:v>No</x:v>
      </x:c>
      <x:c r="E9" s="28" t="str">
        <x:v>No</x:v>
      </x:c>
      <x:c r="F9" s="28" t="str">
        <x:v>Yes</x:v>
      </x:c>
      <x:c r="G9" s="24" t="str">
        <x:v>Everts/plantarflexes foot; supports transverse arch</x:v>
      </x:c>
      <x:c r="H9" s="24" t="str">
        <x:v>Fibular head and proximal lateral fibula</x:v>
      </x:c>
      <x:c r="I9" s="24" t="str">
        <x:v>Plantar medial cuneiform and base metatarsal 1</x:v>
      </x:c>
      <x:c r="J9" s="24" t="str">
        <x:v>Superficial fibular nerve</x:v>
      </x:c>
      <x:c r="K9" s="24" t="str">
        <x:v>L5-S2</x:v>
      </x:c>
      <x:c r="L9" s="24" t="str">
        <x:v>Fibularis longus tendon runs beneath cuboid</x:v>
      </x:c>
      <x:c r="M9" s="24" t="str">
        <x:v>Superior/inferior fibular retinacula retain tendon; long plantar ligament forms tunnel region</x:v>
      </x:c>
      <x:c r="N9" s="30" t="str">
        <x:v>Not established</x:v>
      </x:c>
      <x:c r="O9" s="30" t="str">
        <x:v>Not established</x:v>
      </x:c>
      <x:c r="P9" s="30" t="str">
        <x:v>Mixed Type I and Type II; ratio unverified</x:v>
      </x:c>
      <x:c r="Q9" s="24" t="str">
        <x:v>Published biopsies insufficient to state a reliable per-muscle percentage; no inference from function</x:v>
      </x:c>
      <x:c r="R9" s="32" t="str">
        <x:v>https://www.kenhub.com/en/library/anatomy/leg-muscles</x:v>
      </x:c>
      <x:c r="S9" s="32" t="str">
        <x:v>https://pubmed.ncbi.nlm.nih.gov/39359186/</x:v>
      </x:c>
    </x:row>
    <x:row r="10" ht="53" customHeight="1">
      <x:c r="A10" s="24" t="str">
        <x:v>Flexor digitorum longus</x:v>
      </x:c>
      <x:c r="B10" s="24" t="str">
        <x:v>Posterior leg deep</x:v>
      </x:c>
      <x:c r="C10" s="24" t="str">
        <x:v>Flexor; Stabilizer</x:v>
      </x:c>
      <x:c r="D10" s="28" t="str">
        <x:v>Yes</x:v>
      </x:c>
      <x:c r="E10" s="28" t="str">
        <x:v>No</x:v>
      </x:c>
      <x:c r="F10" s="28" t="str">
        <x:v>Yes</x:v>
      </x:c>
      <x:c r="G10" s="24" t="str">
        <x:v>Flexes toes 2-5; plantarflexes; supports arch</x:v>
      </x:c>
      <x:c r="H10" s="24" t="str">
        <x:v>Posterior tibia inferior to soleal line</x:v>
      </x:c>
      <x:c r="I10" s="24" t="str">
        <x:v>Plantar bases distal phalanges toes 2-5</x:v>
      </x:c>
      <x:c r="J10" s="24" t="str">
        <x:v>Tibial nerve</x:v>
      </x:c>
      <x:c r="K10" s="24" t="str">
        <x:v>L5-S2</x:v>
      </x:c>
      <x:c r="L10" s="24" t="str">
        <x:v>Four FDL toe tendons; knot of Henry crossover with FHL</x:v>
      </x:c>
      <x:c r="M10" s="24" t="str">
        <x:v>Flexor retinaculum at ankle; plantar ligament complex supports arches</x:v>
      </x:c>
      <x:c r="N10" s="30" t="str">
        <x:v>Not established</x:v>
      </x:c>
      <x:c r="O10" s="30" t="str">
        <x:v>Not established</x:v>
      </x:c>
      <x:c r="P10" s="30" t="str">
        <x:v>Mixed Type I and Type II; ratio unverified</x:v>
      </x:c>
      <x:c r="Q10" s="24" t="str">
        <x:v>Published biopsies insufficient to state a reliable per-muscle percentage; no inference from function</x:v>
      </x:c>
      <x:c r="R10" s="32" t="str">
        <x:v>https://www.kenhub.com/en/library/anatomy/leg-muscles</x:v>
      </x:c>
      <x:c r="S10" s="32" t="str">
        <x:v>https://pubmed.ncbi.nlm.nih.gov/39359186/</x:v>
      </x:c>
    </x:row>
    <x:row r="11" ht="53" customHeight="1">
      <x:c r="A11" s="24" t="str">
        <x:v>Flexor hallucis longus</x:v>
      </x:c>
      <x:c r="B11" s="24" t="str">
        <x:v>Posterior leg deep</x:v>
      </x:c>
      <x:c r="C11" s="24" t="str">
        <x:v>Flexor; Stabilizer</x:v>
      </x:c>
      <x:c r="D11" s="28" t="str">
        <x:v>Yes</x:v>
      </x:c>
      <x:c r="E11" s="28" t="str">
        <x:v>No</x:v>
      </x:c>
      <x:c r="F11" s="28" t="str">
        <x:v>Yes</x:v>
      </x:c>
      <x:c r="G11" s="24" t="str">
        <x:v>Flexes hallux; plantarflexes ankle; supports medial arch</x:v>
      </x:c>
      <x:c r="H11" s="24" t="str">
        <x:v>Distal posterior fibula and interosseous membrane</x:v>
      </x:c>
      <x:c r="I11" s="24" t="str">
        <x:v>Plantar base distal phalanx hallux</x:v>
      </x:c>
      <x:c r="J11" s="24" t="str">
        <x:v>Tibial nerve</x:v>
      </x:c>
      <x:c r="K11" s="24" t="str">
        <x:v>S2-S3 (also S1)</x:v>
      </x:c>
      <x:c r="L11" s="24" t="str">
        <x:v>FHL long tendon</x:v>
      </x:c>
      <x:c r="M11" s="24" t="str">
        <x:v>Flexor retinaculum retains tendon; spring ligament supported indirectly</x:v>
      </x:c>
      <x:c r="N11" s="30" t="str">
        <x:v>Not established</x:v>
      </x:c>
      <x:c r="O11" s="30" t="str">
        <x:v>Not established</x:v>
      </x:c>
      <x:c r="P11" s="30" t="str">
        <x:v>Mixed Type I and Type II; ratio unverified</x:v>
      </x:c>
      <x:c r="Q11" s="24" t="str">
        <x:v>Published biopsies insufficient to state a reliable per-muscle percentage; no inference from function</x:v>
      </x:c>
      <x:c r="R11" s="32" t="str">
        <x:v>https://www.kenhub.com/en/library/anatomy/leg-muscles</x:v>
      </x:c>
      <x:c r="S11" s="32" t="str">
        <x:v>https://pubmed.ncbi.nlm.nih.gov/39359186/</x:v>
      </x:c>
    </x:row>
    <x:row r="12" ht="53" customHeight="1">
      <x:c r="A12" s="24" t="str">
        <x:v>Popliteus</x:v>
      </x:c>
      <x:c r="B12" s="24" t="str">
        <x:v>Posterior leg deep</x:v>
      </x:c>
      <x:c r="C12" s="24" t="str">
        <x:v>Stabilizer</x:v>
      </x:c>
      <x:c r="D12" s="28" t="str">
        <x:v>No</x:v>
      </x:c>
      <x:c r="E12" s="28" t="str">
        <x:v>No</x:v>
      </x:c>
      <x:c r="F12" s="28" t="str">
        <x:v>Yes</x:v>
      </x:c>
      <x:c r="G12" s="24" t="str">
        <x:v>Unlocks knee by medial rotation of tibia; posterior knee stabilization</x:v>
      </x:c>
      <x:c r="H12" s="24" t="str">
        <x:v>Lateral femoral condyle; posterior horn lateral meniscus</x:v>
      </x:c>
      <x:c r="I12" s="24" t="str">
        <x:v>Posterior tibia above soleal line</x:v>
      </x:c>
      <x:c r="J12" s="24" t="str">
        <x:v>Tibial nerve</x:v>
      </x:c>
      <x:c r="K12" s="24" t="str">
        <x:v>L4-S1</x:v>
      </x:c>
      <x:c r="L12" s="24" t="str">
        <x:v>Popliteus proximal tendon</x:v>
      </x:c>
      <x:c r="M12" s="24" t="str">
        <x:v>Arcuate popliteal ligament arches over tendon; popliteofibular ligament may connect</x:v>
      </x:c>
      <x:c r="N12" s="30" t="str">
        <x:v>Not established</x:v>
      </x:c>
      <x:c r="O12" s="30" t="str">
        <x:v>Not established</x:v>
      </x:c>
      <x:c r="P12" s="30" t="str">
        <x:v>Mixed Type I and Type II; ratio unverified</x:v>
      </x:c>
      <x:c r="Q12" s="24" t="str">
        <x:v>Published biopsies insufficient to state a reliable per-muscle percentage; no inference from function</x:v>
      </x:c>
      <x:c r="R12" s="32" t="str">
        <x:v>https://www.kenhub.com/en/library/anatomy/leg-muscles</x:v>
      </x:c>
      <x:c r="S12" s="32" t="str">
        <x:v>https://pubmed.ncbi.nlm.nih.gov/39359186/</x:v>
      </x:c>
    </x:row>
    <x:row r="13" ht="53" customHeight="1">
      <x:c r="A13" s="24" t="str">
        <x:v>Tibialis posterior</x:v>
      </x:c>
      <x:c r="B13" s="24" t="str">
        <x:v>Posterior leg deep</x:v>
      </x:c>
      <x:c r="C13" s="24" t="str">
        <x:v>Stabilizer</x:v>
      </x:c>
      <x:c r="D13" s="28" t="str">
        <x:v>No</x:v>
      </x:c>
      <x:c r="E13" s="28" t="str">
        <x:v>No</x:v>
      </x:c>
      <x:c r="F13" s="28" t="str">
        <x:v>Yes</x:v>
      </x:c>
      <x:c r="G13" s="24" t="str">
        <x:v>Inverts/plantarflexes foot; supports medial longitudinal arch</x:v>
      </x:c>
      <x:c r="H13" s="24" t="str">
        <x:v>Posterior tibia/fibula and interosseous membrane</x:v>
      </x:c>
      <x:c r="I13" s="24" t="str">
        <x:v>Navicular tuberosity; cuneiforms; cuboid and metatarsal bases</x:v>
      </x:c>
      <x:c r="J13" s="24" t="str">
        <x:v>Tibial nerve</x:v>
      </x:c>
      <x:c r="K13" s="24" t="str">
        <x:v>L4-L5</x:v>
      </x:c>
      <x:c r="L13" s="24" t="str">
        <x:v>Tibialis posterior multi-slip tendon</x:v>
      </x:c>
      <x:c r="M13" s="24" t="str">
        <x:v>Flexor retinaculum covers tendon; spring ligament supported by tendon</x:v>
      </x:c>
      <x:c r="N13" s="30" t="str">
        <x:v>Not established</x:v>
      </x:c>
      <x:c r="O13" s="30" t="str">
        <x:v>Not established</x:v>
      </x:c>
      <x:c r="P13" s="30" t="str">
        <x:v>Mixed Type I and Type II; ratio unverified</x:v>
      </x:c>
      <x:c r="Q13" s="24" t="str">
        <x:v>Published biopsies insufficient to state a reliable per-muscle percentage; no inference from function</x:v>
      </x:c>
      <x:c r="R13" s="32" t="str">
        <x:v>https://www.kenhub.com/en/library/anatomy/leg-muscles</x:v>
      </x:c>
      <x:c r="S13" s="32" t="str">
        <x:v>https://pubmed.ncbi.nlm.nih.gov/39359186/</x:v>
      </x:c>
    </x:row>
    <x:row r="14" ht="53" customHeight="1">
      <x:c r="A14" s="24" t="str">
        <x:v>Gastrocnemius lateral head</x:v>
      </x:c>
      <x:c r="B14" s="24" t="str">
        <x:v>Posterior leg superficial</x:v>
      </x:c>
      <x:c r="C14" s="24" t="str">
        <x:v>Flexor; Stabilizer</x:v>
      </x:c>
      <x:c r="D14" s="28" t="str">
        <x:v>Yes</x:v>
      </x:c>
      <x:c r="E14" s="28" t="str">
        <x:v>No</x:v>
      </x:c>
      <x:c r="F14" s="28" t="str">
        <x:v>Yes</x:v>
      </x:c>
      <x:c r="G14" s="24" t="str">
        <x:v>Plantarflexes ankle; flexes knee</x:v>
      </x:c>
      <x:c r="H14" s="24" t="str">
        <x:v>Lateral femoral condyle and adjacent capsule</x:v>
      </x:c>
      <x:c r="I14" s="24" t="str">
        <x:v>Posterior calcaneus via calcaneal (Achilles) tendon</x:v>
      </x:c>
      <x:c r="J14" s="24" t="str">
        <x:v>Tibial nerve</x:v>
      </x:c>
      <x:c r="K14" s="24" t="str">
        <x:v>S1-S2</x:v>
      </x:c>
      <x:c r="L14" s="24" t="str">
        <x:v>Calcaneal (Achilles) tendon</x:v>
      </x:c>
      <x:c r="M14" s="24" t="str">
        <x:v>Arcuate popliteal complex near origin</x:v>
      </x:c>
      <x:c r="N14" s="30" t="str">
        <x:v>Not established</x:v>
      </x:c>
      <x:c r="O14" s="30" t="str">
        <x:v>Not established</x:v>
      </x:c>
      <x:c r="P14" s="30" t="str">
        <x:v>Mixed Type I and Type II; ratio unverified</x:v>
      </x:c>
      <x:c r="Q14" s="24" t="str">
        <x:v>Published biopsies insufficient to state a reliable per-muscle percentage; no inference from function</x:v>
      </x:c>
      <x:c r="R14" s="32" t="str">
        <x:v>https://www.kenhub.com/en/library/anatomy/leg-muscles</x:v>
      </x:c>
      <x:c r="S14" s="32" t="str">
        <x:v>https://pubmed.ncbi.nlm.nih.gov/39359186/</x:v>
      </x:c>
    </x:row>
    <x:row r="15" ht="53" customHeight="1">
      <x:c r="A15" s="24" t="str">
        <x:v>Gastrocnemius medial head</x:v>
      </x:c>
      <x:c r="B15" s="24" t="str">
        <x:v>Posterior leg superficial</x:v>
      </x:c>
      <x:c r="C15" s="24" t="str">
        <x:v>Flexor; Stabilizer</x:v>
      </x:c>
      <x:c r="D15" s="28" t="str">
        <x:v>Yes</x:v>
      </x:c>
      <x:c r="E15" s="28" t="str">
        <x:v>No</x:v>
      </x:c>
      <x:c r="F15" s="28" t="str">
        <x:v>Yes</x:v>
      </x:c>
      <x:c r="G15" s="24" t="str">
        <x:v>Plantarflexes ankle; flexes knee</x:v>
      </x:c>
      <x:c r="H15" s="24" t="str">
        <x:v>Posterior medial femoral condyle and adjacent capsule</x:v>
      </x:c>
      <x:c r="I15" s="24" t="str">
        <x:v>Posterior calcaneus via calcaneal (Achilles) tendon</x:v>
      </x:c>
      <x:c r="J15" s="24" t="str">
        <x:v>Tibial nerve</x:v>
      </x:c>
      <x:c r="K15" s="24" t="str">
        <x:v>S1-S2</x:v>
      </x:c>
      <x:c r="L15" s="24" t="str">
        <x:v>Calcaneal (Achilles) tendon</x:v>
      </x:c>
      <x:c r="M15" s="24" t="str">
        <x:v>Posterior capsule/oblique popliteal ligament near origin</x:v>
      </x:c>
      <x:c r="N15" s="30" t="str">
        <x:v>64.7% (sample mean, 40 individuals)</x:v>
      </x:c>
      <x:c r="O15" s="30" t="str">
        <x:v>35.3% (mean remainder, not a normative cutoff)</x:v>
      </x:c>
      <x:c r="P15" s="30" t="str">
        <x:v>Mixed; Type I-enriched in cited sample</x:v>
      </x:c>
      <x:c r="Q15" s="24" t="str">
        <x:v>Study mean measured in gastrocnemius medialis; site-to-site variability considerable</x:v>
      </x:c>
      <x:c r="R15" s="32" t="str">
        <x:v>https://www.kenhub.com/en/library/anatomy/leg-muscles</x:v>
      </x:c>
      <x:c r="S15" s="32" t="str">
        <x:v>https://pubmed.ncbi.nlm.nih.gov/39359186/</x:v>
      </x:c>
    </x:row>
    <x:row r="16" ht="53" customHeight="1">
      <x:c r="A16" s="24" t="str">
        <x:v>Plantaris</x:v>
      </x:c>
      <x:c r="B16" s="24" t="str">
        <x:v>Posterior leg superficial</x:v>
      </x:c>
      <x:c r="C16" s="24" t="str">
        <x:v>Flexor</x:v>
      </x:c>
      <x:c r="D16" s="28" t="str">
        <x:v>Yes</x:v>
      </x:c>
      <x:c r="E16" s="28" t="str">
        <x:v>No</x:v>
      </x:c>
      <x:c r="F16" s="28" t="str">
        <x:v>No</x:v>
      </x:c>
      <x:c r="G16" s="24" t="str">
        <x:v>Weak ankle plantarflexion and knee flexion</x:v>
      </x:c>
      <x:c r="H16" s="24" t="str">
        <x:v>Lateral supracondylar femoral line; oblique popliteal ligament</x:v>
      </x:c>
      <x:c r="I16" s="24" t="str">
        <x:v>Posterior calcaneus or Achilles tendon</x:v>
      </x:c>
      <x:c r="J16" s="24" t="str">
        <x:v>Tibial nerve</x:v>
      </x:c>
      <x:c r="K16" s="24" t="str">
        <x:v>S1-S2</x:v>
      </x:c>
      <x:c r="L16" s="24" t="str">
        <x:v>Long thin plantaris tendon</x:v>
      </x:c>
      <x:c r="M16" s="24" t="str">
        <x:v>Oblique popliteal ligament contributes to origin</x:v>
      </x:c>
      <x:c r="N16" s="30" t="str">
        <x:v>Not established</x:v>
      </x:c>
      <x:c r="O16" s="30" t="str">
        <x:v>Not established</x:v>
      </x:c>
      <x:c r="P16" s="30" t="str">
        <x:v>Mixed Type I and Type II; ratio unverified</x:v>
      </x:c>
      <x:c r="Q16" s="24" t="str">
        <x:v>Published biopsies insufficient to state a reliable per-muscle percentage; no inference from function</x:v>
      </x:c>
      <x:c r="R16" s="32" t="str">
        <x:v>https://www.kenhub.com/en/library/anatomy/leg-muscles</x:v>
      </x:c>
      <x:c r="S16" s="32" t="str">
        <x:v>https://pubmed.ncbi.nlm.nih.gov/39359186/</x:v>
      </x:c>
    </x:row>
    <x:row r="17" ht="53" customHeight="1">
      <x:c r="A17" s="24" t="str">
        <x:v>Soleus</x:v>
      </x:c>
      <x:c r="B17" s="24" t="str">
        <x:v>Posterior leg superficial</x:v>
      </x:c>
      <x:c r="C17" s="24" t="str">
        <x:v>Stabilizer</x:v>
      </x:c>
      <x:c r="D17" s="28" t="str">
        <x:v>No</x:v>
      </x:c>
      <x:c r="E17" s="28" t="str">
        <x:v>No</x:v>
      </x:c>
      <x:c r="F17" s="28" t="str">
        <x:v>Yes</x:v>
      </x:c>
      <x:c r="G17" s="24" t="str">
        <x:v>Plantarflexes ankle; tonic postural sway control</x:v>
      </x:c>
      <x:c r="H17" s="24" t="str">
        <x:v>Soleal line and medial tibial border; fibular head; tendinous soleal arch</x:v>
      </x:c>
      <x:c r="I17" s="24" t="str">
        <x:v>Posterior calcaneus via calcaneal tendon</x:v>
      </x:c>
      <x:c r="J17" s="24" t="str">
        <x:v>Tibial nerve</x:v>
      </x:c>
      <x:c r="K17" s="24" t="str">
        <x:v>S1-S2</x:v>
      </x:c>
      <x:c r="L17" s="24" t="str">
        <x:v>Broad soleus aponeurosis joining Achilles tendon</x:v>
      </x:c>
      <x:c r="M17" s="24" t="str">
        <x:v>Soleal tendinous arch is tendon/aponeurosis, not ligament</x:v>
      </x:c>
      <x:c r="N17" s="30" t="str">
        <x:v>70–80% (reported typical range)</x:v>
      </x:c>
      <x:c r="O17" s="30" t="str">
        <x:v>20–30% (complement; method dependent)</x:v>
      </x:c>
      <x:c r="P17" s="30" t="str">
        <x:v>Slow / Type I-rich</x:v>
      </x:c>
      <x:c r="Q17" s="24" t="str">
        <x:v>Literature estimate; varies by person/region; not patient-specific</x:v>
      </x:c>
      <x:c r="R17" s="32" t="str">
        <x:v>https://www.kenhub.com/en/library/anatomy/leg-muscles</x:v>
      </x:c>
      <x:c r="S17" s="32" t="str">
        <x:v>https://journals.physiology.org/doi/full/10.1152/japplphysiol.00394.2024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64c3ab5a04954184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FOOT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24 detailed entries | attachments and motor innervation | nearby versus direct ligament relationships explicitly indicated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Extensor digitorum brevis</x:v>
      </x:c>
      <x:c r="B4" s="24" t="str">
        <x:v>Dorsal foot</x:v>
      </x:c>
      <x:c r="C4" s="24" t="str">
        <x:v>Extensor</x:v>
      </x:c>
      <x:c r="D4" s="28" t="str">
        <x:v>No</x:v>
      </x:c>
      <x:c r="E4" s="28" t="str">
        <x:v>Yes</x:v>
      </x:c>
      <x:c r="F4" s="28" t="str">
        <x:v>No</x:v>
      </x:c>
      <x:c r="G4" s="24" t="str">
        <x:v>Extends toes 2-4</x:v>
      </x:c>
      <x:c r="H4" s="24" t="str">
        <x:v>Superolateral/dorsal calcaneus; inferior extensor retinaculum</x:v>
      </x:c>
      <x:c r="I4" s="24" t="str">
        <x:v>Tendons to dorsal digital expansions toes 2-4</x:v>
      </x:c>
      <x:c r="J4" s="24" t="str">
        <x:v>Deep fibular nerve</x:v>
      </x:c>
      <x:c r="K4" s="24" t="str">
        <x:v>L5-S1</x:v>
      </x:c>
      <x:c r="L4" s="24" t="str">
        <x:v>Three EDB tendons blending with long extensor tendons</x:v>
      </x:c>
      <x:c r="M4" s="24" t="str">
        <x:v>Inferior extensor retinaculum direct proximal relationship</x:v>
      </x:c>
      <x:c r="N4" s="30" t="str">
        <x:v>Not established</x:v>
      </x:c>
      <x:c r="O4" s="30" t="str">
        <x:v>Not established</x:v>
      </x:c>
      <x:c r="P4" s="30" t="str">
        <x:v>Mixed Type I and Type II; ratio unverified</x:v>
      </x:c>
      <x:c r="Q4" s="24" t="str">
        <x:v>Published biopsies insufficient to state a reliable per-muscle percentage; no inference from function</x:v>
      </x:c>
      <x:c r="R4" s="32" t="str">
        <x:v>https://www.kenhub.com/en/library/anatomy/ankle-and-foot-anatomy</x:v>
      </x:c>
      <x:c r="S4" s="32" t="str">
        <x:v>https://pubmed.ncbi.nlm.nih.gov/39359186/</x:v>
      </x:c>
    </x:row>
    <x:row r="5" ht="53" customHeight="1">
      <x:c r="A5" s="24" t="str">
        <x:v>Extensor hallucis brevis</x:v>
      </x:c>
      <x:c r="B5" s="24" t="str">
        <x:v>Dorsal foot</x:v>
      </x:c>
      <x:c r="C5" s="24" t="str">
        <x:v>Extensor</x:v>
      </x:c>
      <x:c r="D5" s="28" t="str">
        <x:v>No</x:v>
      </x:c>
      <x:c r="E5" s="28" t="str">
        <x:v>Yes</x:v>
      </x:c>
      <x:c r="F5" s="28" t="str">
        <x:v>No</x:v>
      </x:c>
      <x:c r="G5" s="24" t="str">
        <x:v>Extends hallux MCP joint</x:v>
      </x:c>
      <x:c r="H5" s="24" t="str">
        <x:v>Superolateral calcaneus</x:v>
      </x:c>
      <x:c r="I5" s="24" t="str">
        <x:v>Dorsal base proximal phalanx hallux</x:v>
      </x:c>
      <x:c r="J5" s="24" t="str">
        <x:v>Deep fibular nerve</x:v>
      </x:c>
      <x:c r="K5" s="24" t="str">
        <x:v>L5-S1</x:v>
      </x:c>
      <x:c r="L5" s="24" t="str">
        <x:v>EHB tendon</x:v>
      </x:c>
      <x:c r="M5" s="24" t="str">
        <x:v>Inferior extensor retinaculum adjacent at origin</x:v>
      </x:c>
      <x:c r="N5" s="30" t="str">
        <x:v>Not established</x:v>
      </x:c>
      <x:c r="O5" s="30" t="str">
        <x:v>Not established</x:v>
      </x:c>
      <x:c r="P5" s="30" t="str">
        <x:v>Mixed Type I and Type II; ratio unverified</x:v>
      </x:c>
      <x:c r="Q5" s="24" t="str">
        <x:v>Published biopsies insufficient to state a reliable per-muscle percentage; no inference from function</x:v>
      </x:c>
      <x:c r="R5" s="32" t="str">
        <x:v>https://www.kenhub.com/en/library/anatomy/ankle-and-foot-anatomy</x:v>
      </x:c>
      <x:c r="S5" s="32" t="str">
        <x:v>https://pubmed.ncbi.nlm.nih.gov/39359186/</x:v>
      </x:c>
    </x:row>
    <x:row r="6" ht="53" customHeight="1">
      <x:c r="A6" s="24" t="str">
        <x:v>Abductor digiti minimi (foot)</x:v>
      </x:c>
      <x:c r="B6" s="24" t="str">
        <x:v>Plantar layer 1</x:v>
      </x:c>
      <x:c r="C6" s="24" t="str">
        <x:v>Flexor; Stabilizer</x:v>
      </x:c>
      <x:c r="D6" s="28" t="str">
        <x:v>Yes</x:v>
      </x:c>
      <x:c r="E6" s="28" t="str">
        <x:v>No</x:v>
      </x:c>
      <x:c r="F6" s="28" t="str">
        <x:v>Yes</x:v>
      </x:c>
      <x:c r="G6" s="24" t="str">
        <x:v>Abducts/flexes fifth toe; supports lateral arch</x:v>
      </x:c>
      <x:c r="H6" s="24" t="str">
        <x:v>Medial/lateral calcaneal tubercles; plantar aponeurosis</x:v>
      </x:c>
      <x:c r="I6" s="24" t="str">
        <x:v>Lateral base proximal phalanx fifth toe</x:v>
      </x:c>
      <x:c r="J6" s="24" t="str">
        <x:v>Lateral plantar nerve</x:v>
      </x:c>
      <x:c r="K6" s="24" t="str">
        <x:v>S1-S3</x:v>
      </x:c>
      <x:c r="L6" s="24" t="str">
        <x:v>Distal insertion tendon</x:v>
      </x:c>
      <x:c r="M6" s="24" t="str">
        <x:v>Plantar aponeurosis direct origin</x:v>
      </x:c>
      <x:c r="N6" s="30" t="str">
        <x:v>Not established</x:v>
      </x:c>
      <x:c r="O6" s="30" t="str">
        <x:v>Not established</x:v>
      </x:c>
      <x:c r="P6" s="30" t="str">
        <x:v>Mixed Type I and Type II; ratio unverified</x:v>
      </x:c>
      <x:c r="Q6" s="24" t="str">
        <x:v>Published biopsies insufficient to state a reliable per-muscle percentage; no inference from function</x:v>
      </x:c>
      <x:c r="R6" s="32" t="str">
        <x:v>https://www.kenhub.com/en/library/anatomy/ankle-and-foot-anatomy</x:v>
      </x:c>
      <x:c r="S6" s="32" t="str">
        <x:v>https://pubmed.ncbi.nlm.nih.gov/39359186/</x:v>
      </x:c>
    </x:row>
    <x:row r="7" ht="53" customHeight="1">
      <x:c r="A7" s="24" t="str">
        <x:v>Abductor hallucis</x:v>
      </x:c>
      <x:c r="B7" s="24" t="str">
        <x:v>Plantar layer 1</x:v>
      </x:c>
      <x:c r="C7" s="24" t="str">
        <x:v>Flexor; Stabilizer</x:v>
      </x:c>
      <x:c r="D7" s="28" t="str">
        <x:v>Yes</x:v>
      </x:c>
      <x:c r="E7" s="28" t="str">
        <x:v>No</x:v>
      </x:c>
      <x:c r="F7" s="28" t="str">
        <x:v>Yes</x:v>
      </x:c>
      <x:c r="G7" s="24" t="str">
        <x:v>Abducts/flexes hallux; stabilizes medial arch</x:v>
      </x:c>
      <x:c r="H7" s="24" t="str">
        <x:v>Medial calcaneal tubercle; plantar aponeurosis; flexor retinaculum</x:v>
      </x:c>
      <x:c r="I7" s="24" t="str">
        <x:v>Medial base proximal phalanx hallux via sesamoid</x:v>
      </x:c>
      <x:c r="J7" s="24" t="str">
        <x:v>Medial plantar nerve</x:v>
      </x:c>
      <x:c r="K7" s="24" t="str">
        <x:v>S1-S2</x:v>
      </x:c>
      <x:c r="L7" s="24" t="str">
        <x:v>Medial hallucal sesamoid insertion tendon</x:v>
      </x:c>
      <x:c r="M7" s="24" t="str">
        <x:v>Flexor retinaculum direct origin; plantar aponeurosis attachment</x:v>
      </x:c>
      <x:c r="N7" s="30" t="str">
        <x:v>Not established</x:v>
      </x:c>
      <x:c r="O7" s="30" t="str">
        <x:v>Not established</x:v>
      </x:c>
      <x:c r="P7" s="30" t="str">
        <x:v>Mixed Type I and Type II; ratio unverified</x:v>
      </x:c>
      <x:c r="Q7" s="24" t="str">
        <x:v>Published biopsies insufficient to state a reliable per-muscle percentage; no inference from function</x:v>
      </x:c>
      <x:c r="R7" s="32" t="str">
        <x:v>https://www.kenhub.com/en/library/anatomy/ankle-and-foot-anatomy</x:v>
      </x:c>
      <x:c r="S7" s="32" t="str">
        <x:v>https://pubmed.ncbi.nlm.nih.gov/39359186/</x:v>
      </x:c>
    </x:row>
    <x:row r="8" ht="53" customHeight="1">
      <x:c r="A8" s="24" t="str">
        <x:v>Flexor digitorum brevis</x:v>
      </x:c>
      <x:c r="B8" s="24" t="str">
        <x:v>Plantar layer 1</x:v>
      </x:c>
      <x:c r="C8" s="24" t="str">
        <x:v>Flexor</x:v>
      </x:c>
      <x:c r="D8" s="28" t="str">
        <x:v>Yes</x:v>
      </x:c>
      <x:c r="E8" s="28" t="str">
        <x:v>No</x:v>
      </x:c>
      <x:c r="F8" s="28" t="str">
        <x:v>No</x:v>
      </x:c>
      <x:c r="G8" s="24" t="str">
        <x:v>Flexes PIP joints toes 2-5</x:v>
      </x:c>
      <x:c r="H8" s="24" t="str">
        <x:v>Medial calcaneal tubercle; plantar aponeurosis</x:v>
      </x:c>
      <x:c r="I8" s="24" t="str">
        <x:v>Sides middle phalanges toes 2-5</x:v>
      </x:c>
      <x:c r="J8" s="24" t="str">
        <x:v>Medial plantar nerve</x:v>
      </x:c>
      <x:c r="K8" s="24" t="str">
        <x:v>S1-S2</x:v>
      </x:c>
      <x:c r="L8" s="24" t="str">
        <x:v>Four bifurcating digital tendons</x:v>
      </x:c>
      <x:c r="M8" s="24" t="str">
        <x:v>Plantar aponeurosis direct origin; digital fibrous sheaths</x:v>
      </x:c>
      <x:c r="N8" s="30" t="str">
        <x:v>Not established</x:v>
      </x:c>
      <x:c r="O8" s="30" t="str">
        <x:v>Not established</x:v>
      </x:c>
      <x:c r="P8" s="30" t="str">
        <x:v>Mixed Type I and Type II; ratio unverified</x:v>
      </x:c>
      <x:c r="Q8" s="24" t="str">
        <x:v>Published biopsies insufficient to state a reliable per-muscle percentage; no inference from function</x:v>
      </x:c>
      <x:c r="R8" s="32" t="str">
        <x:v>https://www.kenhub.com/en/library/anatomy/ankle-and-foot-anatomy</x:v>
      </x:c>
      <x:c r="S8" s="32" t="str">
        <x:v>https://pubmed.ncbi.nlm.nih.gov/39359186/</x:v>
      </x:c>
    </x:row>
    <x:row r="9" ht="53" customHeight="1">
      <x:c r="A9" s="24" t="str">
        <x:v>Lumbrical 1 (foot)</x:v>
      </x:c>
      <x:c r="B9" s="24" t="str">
        <x:v>Plantar layer 2</x:v>
      </x:c>
      <x:c r="C9" s="24" t="str">
        <x:v>Flexor; Extensor</x:v>
      </x:c>
      <x:c r="D9" s="28" t="str">
        <x:v>Yes</x:v>
      </x:c>
      <x:c r="E9" s="28" t="str">
        <x:v>Yes</x:v>
      </x:c>
      <x:c r="F9" s="28" t="str">
        <x:v>No</x:v>
      </x:c>
      <x:c r="G9" s="24" t="str">
        <x:v>Flexes MTP and extends IP toe 2</x:v>
      </x:c>
      <x:c r="H9" s="24" t="str">
        <x:v>Medial side first FDL tendon</x:v>
      </x:c>
      <x:c r="I9" s="24" t="str">
        <x:v>Medial extensor expansion and proximal phalanx toe 2</x:v>
      </x:c>
      <x:c r="J9" s="24" t="str">
        <x:v>Medial plantar nerve</x:v>
      </x:c>
      <x:c r="K9" s="24" t="str">
        <x:v>S2-S3 (variable S1)</x:v>
      </x:c>
      <x:c r="L9" s="24" t="str">
        <x:v>FDL tendon origin; extensor hood insertion</x:v>
      </x:c>
      <x:c r="M9" s="24" t="str">
        <x:v>Plantar plates of MTP joints adjacent</x:v>
      </x:c>
      <x:c r="N9" s="30" t="str">
        <x:v>Not established</x:v>
      </x:c>
      <x:c r="O9" s="30" t="str">
        <x:v>Not established</x:v>
      </x:c>
      <x:c r="P9" s="30" t="str">
        <x:v>Mixed Type I and Type II; ratio unverified</x:v>
      </x:c>
      <x:c r="Q9" s="24" t="str">
        <x:v>Published biopsies insufficient to state a reliable per-muscle percentage; no inference from function</x:v>
      </x:c>
      <x:c r="R9" s="32" t="str">
        <x:v>https://www.kenhub.com/en/library/anatomy/ankle-and-foot-anatomy</x:v>
      </x:c>
      <x:c r="S9" s="32" t="str">
        <x:v>https://pubmed.ncbi.nlm.nih.gov/39359186/</x:v>
      </x:c>
    </x:row>
    <x:row r="10" ht="53" customHeight="1">
      <x:c r="A10" s="24" t="str">
        <x:v>Lumbrical 2 (foot)</x:v>
      </x:c>
      <x:c r="B10" s="24" t="str">
        <x:v>Plantar layer 2</x:v>
      </x:c>
      <x:c r="C10" s="24" t="str">
        <x:v>Flexor; Extensor</x:v>
      </x:c>
      <x:c r="D10" s="28" t="str">
        <x:v>Yes</x:v>
      </x:c>
      <x:c r="E10" s="28" t="str">
        <x:v>Yes</x:v>
      </x:c>
      <x:c r="F10" s="28" t="str">
        <x:v>No</x:v>
      </x:c>
      <x:c r="G10" s="24" t="str">
        <x:v>Flexes MTP and extends IP toe 3</x:v>
      </x:c>
      <x:c r="H10" s="24" t="str">
        <x:v>Adjacent FDL tendons to toes 2 and 3</x:v>
      </x:c>
      <x:c r="I10" s="24" t="str">
        <x:v>Medial extensor expansion toe 3</x:v>
      </x:c>
      <x:c r="J10" s="24" t="str">
        <x:v>Lateral plantar nerve</x:v>
      </x:c>
      <x:c r="K10" s="24" t="str">
        <x:v>S2-S3</x:v>
      </x:c>
      <x:c r="L10" s="24" t="str">
        <x:v>FDL tendon origin; extensor expansion</x:v>
      </x:c>
      <x:c r="M10" s="24" t="str">
        <x:v>MTP plantar plate nearby</x:v>
      </x:c>
      <x:c r="N10" s="30" t="str">
        <x:v>Not established</x:v>
      </x:c>
      <x:c r="O10" s="30" t="str">
        <x:v>Not established</x:v>
      </x:c>
      <x:c r="P10" s="30" t="str">
        <x:v>Mixed Type I and Type II; ratio unverified</x:v>
      </x:c>
      <x:c r="Q10" s="24" t="str">
        <x:v>Published biopsies insufficient to state a reliable per-muscle percentage; no inference from function</x:v>
      </x:c>
      <x:c r="R10" s="32" t="str">
        <x:v>https://www.kenhub.com/en/library/anatomy/ankle-and-foot-anatomy</x:v>
      </x:c>
      <x:c r="S10" s="32" t="str">
        <x:v>https://pubmed.ncbi.nlm.nih.gov/39359186/</x:v>
      </x:c>
    </x:row>
    <x:row r="11" ht="53" customHeight="1">
      <x:c r="A11" s="24" t="str">
        <x:v>Lumbrical 3 (foot)</x:v>
      </x:c>
      <x:c r="B11" s="24" t="str">
        <x:v>Plantar layer 2</x:v>
      </x:c>
      <x:c r="C11" s="24" t="str">
        <x:v>Flexor; Extensor</x:v>
      </x:c>
      <x:c r="D11" s="28" t="str">
        <x:v>Yes</x:v>
      </x:c>
      <x:c r="E11" s="28" t="str">
        <x:v>Yes</x:v>
      </x:c>
      <x:c r="F11" s="28" t="str">
        <x:v>No</x:v>
      </x:c>
      <x:c r="G11" s="24" t="str">
        <x:v>Flexes MTP and extends IP toe 4</x:v>
      </x:c>
      <x:c r="H11" s="24" t="str">
        <x:v>Adjacent FDL tendons toes 3 and 4</x:v>
      </x:c>
      <x:c r="I11" s="24" t="str">
        <x:v>Medial extensor expansion toe 4</x:v>
      </x:c>
      <x:c r="J11" s="24" t="str">
        <x:v>Lateral plantar nerve</x:v>
      </x:c>
      <x:c r="K11" s="24" t="str">
        <x:v>S2-S3</x:v>
      </x:c>
      <x:c r="L11" s="24" t="str">
        <x:v>FDL tendon origin; extensor expansion</x:v>
      </x:c>
      <x:c r="M11" s="24" t="str">
        <x:v>MTP plantar plate nearby</x:v>
      </x:c>
      <x:c r="N11" s="30" t="str">
        <x:v>Not established</x:v>
      </x:c>
      <x:c r="O11" s="30" t="str">
        <x:v>Not established</x:v>
      </x:c>
      <x:c r="P11" s="30" t="str">
        <x:v>Mixed Type I and Type II; ratio unverified</x:v>
      </x:c>
      <x:c r="Q11" s="24" t="str">
        <x:v>Published biopsies insufficient to state a reliable per-muscle percentage; no inference from function</x:v>
      </x:c>
      <x:c r="R11" s="32" t="str">
        <x:v>https://www.kenhub.com/en/library/anatomy/ankle-and-foot-anatomy</x:v>
      </x:c>
      <x:c r="S11" s="32" t="str">
        <x:v>https://pubmed.ncbi.nlm.nih.gov/39359186/</x:v>
      </x:c>
    </x:row>
    <x:row r="12" ht="53" customHeight="1">
      <x:c r="A12" s="24" t="str">
        <x:v>Lumbrical 4 (foot)</x:v>
      </x:c>
      <x:c r="B12" s="24" t="str">
        <x:v>Plantar layer 2</x:v>
      </x:c>
      <x:c r="C12" s="24" t="str">
        <x:v>Flexor; Extensor</x:v>
      </x:c>
      <x:c r="D12" s="28" t="str">
        <x:v>Yes</x:v>
      </x:c>
      <x:c r="E12" s="28" t="str">
        <x:v>Yes</x:v>
      </x:c>
      <x:c r="F12" s="28" t="str">
        <x:v>No</x:v>
      </x:c>
      <x:c r="G12" s="24" t="str">
        <x:v>Flexes MTP and extends IP toe 5</x:v>
      </x:c>
      <x:c r="H12" s="24" t="str">
        <x:v>Adjacent FDL tendons toes 4 and 5</x:v>
      </x:c>
      <x:c r="I12" s="24" t="str">
        <x:v>Medial extensor expansion toe 5</x:v>
      </x:c>
      <x:c r="J12" s="24" t="str">
        <x:v>Lateral plantar nerve</x:v>
      </x:c>
      <x:c r="K12" s="24" t="str">
        <x:v>S2-S3</x:v>
      </x:c>
      <x:c r="L12" s="24" t="str">
        <x:v>FDL tendon origin; extensor expansion</x:v>
      </x:c>
      <x:c r="M12" s="24" t="str">
        <x:v>MTP plantar plate nearby</x:v>
      </x:c>
      <x:c r="N12" s="30" t="str">
        <x:v>Not established</x:v>
      </x:c>
      <x:c r="O12" s="30" t="str">
        <x:v>Not established</x:v>
      </x:c>
      <x:c r="P12" s="30" t="str">
        <x:v>Mixed Type I and Type II; ratio unverified</x:v>
      </x:c>
      <x:c r="Q12" s="24" t="str">
        <x:v>Published biopsies insufficient to state a reliable per-muscle percentage; no inference from function</x:v>
      </x:c>
      <x:c r="R12" s="32" t="str">
        <x:v>https://www.kenhub.com/en/library/anatomy/ankle-and-foot-anatomy</x:v>
      </x:c>
      <x:c r="S12" s="32" t="str">
        <x:v>https://pubmed.ncbi.nlm.nih.gov/39359186/</x:v>
      </x:c>
    </x:row>
    <x:row r="13" ht="53" customHeight="1">
      <x:c r="A13" s="24" t="str">
        <x:v>Quadratus plantae lateral head</x:v>
      </x:c>
      <x:c r="B13" s="24" t="str">
        <x:v>Plantar layer 2</x:v>
      </x:c>
      <x:c r="C13" s="24" t="str">
        <x:v>Flexor; Stabilizer</x:v>
      </x:c>
      <x:c r="D13" s="28" t="str">
        <x:v>Yes</x:v>
      </x:c>
      <x:c r="E13" s="28" t="str">
        <x:v>No</x:v>
      </x:c>
      <x:c r="F13" s="28" t="str">
        <x:v>Yes</x:v>
      </x:c>
      <x:c r="G13" s="24" t="str">
        <x:v>Redirects FDL pull; assists toe flexion</x:v>
      </x:c>
      <x:c r="H13" s="24" t="str">
        <x:v>Lateral calcaneal tubercle and long plantar ligament</x:v>
      </x:c>
      <x:c r="I13" s="24" t="str">
        <x:v>Lateral edge FDL tendon</x:v>
      </x:c>
      <x:c r="J13" s="24" t="str">
        <x:v>Lateral plantar nerve</x:v>
      </x:c>
      <x:c r="K13" s="24" t="str">
        <x:v>S1-S3</x:v>
      </x:c>
      <x:c r="L13" s="24" t="str">
        <x:v>Insertion to FDL tendon</x:v>
      </x:c>
      <x:c r="M13" s="24" t="str">
        <x:v>Long plantar ligament may contribute to origin</x:v>
      </x:c>
      <x:c r="N13" s="30" t="str">
        <x:v>Not established</x:v>
      </x:c>
      <x:c r="O13" s="30" t="str">
        <x:v>Not established</x:v>
      </x:c>
      <x:c r="P13" s="30" t="str">
        <x:v>Mixed Type I and Type II; ratio unverified</x:v>
      </x:c>
      <x:c r="Q13" s="24" t="str">
        <x:v>Published biopsies insufficient to state a reliable per-muscle percentage; no inference from function</x:v>
      </x:c>
      <x:c r="R13" s="32" t="str">
        <x:v>https://www.kenhub.com/en/library/anatomy/ankle-and-foot-anatomy</x:v>
      </x:c>
      <x:c r="S13" s="32" t="str">
        <x:v>https://pubmed.ncbi.nlm.nih.gov/39359186/</x:v>
      </x:c>
    </x:row>
    <x:row r="14" ht="53" customHeight="1">
      <x:c r="A14" s="24" t="str">
        <x:v>Quadratus plantae medial head</x:v>
      </x:c>
      <x:c r="B14" s="24" t="str">
        <x:v>Plantar layer 2</x:v>
      </x:c>
      <x:c r="C14" s="24" t="str">
        <x:v>Flexor; Stabilizer</x:v>
      </x:c>
      <x:c r="D14" s="28" t="str">
        <x:v>Yes</x:v>
      </x:c>
      <x:c r="E14" s="28" t="str">
        <x:v>No</x:v>
      </x:c>
      <x:c r="F14" s="28" t="str">
        <x:v>Yes</x:v>
      </x:c>
      <x:c r="G14" s="24" t="str">
        <x:v>Redirects FDL pull to flex toes 2-5</x:v>
      </x:c>
      <x:c r="H14" s="24" t="str">
        <x:v>Medial surface calcaneus</x:v>
      </x:c>
      <x:c r="I14" s="24" t="str">
        <x:v>Posterolateral edge flexor digitorum longus tendon</x:v>
      </x:c>
      <x:c r="J14" s="24" t="str">
        <x:v>Lateral plantar nerve</x:v>
      </x:c>
      <x:c r="K14" s="24" t="str">
        <x:v>S1-S3</x:v>
      </x:c>
      <x:c r="L14" s="24" t="str">
        <x:v>Attaches directly to FDL tendon</x:v>
      </x:c>
      <x:c r="M14" s="24" t="str">
        <x:v>Long plantar ligament nearby (no direct ligament insertion)</x:v>
      </x:c>
      <x:c r="N14" s="30" t="str">
        <x:v>Not established</x:v>
      </x:c>
      <x:c r="O14" s="30" t="str">
        <x:v>Not established</x:v>
      </x:c>
      <x:c r="P14" s="30" t="str">
        <x:v>Mixed Type I and Type II; ratio unverified</x:v>
      </x:c>
      <x:c r="Q14" s="24" t="str">
        <x:v>Published biopsies insufficient to state a reliable per-muscle percentage; no inference from function</x:v>
      </x:c>
      <x:c r="R14" s="32" t="str">
        <x:v>https://www.kenhub.com/en/library/anatomy/ankle-and-foot-anatomy</x:v>
      </x:c>
      <x:c r="S14" s="32" t="str">
        <x:v>https://pubmed.ncbi.nlm.nih.gov/39359186/</x:v>
      </x:c>
    </x:row>
    <x:row r="15" ht="53" customHeight="1">
      <x:c r="A15" s="24" t="str">
        <x:v>Adductor hallucis oblique head</x:v>
      </x:c>
      <x:c r="B15" s="24" t="str">
        <x:v>Plantar layer 3</x:v>
      </x:c>
      <x:c r="C15" s="24" t="str">
        <x:v>Stabilizer</x:v>
      </x:c>
      <x:c r="D15" s="28" t="str">
        <x:v>No</x:v>
      </x:c>
      <x:c r="E15" s="28" t="str">
        <x:v>No</x:v>
      </x:c>
      <x:c r="F15" s="28" t="str">
        <x:v>Yes</x:v>
      </x:c>
      <x:c r="G15" s="24" t="str">
        <x:v>Adducts hallux; supports transverse arch</x:v>
      </x:c>
      <x:c r="H15" s="24" t="str">
        <x:v>Bases metatarsals 2-4; long plantar ligament; fibularis longus tendon sheath</x:v>
      </x:c>
      <x:c r="I15" s="24" t="str">
        <x:v>Lateral base proximal phalanx hallux with sesamoid</x:v>
      </x:c>
      <x:c r="J15" s="24" t="str">
        <x:v>Deep branch lateral plantar nerve</x:v>
      </x:c>
      <x:c r="K15" s="24" t="str">
        <x:v>S2-S3</x:v>
      </x:c>
      <x:c r="L15" s="24" t="str">
        <x:v>Tendon via lateral sesamoid</x:v>
      </x:c>
      <x:c r="M15" s="24" t="str">
        <x:v>Long plantar ligament contributes origin</x:v>
      </x:c>
      <x:c r="N15" s="30" t="str">
        <x:v>Not established</x:v>
      </x:c>
      <x:c r="O15" s="30" t="str">
        <x:v>Not established</x:v>
      </x:c>
      <x:c r="P15" s="30" t="str">
        <x:v>Mixed Type I and Type II; ratio unverified</x:v>
      </x:c>
      <x:c r="Q15" s="24" t="str">
        <x:v>Published biopsies insufficient to state a reliable per-muscle percentage; no inference from function</x:v>
      </x:c>
      <x:c r="R15" s="32" t="str">
        <x:v>https://www.kenhub.com/en/library/anatomy/ankle-and-foot-anatomy</x:v>
      </x:c>
      <x:c r="S15" s="32" t="str">
        <x:v>https://pubmed.ncbi.nlm.nih.gov/39359186/</x:v>
      </x:c>
    </x:row>
    <x:row r="16" ht="53" customHeight="1">
      <x:c r="A16" s="24" t="str">
        <x:v>Adductor hallucis transverse head</x:v>
      </x:c>
      <x:c r="B16" s="24" t="str">
        <x:v>Plantar layer 3</x:v>
      </x:c>
      <x:c r="C16" s="24" t="str">
        <x:v>Stabilizer</x:v>
      </x:c>
      <x:c r="D16" s="28" t="str">
        <x:v>No</x:v>
      </x:c>
      <x:c r="E16" s="28" t="str">
        <x:v>No</x:v>
      </x:c>
      <x:c r="F16" s="28" t="str">
        <x:v>Yes</x:v>
      </x:c>
      <x:c r="G16" s="24" t="str">
        <x:v>Adducts hallux; supports transverse arch</x:v>
      </x:c>
      <x:c r="H16" s="24" t="str">
        <x:v>Plantar plates of MTP joints toes 3-5; deep transverse metatarsal ligaments</x:v>
      </x:c>
      <x:c r="I16" s="24" t="str">
        <x:v>Lateral base proximal phalanx hallux</x:v>
      </x:c>
      <x:c r="J16" s="24" t="str">
        <x:v>Deep branch lateral plantar nerve</x:v>
      </x:c>
      <x:c r="K16" s="24" t="str">
        <x:v>S2-S3</x:v>
      </x:c>
      <x:c r="L16" s="24" t="str">
        <x:v>Common adductor tendon</x:v>
      </x:c>
      <x:c r="M16" s="24" t="str">
        <x:v>Deep transverse metatarsal ligaments direct origins</x:v>
      </x:c>
      <x:c r="N16" s="30" t="str">
        <x:v>Not established</x:v>
      </x:c>
      <x:c r="O16" s="30" t="str">
        <x:v>Not established</x:v>
      </x:c>
      <x:c r="P16" s="30" t="str">
        <x:v>Mixed Type I and Type II; ratio unverified</x:v>
      </x:c>
      <x:c r="Q16" s="24" t="str">
        <x:v>Published biopsies insufficient to state a reliable per-muscle percentage; no inference from function</x:v>
      </x:c>
      <x:c r="R16" s="32" t="str">
        <x:v>https://www.kenhub.com/en/library/anatomy/ankle-and-foot-anatomy</x:v>
      </x:c>
      <x:c r="S16" s="32" t="str">
        <x:v>https://pubmed.ncbi.nlm.nih.gov/39359186/</x:v>
      </x:c>
    </x:row>
    <x:row r="17" ht="53" customHeight="1">
      <x:c r="A17" s="24" t="str">
        <x:v>Flexor digiti minimi brevis (foot)</x:v>
      </x:c>
      <x:c r="B17" s="24" t="str">
        <x:v>Plantar layer 3</x:v>
      </x:c>
      <x:c r="C17" s="24" t="str">
        <x:v>Flexor</x:v>
      </x:c>
      <x:c r="D17" s="28" t="str">
        <x:v>Yes</x:v>
      </x:c>
      <x:c r="E17" s="28" t="str">
        <x:v>No</x:v>
      </x:c>
      <x:c r="F17" s="28" t="str">
        <x:v>No</x:v>
      </x:c>
      <x:c r="G17" s="24" t="str">
        <x:v>Flexes fifth MTP joint</x:v>
      </x:c>
      <x:c r="H17" s="24" t="str">
        <x:v>Base metatarsal 5; long plantar ligament</x:v>
      </x:c>
      <x:c r="I17" s="24" t="str">
        <x:v>Base proximal phalanx fifth toe</x:v>
      </x:c>
      <x:c r="J17" s="24" t="str">
        <x:v>Superficial branch lateral plantar nerve</x:v>
      </x:c>
      <x:c r="K17" s="24" t="str">
        <x:v>S2-S3</x:v>
      </x:c>
      <x:c r="L17" s="24" t="str">
        <x:v>Distal tendon to fifth toe</x:v>
      </x:c>
      <x:c r="M17" s="24" t="str">
        <x:v>Long plantar ligament contributes to origin</x:v>
      </x:c>
      <x:c r="N17" s="30" t="str">
        <x:v>Not established</x:v>
      </x:c>
      <x:c r="O17" s="30" t="str">
        <x:v>Not established</x:v>
      </x:c>
      <x:c r="P17" s="30" t="str">
        <x:v>Mixed Type I and Type II; ratio unverified</x:v>
      </x:c>
      <x:c r="Q17" s="24" t="str">
        <x:v>Published biopsies insufficient to state a reliable per-muscle percentage; no inference from function</x:v>
      </x:c>
      <x:c r="R17" s="32" t="str">
        <x:v>https://www.kenhub.com/en/library/anatomy/ankle-and-foot-anatomy</x:v>
      </x:c>
      <x:c r="S17" s="32" t="str">
        <x:v>https://pubmed.ncbi.nlm.nih.gov/39359186/</x:v>
      </x:c>
    </x:row>
    <x:row r="18" ht="53" customHeight="1">
      <x:c r="A18" s="24" t="str">
        <x:v>Flexor hallucis brevis lateral head</x:v>
      </x:c>
      <x:c r="B18" s="24" t="str">
        <x:v>Plantar layer 3</x:v>
      </x:c>
      <x:c r="C18" s="24" t="str">
        <x:v>Flexor</x:v>
      </x:c>
      <x:c r="D18" s="28" t="str">
        <x:v>Yes</x:v>
      </x:c>
      <x:c r="E18" s="28" t="str">
        <x:v>No</x:v>
      </x:c>
      <x:c r="F18" s="28" t="str">
        <x:v>No</x:v>
      </x:c>
      <x:c r="G18" s="24" t="str">
        <x:v>Flexes hallux MTP</x:v>
      </x:c>
      <x:c r="H18" s="24" t="str">
        <x:v>Cuboid/lateral cuneiform; tibialis posterior tendon</x:v>
      </x:c>
      <x:c r="I18" s="24" t="str">
        <x:v>Lateral sesamoid and base proximal hallux phalanx</x:v>
      </x:c>
      <x:c r="J18" s="24" t="str">
        <x:v>Medial plantar nerve (variable deep lateral plantar contribution)</x:v>
      </x:c>
      <x:c r="K18" s="24" t="str">
        <x:v>S1-S2</x:v>
      </x:c>
      <x:c r="L18" s="24" t="str">
        <x:v>Tendon via lateral hallucal sesamoid</x:v>
      </x:c>
      <x:c r="M18" s="24" t="str">
        <x:v>Plantar plate and collateral ligaments at MTP nearby</x:v>
      </x:c>
      <x:c r="N18" s="30" t="str">
        <x:v>Not established</x:v>
      </x:c>
      <x:c r="O18" s="30" t="str">
        <x:v>Not established</x:v>
      </x:c>
      <x:c r="P18" s="30" t="str">
        <x:v>Mixed Type I and Type II; ratio unverified</x:v>
      </x:c>
      <x:c r="Q18" s="24" t="str">
        <x:v>Published biopsies insufficient to state a reliable per-muscle percentage; no inference from function</x:v>
      </x:c>
      <x:c r="R18" s="32" t="str">
        <x:v>https://www.kenhub.com/en/library/anatomy/ankle-and-foot-anatomy</x:v>
      </x:c>
      <x:c r="S18" s="32" t="str">
        <x:v>https://pubmed.ncbi.nlm.nih.gov/39359186/</x:v>
      </x:c>
    </x:row>
    <x:row r="19" ht="53" customHeight="1">
      <x:c r="A19" s="24" t="str">
        <x:v>Flexor hallucis brevis medial head</x:v>
      </x:c>
      <x:c r="B19" s="24" t="str">
        <x:v>Plantar layer 3</x:v>
      </x:c>
      <x:c r="C19" s="24" t="str">
        <x:v>Flexor; Stabilizer</x:v>
      </x:c>
      <x:c r="D19" s="28" t="str">
        <x:v>Yes</x:v>
      </x:c>
      <x:c r="E19" s="28" t="str">
        <x:v>No</x:v>
      </x:c>
      <x:c r="F19" s="28" t="str">
        <x:v>Yes</x:v>
      </x:c>
      <x:c r="G19" s="24" t="str">
        <x:v>Flexes hallux MTP; supports medial arch</x:v>
      </x:c>
      <x:c r="H19" s="24" t="str">
        <x:v>Medial cuneiform; cuboid region; tibialis posterior tendon fibers</x:v>
      </x:c>
      <x:c r="I19" s="24" t="str">
        <x:v>Medial sesamoid and base proximal hallux phalanx</x:v>
      </x:c>
      <x:c r="J19" s="24" t="str">
        <x:v>Medial plantar nerve</x:v>
      </x:c>
      <x:c r="K19" s="24" t="str">
        <x:v>S1-S2</x:v>
      </x:c>
      <x:c r="L19" s="24" t="str">
        <x:v>Short tendon via medial hallucal sesamoid</x:v>
      </x:c>
      <x:c r="M19" s="24" t="str">
        <x:v>Plantar plate/medial collateral ligament at MTP nearby</x:v>
      </x:c>
      <x:c r="N19" s="30" t="str">
        <x:v>Not established</x:v>
      </x:c>
      <x:c r="O19" s="30" t="str">
        <x:v>Not established</x:v>
      </x:c>
      <x:c r="P19" s="30" t="str">
        <x:v>Mixed Type I and Type II; ratio unverified</x:v>
      </x:c>
      <x:c r="Q19" s="24" t="str">
        <x:v>Published biopsies insufficient to state a reliable per-muscle percentage; no inference from function</x:v>
      </x:c>
      <x:c r="R19" s="32" t="str">
        <x:v>https://www.kenhub.com/en/library/anatomy/ankle-and-foot-anatomy</x:v>
      </x:c>
      <x:c r="S19" s="32" t="str">
        <x:v>https://pubmed.ncbi.nlm.nih.gov/39359186/</x:v>
      </x:c>
    </x:row>
    <x:row r="20" ht="53" customHeight="1">
      <x:c r="A20" s="24" t="str">
        <x:v>Opponens digiti minimi (foot, variable)</x:v>
      </x:c>
      <x:c r="B20" s="24" t="str">
        <x:v>Plantar layer 3</x:v>
      </x:c>
      <x:c r="C20" s="24" t="str">
        <x:v>Stabilizer</x:v>
      </x:c>
      <x:c r="D20" s="28" t="str">
        <x:v>No</x:v>
      </x:c>
      <x:c r="E20" s="28" t="str">
        <x:v>No</x:v>
      </x:c>
      <x:c r="F20" s="28" t="str">
        <x:v>Yes</x:v>
      </x:c>
      <x:c r="G20" s="24" t="str">
        <x:v>Draws fifth metatarsal plantarly; supports lateral arch</x:v>
      </x:c>
      <x:c r="H20" s="24" t="str">
        <x:v>Long plantar ligament and cuboid/fifth metatarsal base</x:v>
      </x:c>
      <x:c r="I20" s="24" t="str">
        <x:v>Lateral shaft fifth metatarsal</x:v>
      </x:c>
      <x:c r="J20" s="24" t="str">
        <x:v>Lateral plantar nerve</x:v>
      </x:c>
      <x:c r="K20" s="24" t="str">
        <x:v>S2-S3</x:v>
      </x:c>
      <x:c r="L20" s="24" t="str">
        <x:v>Small insertion tendinous fibers</x:v>
      </x:c>
      <x:c r="M20" s="24" t="str">
        <x:v>Long plantar ligament origin; muscle absent in some individuals</x:v>
      </x:c>
      <x:c r="N20" s="30" t="str">
        <x:v>Not established</x:v>
      </x:c>
      <x:c r="O20" s="30" t="str">
        <x:v>Not established</x:v>
      </x:c>
      <x:c r="P20" s="30" t="str">
        <x:v>Mixed Type I and Type II; ratio unverified</x:v>
      </x:c>
      <x:c r="Q20" s="24" t="str">
        <x:v>Published biopsies insufficient to state a reliable per-muscle percentage; no inference from function</x:v>
      </x:c>
      <x:c r="R20" s="32" t="str">
        <x:v>https://www.kenhub.com/en/library/anatomy/ankle-and-foot-anatomy</x:v>
      </x:c>
      <x:c r="S20" s="32" t="str">
        <x:v>https://pubmed.ncbi.nlm.nih.gov/39359186/</x:v>
      </x:c>
    </x:row>
    <x:row r="21" ht="53" customHeight="1">
      <x:c r="A21" s="24" t="str">
        <x:v>Dorsal interosseous 1 (foot)</x:v>
      </x:c>
      <x:c r="B21" s="24" t="str">
        <x:v>Plantar layer 4</x:v>
      </x:c>
      <x:c r="C21" s="24" t="str">
        <x:v>Flexor; Extensor; Stabilizer</x:v>
      </x:c>
      <x:c r="D21" s="28" t="str">
        <x:v>Yes</x:v>
      </x:c>
      <x:c r="E21" s="28" t="str">
        <x:v>Yes</x:v>
      </x:c>
      <x:c r="F21" s="28" t="str">
        <x:v>Yes</x:v>
      </x:c>
      <x:c r="G21" s="24" t="str">
        <x:v>Abducts second toe medially; MTP flexion/IP extension</x:v>
      </x:c>
      <x:c r="H21" s="24" t="str">
        <x:v>Facing shafts metatarsals 1-2</x:v>
      </x:c>
      <x:c r="I21" s="24" t="str">
        <x:v>Medial base proximal phalanx toe 2</x:v>
      </x:c>
      <x:c r="J21" s="24" t="str">
        <x:v>Deep branch lateral plantar nerve</x:v>
      </x:c>
      <x:c r="K21" s="24" t="str">
        <x:v>S2-S3</x:v>
      </x:c>
      <x:c r="L21" s="24" t="str">
        <x:v>Distal interosseous tendon</x:v>
      </x:c>
      <x:c r="M21" s="24" t="str">
        <x:v>Deep transverse metatarsal ligament adjacent</x:v>
      </x:c>
      <x:c r="N21" s="30" t="str">
        <x:v>Not established</x:v>
      </x:c>
      <x:c r="O21" s="30" t="str">
        <x:v>Not established</x:v>
      </x:c>
      <x:c r="P21" s="30" t="str">
        <x:v>Mixed Type I and Type II; ratio unverified</x:v>
      </x:c>
      <x:c r="Q21" s="24" t="str">
        <x:v>Published biopsies insufficient to state a reliable per-muscle percentage; no inference from function</x:v>
      </x:c>
      <x:c r="R21" s="32" t="str">
        <x:v>https://www.kenhub.com/en/library/anatomy/ankle-and-foot-anatomy</x:v>
      </x:c>
      <x:c r="S21" s="32" t="str">
        <x:v>https://pubmed.ncbi.nlm.nih.gov/39359186/</x:v>
      </x:c>
    </x:row>
    <x:row r="22" ht="53" customHeight="1">
      <x:c r="A22" s="24" t="str">
        <x:v>Dorsal interosseous 2 (foot)</x:v>
      </x:c>
      <x:c r="B22" s="24" t="str">
        <x:v>Plantar layer 4</x:v>
      </x:c>
      <x:c r="C22" s="24" t="str">
        <x:v>Flexor; Extensor; Stabilizer</x:v>
      </x:c>
      <x:c r="D22" s="28" t="str">
        <x:v>Yes</x:v>
      </x:c>
      <x:c r="E22" s="28" t="str">
        <x:v>Yes</x:v>
      </x:c>
      <x:c r="F22" s="28" t="str">
        <x:v>Yes</x:v>
      </x:c>
      <x:c r="G22" s="24" t="str">
        <x:v>Abducts second toe laterally; MTP flexion/IP extension</x:v>
      </x:c>
      <x:c r="H22" s="24" t="str">
        <x:v>Facing shafts metatarsals 2-3</x:v>
      </x:c>
      <x:c r="I22" s="24" t="str">
        <x:v>Lateral base proximal phalanx toe 2</x:v>
      </x:c>
      <x:c r="J22" s="24" t="str">
        <x:v>Deep branch lateral plantar nerve</x:v>
      </x:c>
      <x:c r="K22" s="24" t="str">
        <x:v>S2-S3</x:v>
      </x:c>
      <x:c r="L22" s="24" t="str">
        <x:v>Distal interosseous tendon</x:v>
      </x:c>
      <x:c r="M22" s="24" t="str">
        <x:v>Deep transverse metatarsal ligament adjacent</x:v>
      </x:c>
      <x:c r="N22" s="30" t="str">
        <x:v>Not established</x:v>
      </x:c>
      <x:c r="O22" s="30" t="str">
        <x:v>Not established</x:v>
      </x:c>
      <x:c r="P22" s="30" t="str">
        <x:v>Mixed Type I and Type II; ratio unverified</x:v>
      </x:c>
      <x:c r="Q22" s="24" t="str">
        <x:v>Published biopsies insufficient to state a reliable per-muscle percentage; no inference from function</x:v>
      </x:c>
      <x:c r="R22" s="32" t="str">
        <x:v>https://www.kenhub.com/en/library/anatomy/ankle-and-foot-anatomy</x:v>
      </x:c>
      <x:c r="S22" s="32" t="str">
        <x:v>https://pubmed.ncbi.nlm.nih.gov/39359186/</x:v>
      </x:c>
    </x:row>
    <x:row r="23" ht="53" customHeight="1">
      <x:c r="A23" s="24" t="str">
        <x:v>Dorsal interosseous 3 (foot)</x:v>
      </x:c>
      <x:c r="B23" s="24" t="str">
        <x:v>Plantar layer 4</x:v>
      </x:c>
      <x:c r="C23" s="24" t="str">
        <x:v>Flexor; Extensor; Stabilizer</x:v>
      </x:c>
      <x:c r="D23" s="28" t="str">
        <x:v>Yes</x:v>
      </x:c>
      <x:c r="E23" s="28" t="str">
        <x:v>Yes</x:v>
      </x:c>
      <x:c r="F23" s="28" t="str">
        <x:v>Yes</x:v>
      </x:c>
      <x:c r="G23" s="24" t="str">
        <x:v>Abducts third toe; assists MTP flexion/IP extension</x:v>
      </x:c>
      <x:c r="H23" s="24" t="str">
        <x:v>Facing shafts metatarsals 3-4</x:v>
      </x:c>
      <x:c r="I23" s="24" t="str">
        <x:v>Lateral base proximal phalanx toe 3</x:v>
      </x:c>
      <x:c r="J23" s="24" t="str">
        <x:v>Deep branch lateral plantar nerve</x:v>
      </x:c>
      <x:c r="K23" s="24" t="str">
        <x:v>S2-S3</x:v>
      </x:c>
      <x:c r="L23" s="24" t="str">
        <x:v>Distal interosseous tendon</x:v>
      </x:c>
      <x:c r="M23" s="24" t="str">
        <x:v>Deep transverse metatarsal ligament adjacent</x:v>
      </x:c>
      <x:c r="N23" s="30" t="str">
        <x:v>Not established</x:v>
      </x:c>
      <x:c r="O23" s="30" t="str">
        <x:v>Not established</x:v>
      </x:c>
      <x:c r="P23" s="30" t="str">
        <x:v>Mixed Type I and Type II; ratio unverified</x:v>
      </x:c>
      <x:c r="Q23" s="24" t="str">
        <x:v>Published biopsies insufficient to state a reliable per-muscle percentage; no inference from function</x:v>
      </x:c>
      <x:c r="R23" s="32" t="str">
        <x:v>https://www.kenhub.com/en/library/anatomy/ankle-and-foot-anatomy</x:v>
      </x:c>
      <x:c r="S23" s="32" t="str">
        <x:v>https://pubmed.ncbi.nlm.nih.gov/39359186/</x:v>
      </x:c>
    </x:row>
    <x:row r="24" ht="53" customHeight="1">
      <x:c r="A24" s="24" t="str">
        <x:v>Dorsal interosseous 4 (foot)</x:v>
      </x:c>
      <x:c r="B24" s="24" t="str">
        <x:v>Plantar layer 4</x:v>
      </x:c>
      <x:c r="C24" s="24" t="str">
        <x:v>Flexor; Extensor; Stabilizer</x:v>
      </x:c>
      <x:c r="D24" s="28" t="str">
        <x:v>Yes</x:v>
      </x:c>
      <x:c r="E24" s="28" t="str">
        <x:v>Yes</x:v>
      </x:c>
      <x:c r="F24" s="28" t="str">
        <x:v>Yes</x:v>
      </x:c>
      <x:c r="G24" s="24" t="str">
        <x:v>Abducts fourth toe; assists MTP flexion/IP extension</x:v>
      </x:c>
      <x:c r="H24" s="24" t="str">
        <x:v>Facing shafts metatarsals 4-5</x:v>
      </x:c>
      <x:c r="I24" s="24" t="str">
        <x:v>Lateral base proximal phalanx toe 4</x:v>
      </x:c>
      <x:c r="J24" s="24" t="str">
        <x:v>Deep branch lateral plantar nerve</x:v>
      </x:c>
      <x:c r="K24" s="24" t="str">
        <x:v>S2-S3</x:v>
      </x:c>
      <x:c r="L24" s="24" t="str">
        <x:v>Distal interosseous tendon</x:v>
      </x:c>
      <x:c r="M24" s="24" t="str">
        <x:v>Deep transverse metatarsal ligament adjacent</x:v>
      </x:c>
      <x:c r="N24" s="30" t="str">
        <x:v>Not established</x:v>
      </x:c>
      <x:c r="O24" s="30" t="str">
        <x:v>Not established</x:v>
      </x:c>
      <x:c r="P24" s="30" t="str">
        <x:v>Mixed Type I and Type II; ratio unverified</x:v>
      </x:c>
      <x:c r="Q24" s="24" t="str">
        <x:v>Published biopsies insufficient to state a reliable per-muscle percentage; no inference from function</x:v>
      </x:c>
      <x:c r="R24" s="32" t="str">
        <x:v>https://www.kenhub.com/en/library/anatomy/ankle-and-foot-anatomy</x:v>
      </x:c>
      <x:c r="S24" s="32" t="str">
        <x:v>https://pubmed.ncbi.nlm.nih.gov/39359186/</x:v>
      </x:c>
    </x:row>
    <x:row r="25" ht="53" customHeight="1">
      <x:c r="A25" s="24" t="str">
        <x:v>Plantar interosseous 1 (third toe)</x:v>
      </x:c>
      <x:c r="B25" s="24" t="str">
        <x:v>Plantar layer 4</x:v>
      </x:c>
      <x:c r="C25" s="24" t="str">
        <x:v>Flexor; Extensor; Stabilizer</x:v>
      </x:c>
      <x:c r="D25" s="28" t="str">
        <x:v>Yes</x:v>
      </x:c>
      <x:c r="E25" s="28" t="str">
        <x:v>Yes</x:v>
      </x:c>
      <x:c r="F25" s="28" t="str">
        <x:v>Yes</x:v>
      </x:c>
      <x:c r="G25" s="24" t="str">
        <x:v>Adducts third toe toward second; assists MTP flexion/IP extension</x:v>
      </x:c>
      <x:c r="H25" s="24" t="str">
        <x:v>Medial side metatarsal 3</x:v>
      </x:c>
      <x:c r="I25" s="24" t="str">
        <x:v>Medial proximal phalanx and extensor hood toe 3</x:v>
      </x:c>
      <x:c r="J25" s="24" t="str">
        <x:v>Deep branch lateral plantar nerve</x:v>
      </x:c>
      <x:c r="K25" s="24" t="str">
        <x:v>S2-S3</x:v>
      </x:c>
      <x:c r="L25" s="24" t="str">
        <x:v>Interosseous tendon to extensor hood</x:v>
      </x:c>
      <x:c r="M25" s="24" t="str">
        <x:v>Deep transverse metatarsal ligament nearby</x:v>
      </x:c>
      <x:c r="N25" s="30" t="str">
        <x:v>Not established</x:v>
      </x:c>
      <x:c r="O25" s="30" t="str">
        <x:v>Not established</x:v>
      </x:c>
      <x:c r="P25" s="30" t="str">
        <x:v>Mixed Type I and Type II; ratio unverified</x:v>
      </x:c>
      <x:c r="Q25" s="24" t="str">
        <x:v>Published biopsies insufficient to state a reliable per-muscle percentage; no inference from function</x:v>
      </x:c>
      <x:c r="R25" s="32" t="str">
        <x:v>https://www.kenhub.com/en/library/anatomy/ankle-and-foot-anatomy</x:v>
      </x:c>
      <x:c r="S25" s="32" t="str">
        <x:v>https://pubmed.ncbi.nlm.nih.gov/39359186/</x:v>
      </x:c>
    </x:row>
    <x:row r="26" ht="53" customHeight="1">
      <x:c r="A26" s="24" t="str">
        <x:v>Plantar interosseous 2 (fourth toe)</x:v>
      </x:c>
      <x:c r="B26" s="24" t="str">
        <x:v>Plantar layer 4</x:v>
      </x:c>
      <x:c r="C26" s="24" t="str">
        <x:v>Flexor; Extensor; Stabilizer</x:v>
      </x:c>
      <x:c r="D26" s="28" t="str">
        <x:v>Yes</x:v>
      </x:c>
      <x:c r="E26" s="28" t="str">
        <x:v>Yes</x:v>
      </x:c>
      <x:c r="F26" s="28" t="str">
        <x:v>Yes</x:v>
      </x:c>
      <x:c r="G26" s="24" t="str">
        <x:v>Adducts fourth toe; assists MTP flexion/IP extension</x:v>
      </x:c>
      <x:c r="H26" s="24" t="str">
        <x:v>Medial side metatarsal 4</x:v>
      </x:c>
      <x:c r="I26" s="24" t="str">
        <x:v>Medial proximal phalanx/extensor hood toe 4</x:v>
      </x:c>
      <x:c r="J26" s="24" t="str">
        <x:v>Deep branch lateral plantar nerve</x:v>
      </x:c>
      <x:c r="K26" s="24" t="str">
        <x:v>S2-S3</x:v>
      </x:c>
      <x:c r="L26" s="24" t="str">
        <x:v>Interosseous tendon to extensor hood</x:v>
      </x:c>
      <x:c r="M26" s="24" t="str">
        <x:v>Deep transverse metatarsal ligament nearby</x:v>
      </x:c>
      <x:c r="N26" s="30" t="str">
        <x:v>Not established</x:v>
      </x:c>
      <x:c r="O26" s="30" t="str">
        <x:v>Not established</x:v>
      </x:c>
      <x:c r="P26" s="30" t="str">
        <x:v>Mixed Type I and Type II; ratio unverified</x:v>
      </x:c>
      <x:c r="Q26" s="24" t="str">
        <x:v>Published biopsies insufficient to state a reliable per-muscle percentage; no inference from function</x:v>
      </x:c>
      <x:c r="R26" s="32" t="str">
        <x:v>https://www.kenhub.com/en/library/anatomy/ankle-and-foot-anatomy</x:v>
      </x:c>
      <x:c r="S26" s="32" t="str">
        <x:v>https://pubmed.ncbi.nlm.nih.gov/39359186/</x:v>
      </x:c>
    </x:row>
    <x:row r="27" ht="53" customHeight="1">
      <x:c r="A27" s="24" t="str">
        <x:v>Plantar interosseous 3 (fifth toe)</x:v>
      </x:c>
      <x:c r="B27" s="24" t="str">
        <x:v>Plantar layer 4</x:v>
      </x:c>
      <x:c r="C27" s="24" t="str">
        <x:v>Flexor; Extensor; Stabilizer</x:v>
      </x:c>
      <x:c r="D27" s="28" t="str">
        <x:v>Yes</x:v>
      </x:c>
      <x:c r="E27" s="28" t="str">
        <x:v>Yes</x:v>
      </x:c>
      <x:c r="F27" s="28" t="str">
        <x:v>Yes</x:v>
      </x:c>
      <x:c r="G27" s="24" t="str">
        <x:v>Adducts fifth toe; assists MTP flexion/IP extension</x:v>
      </x:c>
      <x:c r="H27" s="24" t="str">
        <x:v>Medial side metatarsal 5</x:v>
      </x:c>
      <x:c r="I27" s="24" t="str">
        <x:v>Medial proximal phalanx/extensor hood toe 5</x:v>
      </x:c>
      <x:c r="J27" s="24" t="str">
        <x:v>Deep branch lateral plantar nerve</x:v>
      </x:c>
      <x:c r="K27" s="24" t="str">
        <x:v>S2-S3</x:v>
      </x:c>
      <x:c r="L27" s="24" t="str">
        <x:v>Interosseous tendon to extensor hood</x:v>
      </x:c>
      <x:c r="M27" s="24" t="str">
        <x:v>Deep transverse metatarsal ligament nearby</x:v>
      </x:c>
      <x:c r="N27" s="30" t="str">
        <x:v>Not established</x:v>
      </x:c>
      <x:c r="O27" s="30" t="str">
        <x:v>Not established</x:v>
      </x:c>
      <x:c r="P27" s="30" t="str">
        <x:v>Mixed Type I and Type II; ratio unverified</x:v>
      </x:c>
      <x:c r="Q27" s="24" t="str">
        <x:v>Published biopsies insufficient to state a reliable per-muscle percentage; no inference from function</x:v>
      </x:c>
      <x:c r="R27" s="32" t="str">
        <x:v>https://www.kenhub.com/en/library/anatomy/ankle-and-foot-anatomy</x:v>
      </x:c>
      <x:c r="S27" s="32" t="str">
        <x:v>https://pubmed.ncbi.nlm.nih.gov/39359186/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231ee3a7b6ea4a21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ABDOMEN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10 detailed entries | attachments and motor innervation | nearby versus direct ligament relationships explicitly indicated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Rectus abdominis</x:v>
      </x:c>
      <x:c r="B4" s="24" t="str">
        <x:v>Anterior abdominal wall</x:v>
      </x:c>
      <x:c r="C4" s="24" t="str">
        <x:v>Flexor; Stabilizer</x:v>
      </x:c>
      <x:c r="D4" s="28" t="str">
        <x:v>Yes</x:v>
      </x:c>
      <x:c r="E4" s="28" t="str">
        <x:v>No</x:v>
      </x:c>
      <x:c r="F4" s="28" t="str">
        <x:v>Yes</x:v>
      </x:c>
      <x:c r="G4" s="24" t="str">
        <x:v>Flexes trunk; compresses abdominal viscera; posterior pelvic tilt</x:v>
      </x:c>
      <x:c r="H4" s="24" t="str">
        <x:v>Pubic crest and pubic symphysis</x:v>
      </x:c>
      <x:c r="I4" s="24" t="str">
        <x:v>Xiphoid process and costal cartilages ribs 5-7</x:v>
      </x:c>
      <x:c r="J4" s="24" t="str">
        <x:v>Thoracoabdominal nerves</x:v>
      </x:c>
      <x:c r="K4" s="24" t="str">
        <x:v>T6-T12</x:v>
      </x:c>
      <x:c r="L4" s="24" t="str">
        <x:v>Tendinous intersections and rectus sheath insertion</x:v>
      </x:c>
      <x:c r="M4" s="24" t="str">
        <x:v>Linea alba and rectus sheath are aponeurotic, not ligament</x:v>
      </x:c>
      <x:c r="N4" s="30" t="str">
        <x:v>Not established</x:v>
      </x:c>
      <x:c r="O4" s="30" t="str">
        <x:v>Not established</x:v>
      </x:c>
      <x:c r="P4" s="30" t="str">
        <x:v>Mixed Type I and Type II; ratio unverified</x:v>
      </x:c>
      <x:c r="Q4" s="24" t="str">
        <x:v>Published biopsies insufficient to state a reliable per-muscle percentage; no inference from function</x:v>
      </x:c>
      <x:c r="R4" s="32" t="str">
        <x:v>https://www.kenhub.com/en/library/anatomy/anterior-abdominal-wall</x:v>
      </x:c>
      <x:c r="S4" s="32" t="str">
        <x:v>https://pubmed.ncbi.nlm.nih.gov/39359186/</x:v>
      </x:c>
    </x:row>
    <x:row r="5" ht="53" customHeight="1">
      <x:c r="A5" s="24" t="str">
        <x:v>Pyramidalis</x:v>
      </x:c>
      <x:c r="B5" s="24" t="str">
        <x:v>Anterior abdominal wall (variable)</x:v>
      </x:c>
      <x:c r="C5" s="24" t="str">
        <x:v>Stabilizer</x:v>
      </x:c>
      <x:c r="D5" s="28" t="str">
        <x:v>No</x:v>
      </x:c>
      <x:c r="E5" s="28" t="str">
        <x:v>No</x:v>
      </x:c>
      <x:c r="F5" s="28" t="str">
        <x:v>Yes</x:v>
      </x:c>
      <x:c r="G5" s="24" t="str">
        <x:v>Tenses linea alba</x:v>
      </x:c>
      <x:c r="H5" s="24" t="str">
        <x:v>Anterior pubis and pubic symphysis</x:v>
      </x:c>
      <x:c r="I5" s="24" t="str">
        <x:v>Inferior linea alba</x:v>
      </x:c>
      <x:c r="J5" s="24" t="str">
        <x:v>Subcostal nerve</x:v>
      </x:c>
      <x:c r="K5" s="24" t="str">
        <x:v>T12</x:v>
      </x:c>
      <x:c r="L5" s="24" t="str">
        <x:v>Small aponeurotic insertion to linea alba</x:v>
      </x:c>
      <x:c r="M5" s="24" t="str">
        <x:v>No specific direct ligament attachment</x:v>
      </x:c>
      <x:c r="N5" s="30" t="str">
        <x:v>Not established</x:v>
      </x:c>
      <x:c r="O5" s="30" t="str">
        <x:v>Not established</x:v>
      </x:c>
      <x:c r="P5" s="30" t="str">
        <x:v>Mixed Type I and Type II; ratio unverified</x:v>
      </x:c>
      <x:c r="Q5" s="24" t="str">
        <x:v>Published biopsies insufficient to state a reliable per-muscle percentage; no inference from function</x:v>
      </x:c>
      <x:c r="R5" s="32" t="str">
        <x:v>https://www.kenhub.com/en/library/anatomy/anterior-abdominal-wall</x:v>
      </x:c>
      <x:c r="S5" s="32" t="str">
        <x:v>https://pubmed.ncbi.nlm.nih.gov/39359186/</x:v>
      </x:c>
    </x:row>
    <x:row r="6" ht="53" customHeight="1">
      <x:c r="A6" s="24" t="str">
        <x:v>Transversus abdominis</x:v>
      </x:c>
      <x:c r="B6" s="24" t="str">
        <x:v>Deep abdominal wall</x:v>
      </x:c>
      <x:c r="C6" s="24" t="str">
        <x:v>Stabilizer</x:v>
      </x:c>
      <x:c r="D6" s="28" t="str">
        <x:v>No</x:v>
      </x:c>
      <x:c r="E6" s="28" t="str">
        <x:v>No</x:v>
      </x:c>
      <x:c r="F6" s="28" t="str">
        <x:v>Yes</x:v>
      </x:c>
      <x:c r="G6" s="24" t="str">
        <x:v>Abdominal compression; anticipatory lumbar stabilization</x:v>
      </x:c>
      <x:c r="H6" s="24" t="str">
        <x:v>Internal lower six costal cartilages; thoracolumbar fascia; iliac crest; lateral inguinal ligament</x:v>
      </x:c>
      <x:c r="I6" s="24" t="str">
        <x:v>Linea alba; pubic crest/pecten via conjoint tendon</x:v>
      </x:c>
      <x:c r="J6" s="24" t="str">
        <x:v>Thoracoabdominal/subcostal and L1 branches</x:v>
      </x:c>
      <x:c r="K6" s="24" t="str">
        <x:v>T6-L1</x:v>
      </x:c>
      <x:c r="L6" s="24" t="str">
        <x:v>Transversus aponeurosis; conjoint tendon</x:v>
      </x:c>
      <x:c r="M6" s="24" t="str">
        <x:v>Inguinal ligament direct origin of lower fibers</x:v>
      </x:c>
      <x:c r="N6" s="30" t="str">
        <x:v>Not established</x:v>
      </x:c>
      <x:c r="O6" s="30" t="str">
        <x:v>Not established</x:v>
      </x:c>
      <x:c r="P6" s="30" t="str">
        <x:v>Mixed Type I and Type II; ratio unverified</x:v>
      </x:c>
      <x:c r="Q6" s="24" t="str">
        <x:v>Published biopsies insufficient to state a reliable per-muscle percentage; no inference from function</x:v>
      </x:c>
      <x:c r="R6" s="32" t="str">
        <x:v>https://www.kenhub.com/en/library/anatomy/anterior-abdominal-wall</x:v>
      </x:c>
      <x:c r="S6" s="32" t="str">
        <x:v>https://pubmed.ncbi.nlm.nih.gov/39359186/</x:v>
      </x:c>
    </x:row>
    <x:row r="7" ht="53" customHeight="1">
      <x:c r="A7" s="24" t="str">
        <x:v>Cremaster</x:v>
      </x:c>
      <x:c r="B7" s="24" t="str">
        <x:v>Inguinal canal / male anatomy</x:v>
      </x:c>
      <x:c r="C7" s="24" t="str">
        <x:v>Stabilizer</x:v>
      </x:c>
      <x:c r="D7" s="28" t="str">
        <x:v>No</x:v>
      </x:c>
      <x:c r="E7" s="28" t="str">
        <x:v>No</x:v>
      </x:c>
      <x:c r="F7" s="28" t="str">
        <x:v>Yes</x:v>
      </x:c>
      <x:c r="G7" s="24" t="str">
        <x:v>Elevates testis</x:v>
      </x:c>
      <x:c r="H7" s="24" t="str">
        <x:v>Internal oblique fibers and inguinal ligament region</x:v>
      </x:c>
      <x:c r="I7" s="24" t="str">
        <x:v>Spermatic cord and testis coverings</x:v>
      </x:c>
      <x:c r="J7" s="24" t="str">
        <x:v>Genital branch genitofemoral nerve</x:v>
      </x:c>
      <x:c r="K7" s="24" t="str">
        <x:v>L1-L2</x:v>
      </x:c>
      <x:c r="L7" s="24" t="str">
        <x:v>Cremasteric fascial fibers</x:v>
      </x:c>
      <x:c r="M7" s="24" t="str">
        <x:v>Inguinal ligament region near origin</x:v>
      </x:c>
      <x:c r="N7" s="30" t="str">
        <x:v>Not established</x:v>
      </x:c>
      <x:c r="O7" s="30" t="str">
        <x:v>Not established</x:v>
      </x:c>
      <x:c r="P7" s="30" t="str">
        <x:v>Mixed Type I and Type II; ratio unverified</x:v>
      </x:c>
      <x:c r="Q7" s="24" t="str">
        <x:v>Published biopsies insufficient to state a reliable per-muscle percentage; no inference from function</x:v>
      </x:c>
      <x:c r="R7" s="32" t="str">
        <x:v>https://www.kenhub.com/en/library/anatomy/anterior-abdominal-wall</x:v>
      </x:c>
      <x:c r="S7" s="32" t="str">
        <x:v>https://pubmed.ncbi.nlm.nih.gov/39359186/</x:v>
      </x:c>
    </x:row>
    <x:row r="8" ht="53" customHeight="1">
      <x:c r="A8" s="24" t="str">
        <x:v>External oblique</x:v>
      </x:c>
      <x:c r="B8" s="24" t="str">
        <x:v>Lateral abdominal wall</x:v>
      </x:c>
      <x:c r="C8" s="24" t="str">
        <x:v>Flexor; Stabilizer</x:v>
      </x:c>
      <x:c r="D8" s="28" t="str">
        <x:v>Yes</x:v>
      </x:c>
      <x:c r="E8" s="28" t="str">
        <x:v>No</x:v>
      </x:c>
      <x:c r="F8" s="28" t="str">
        <x:v>Yes</x:v>
      </x:c>
      <x:c r="G8" s="24" t="str">
        <x:v>Contralateral trunk rotation; trunk flexion; abdominal compression</x:v>
      </x:c>
      <x:c r="H8" s="24" t="str">
        <x:v>External surfaces ribs 5-12</x:v>
      </x:c>
      <x:c r="I8" s="24" t="str">
        <x:v>Linea alba; pubic tubercle; anterior iliac crest</x:v>
      </x:c>
      <x:c r="J8" s="24" t="str">
        <x:v>Thoracoabdominal and subcostal nerves</x:v>
      </x:c>
      <x:c r="K8" s="24" t="str">
        <x:v>T7-T12</x:v>
      </x:c>
      <x:c r="L8" s="24" t="str">
        <x:v>Broad external oblique aponeurosis</x:v>
      </x:c>
      <x:c r="M8" s="24" t="str">
        <x:v>Inferior rolled aponeurosis forms inguinal ligament</x:v>
      </x:c>
      <x:c r="N8" s="30" t="str">
        <x:v>Not established</x:v>
      </x:c>
      <x:c r="O8" s="30" t="str">
        <x:v>Not established</x:v>
      </x:c>
      <x:c r="P8" s="30" t="str">
        <x:v>Mixed Type I and Type II; ratio unverified</x:v>
      </x:c>
      <x:c r="Q8" s="24" t="str">
        <x:v>Published biopsies insufficient to state a reliable per-muscle percentage; no inference from function</x:v>
      </x:c>
      <x:c r="R8" s="32" t="str">
        <x:v>https://www.kenhub.com/en/library/anatomy/anterior-abdominal-wall</x:v>
      </x:c>
      <x:c r="S8" s="32" t="str">
        <x:v>https://pubmed.ncbi.nlm.nih.gov/39359186/</x:v>
      </x:c>
    </x:row>
    <x:row r="9" ht="53" customHeight="1">
      <x:c r="A9" s="24" t="str">
        <x:v>Internal oblique</x:v>
      </x:c>
      <x:c r="B9" s="24" t="str">
        <x:v>Lateral abdominal wall</x:v>
      </x:c>
      <x:c r="C9" s="24" t="str">
        <x:v>Flexor; Stabilizer</x:v>
      </x:c>
      <x:c r="D9" s="28" t="str">
        <x:v>Yes</x:v>
      </x:c>
      <x:c r="E9" s="28" t="str">
        <x:v>No</x:v>
      </x:c>
      <x:c r="F9" s="28" t="str">
        <x:v>Yes</x:v>
      </x:c>
      <x:c r="G9" s="24" t="str">
        <x:v>Ipsilateral trunk rotation; flexion; abdominal compression</x:v>
      </x:c>
      <x:c r="H9" s="24" t="str">
        <x:v>Thoracolumbar fascia; anterior iliac crest; lateral inguinal ligament</x:v>
      </x:c>
      <x:c r="I9" s="24" t="str">
        <x:v>Inferior ribs 10-12; linea alba; pubis via conjoint tendon</x:v>
      </x:c>
      <x:c r="J9" s="24" t="str">
        <x:v>Thoracoabdominal, subcostal; iliohypogastric and ilioinguinal nerves</x:v>
      </x:c>
      <x:c r="K9" s="24" t="str">
        <x:v>T6-L1</x:v>
      </x:c>
      <x:c r="L9" s="24" t="str">
        <x:v>Internal oblique aponeurosis; conjoint tendon</x:v>
      </x:c>
      <x:c r="M9" s="24" t="str">
        <x:v>Inguinal ligament direct origin; conjoint tendon complex</x:v>
      </x:c>
      <x:c r="N9" s="30" t="str">
        <x:v>Not established</x:v>
      </x:c>
      <x:c r="O9" s="30" t="str">
        <x:v>Not established</x:v>
      </x:c>
      <x:c r="P9" s="30" t="str">
        <x:v>Mixed Type I and Type II; ratio unverified</x:v>
      </x:c>
      <x:c r="Q9" s="24" t="str">
        <x:v>Published biopsies insufficient to state a reliable per-muscle percentage; no inference from function</x:v>
      </x:c>
      <x:c r="R9" s="32" t="str">
        <x:v>https://www.kenhub.com/en/library/anatomy/anterior-abdominal-wall</x:v>
      </x:c>
      <x:c r="S9" s="32" t="str">
        <x:v>https://pubmed.ncbi.nlm.nih.gov/39359186/</x:v>
      </x:c>
    </x:row>
    <x:row r="10" ht="53" customHeight="1">
      <x:c r="A10" s="24" t="str">
        <x:v>Quadratus lumborum</x:v>
      </x:c>
      <x:c r="B10" s="24" t="str">
        <x:v>Posterior abdominal wall</x:v>
      </x:c>
      <x:c r="C10" s="24" t="str">
        <x:v>Stabilizer</x:v>
      </x:c>
      <x:c r="D10" s="28" t="str">
        <x:v>No</x:v>
      </x:c>
      <x:c r="E10" s="28" t="str">
        <x:v>No</x:v>
      </x:c>
      <x:c r="F10" s="28" t="str">
        <x:v>Yes</x:v>
      </x:c>
      <x:c r="G10" s="24" t="str">
        <x:v>Ipsilateral trunk side-bending; fixes rib 12; lumbar stability</x:v>
      </x:c>
      <x:c r="H10" s="24" t="str">
        <x:v>Iliac crest and iliolumbar ligament</x:v>
      </x:c>
      <x:c r="I10" s="24" t="str">
        <x:v>Rib 12 and transverse processes L1-L4</x:v>
      </x:c>
      <x:c r="J10" s="24" t="str">
        <x:v>Anterior rami T12-L4</x:v>
      </x:c>
      <x:c r="K10" s="24" t="str">
        <x:v>T12-L4</x:v>
      </x:c>
      <x:c r="L10" s="24" t="str">
        <x:v>Short aponeuroses to lumbar transverse processes</x:v>
      </x:c>
      <x:c r="M10" s="24" t="str">
        <x:v>Iliolumbar ligament direct origin</x:v>
      </x:c>
      <x:c r="N10" s="30" t="str">
        <x:v>Not established</x:v>
      </x:c>
      <x:c r="O10" s="30" t="str">
        <x:v>Not established</x:v>
      </x:c>
      <x:c r="P10" s="30" t="str">
        <x:v>Mixed Type I and Type II; ratio unverified</x:v>
      </x:c>
      <x:c r="Q10" s="24" t="str">
        <x:v>Published biopsies insufficient to state a reliable per-muscle percentage; no inference from function</x:v>
      </x:c>
      <x:c r="R10" s="32" t="str">
        <x:v>https://www.kenhub.com/en/library/anatomy/anterior-abdominal-wall</x:v>
      </x:c>
      <x:c r="S10" s="32" t="str">
        <x:v>https://pubmed.ncbi.nlm.nih.gov/39359186/</x:v>
      </x:c>
    </x:row>
    <x:row r="11" ht="53" customHeight="1">
      <x:c r="A11" s="24" t="str">
        <x:v>Diaphragm costal part</x:v>
      </x:c>
      <x:c r="B11" s="24" t="str">
        <x:v>Thoracoabdominal divider</x:v>
      </x:c>
      <x:c r="C11" s="24" t="str">
        <x:v>Stabilizer</x:v>
      </x:c>
      <x:c r="D11" s="28" t="str">
        <x:v>No</x:v>
      </x:c>
      <x:c r="E11" s="28" t="str">
        <x:v>No</x:v>
      </x:c>
      <x:c r="F11" s="28" t="str">
        <x:v>Yes</x:v>
      </x:c>
      <x:c r="G11" s="24" t="str">
        <x:v>Primary inspiration; intra-abdominal pressure</x:v>
      </x:c>
      <x:c r="H11" s="24" t="str">
        <x:v>Internal lower ribs and costal cartilages 7-12</x:v>
      </x:c>
      <x:c r="I11" s="24" t="str">
        <x:v>Central tendon of diaphragm</x:v>
      </x:c>
      <x:c r="J11" s="24" t="str">
        <x:v>Phrenic nerve</x:v>
      </x:c>
      <x:c r="K11" s="24" t="str">
        <x:v>C3-C5</x:v>
      </x:c>
      <x:c r="L11" s="24" t="str">
        <x:v>Central tendon</x:v>
      </x:c>
      <x:c r="M11" s="24" t="str">
        <x:v>Arcuate ligaments are tendinous arches related to lumbar part</x:v>
      </x:c>
      <x:c r="N11" s="30" t="str">
        <x:v>Not established</x:v>
      </x:c>
      <x:c r="O11" s="30" t="str">
        <x:v>Not established</x:v>
      </x:c>
      <x:c r="P11" s="30" t="str">
        <x:v>Mixed Type I and Type II; ratio unverified</x:v>
      </x:c>
      <x:c r="Q11" s="24" t="str">
        <x:v>Published biopsies insufficient to state a reliable per-muscle percentage; no inference from function</x:v>
      </x:c>
      <x:c r="R11" s="32" t="str">
        <x:v>https://www.kenhub.com/en/library/anatomy/anterior-abdominal-wall</x:v>
      </x:c>
      <x:c r="S11" s="32" t="str">
        <x:v>https://pubmed.ncbi.nlm.nih.gov/39359186/</x:v>
      </x:c>
    </x:row>
    <x:row r="12" ht="53" customHeight="1">
      <x:c r="A12" s="24" t="str">
        <x:v>Diaphragm lumbar part / crura</x:v>
      </x:c>
      <x:c r="B12" s="24" t="str">
        <x:v>Thoracoabdominal divider</x:v>
      </x:c>
      <x:c r="C12" s="24" t="str">
        <x:v>Stabilizer</x:v>
      </x:c>
      <x:c r="D12" s="28" t="str">
        <x:v>No</x:v>
      </x:c>
      <x:c r="E12" s="28" t="str">
        <x:v>No</x:v>
      </x:c>
      <x:c r="F12" s="28" t="str">
        <x:v>Yes</x:v>
      </x:c>
      <x:c r="G12" s="24" t="str">
        <x:v>Inspiration; stabilizes pressure and lumbar column</x:v>
      </x:c>
      <x:c r="H12" s="24" t="str">
        <x:v>Right crus L1-L3; left crus L1-L2; arcuate ligament complexes</x:v>
      </x:c>
      <x:c r="I12" s="24" t="str">
        <x:v>Central tendon of diaphragm</x:v>
      </x:c>
      <x:c r="J12" s="24" t="str">
        <x:v>Phrenic nerve</x:v>
      </x:c>
      <x:c r="K12" s="24" t="str">
        <x:v>C3-C5</x:v>
      </x:c>
      <x:c r="L12" s="24" t="str">
        <x:v>Central tendon; crural tendons</x:v>
      </x:c>
      <x:c r="M12" s="24" t="str">
        <x:v>Medial/lateral arcuate ligaments are tendinous arches of diaphragmatic origin</x:v>
      </x:c>
      <x:c r="N12" s="30" t="str">
        <x:v>Not established</x:v>
      </x:c>
      <x:c r="O12" s="30" t="str">
        <x:v>Not established</x:v>
      </x:c>
      <x:c r="P12" s="30" t="str">
        <x:v>Mixed Type I and Type II; ratio unverified</x:v>
      </x:c>
      <x:c r="Q12" s="24" t="str">
        <x:v>Published biopsies insufficient to state a reliable per-muscle percentage; no inference from function</x:v>
      </x:c>
      <x:c r="R12" s="32" t="str">
        <x:v>https://www.kenhub.com/en/library/anatomy/anterior-abdominal-wall</x:v>
      </x:c>
      <x:c r="S12" s="32" t="str">
        <x:v>https://pubmed.ncbi.nlm.nih.gov/39359186/</x:v>
      </x:c>
    </x:row>
    <x:row r="13" ht="53" customHeight="1">
      <x:c r="A13" s="24" t="str">
        <x:v>Diaphragm sternal part</x:v>
      </x:c>
      <x:c r="B13" s="24" t="str">
        <x:v>Thoracoabdominal divider</x:v>
      </x:c>
      <x:c r="C13" s="24" t="str">
        <x:v>Stabilizer</x:v>
      </x:c>
      <x:c r="D13" s="28" t="str">
        <x:v>No</x:v>
      </x:c>
      <x:c r="E13" s="28" t="str">
        <x:v>No</x:v>
      </x:c>
      <x:c r="F13" s="28" t="str">
        <x:v>Yes</x:v>
      </x:c>
      <x:c r="G13" s="24" t="str">
        <x:v>Primary inspiration</x:v>
      </x:c>
      <x:c r="H13" s="24" t="str">
        <x:v>Posterior xiphoid process</x:v>
      </x:c>
      <x:c r="I13" s="24" t="str">
        <x:v>Central tendon of diaphragm</x:v>
      </x:c>
      <x:c r="J13" s="24" t="str">
        <x:v>Phrenic nerve</x:v>
      </x:c>
      <x:c r="K13" s="24" t="str">
        <x:v>C3-C5</x:v>
      </x:c>
      <x:c r="L13" s="24" t="str">
        <x:v>Central tendon</x:v>
      </x:c>
      <x:c r="M13" s="24" t="str">
        <x:v>No direct skeletal ligament attachment</x:v>
      </x:c>
      <x:c r="N13" s="30" t="str">
        <x:v>Not established</x:v>
      </x:c>
      <x:c r="O13" s="30" t="str">
        <x:v>Not established</x:v>
      </x:c>
      <x:c r="P13" s="30" t="str">
        <x:v>Mixed Type I and Type II; ratio unverified</x:v>
      </x:c>
      <x:c r="Q13" s="24" t="str">
        <x:v>Published biopsies insufficient to state a reliable per-muscle percentage; no inference from function</x:v>
      </x:c>
      <x:c r="R13" s="32" t="str">
        <x:v>https://www.kenhub.com/en/library/anatomy/anterior-abdominal-wall</x:v>
      </x:c>
      <x:c r="S13" s="32" t="str">
        <x:v>https://pubmed.ncbi.nlm.nih.gov/39359186/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5d1ec11a2332402d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BACK &amp; NECK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69 detailed entries | attachments and motor innervation | nearby versus direct ligament relationships explicitly indicated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Longus capitis</x:v>
      </x:c>
      <x:c r="B4" s="24" t="str">
        <x:v>Deep anterior neck</x:v>
      </x:c>
      <x:c r="C4" s="24" t="str">
        <x:v>Flexor; Stabilizer</x:v>
      </x:c>
      <x:c r="D4" s="28" t="str">
        <x:v>Yes</x:v>
      </x:c>
      <x:c r="E4" s="28" t="str">
        <x:v>No</x:v>
      </x:c>
      <x:c r="F4" s="28" t="str">
        <x:v>Yes</x:v>
      </x:c>
      <x:c r="G4" s="24" t="str">
        <x:v>Flexes head at atlanto-occipital joint</x:v>
      </x:c>
      <x:c r="H4" s="24" t="str">
        <x:v>Anterior tubercles transverse processes C3-C6</x:v>
      </x:c>
      <x:c r="I4" s="24" t="str">
        <x:v>Basilar part of occipital bone</x:v>
      </x:c>
      <x:c r="J4" s="24" t="str">
        <x:v>Anterior rami cervical spinal nerves</x:v>
      </x:c>
      <x:c r="K4" s="24" t="str">
        <x:v>C1-C3 (sometimes C4)</x:v>
      </x:c>
      <x:c r="L4" s="24" t="str">
        <x:v>Basilar occipital insertion tendon</x:v>
      </x:c>
      <x:c r="M4" s="24" t="str">
        <x:v>Anterior atlanto-occipital membrane nearby</x:v>
      </x:c>
      <x:c r="N4" s="30" t="str">
        <x:v>Not established</x:v>
      </x:c>
      <x:c r="O4" s="30" t="str">
        <x:v>Not established</x:v>
      </x:c>
      <x:c r="P4" s="30" t="str">
        <x:v>Mixed Type I and Type II; ratio unverified</x:v>
      </x:c>
      <x:c r="Q4" s="24" t="str">
        <x:v>Published biopsies insufficient to state a reliable per-muscle percentage; no inference from function</x:v>
      </x:c>
      <x:c r="R4" s="32" t="str">
        <x:v>https://www.kenhub.com/en/library/anatomy/anatomy-of-the-back-spine-and-back-muscles</x:v>
      </x:c>
      <x:c r="S4" s="32" t="str">
        <x:v>https://pubmed.ncbi.nlm.nih.gov/39359186/</x:v>
      </x:c>
    </x:row>
    <x:row r="5" ht="53" customHeight="1">
      <x:c r="A5" s="24" t="str">
        <x:v>Longus colli inferior oblique part</x:v>
      </x:c>
      <x:c r="B5" s="24" t="str">
        <x:v>Deep anterior neck</x:v>
      </x:c>
      <x:c r="C5" s="24" t="str">
        <x:v>Flexor; Stabilizer</x:v>
      </x:c>
      <x:c r="D5" s="28" t="str">
        <x:v>Yes</x:v>
      </x:c>
      <x:c r="E5" s="28" t="str">
        <x:v>No</x:v>
      </x:c>
      <x:c r="F5" s="28" t="str">
        <x:v>Yes</x:v>
      </x:c>
      <x:c r="G5" s="24" t="str">
        <x:v>Cervical flexion and stabilization</x:v>
      </x:c>
      <x:c r="H5" s="24" t="str">
        <x:v>Anterior bodies T1-T3</x:v>
      </x:c>
      <x:c r="I5" s="24" t="str">
        <x:v>Anterior tubercles transverse processes C5-C6</x:v>
      </x:c>
      <x:c r="J5" s="24" t="str">
        <x:v>Anterior rami cervical spinal nerves</x:v>
      </x:c>
      <x:c r="K5" s="24" t="str">
        <x:v>C2-C6</x:v>
      </x:c>
      <x:c r="L5" s="24" t="str">
        <x:v>Segmental tendon slips</x:v>
      </x:c>
      <x:c r="M5" s="24" t="str">
        <x:v>Anterior longitudinal ligament adjacent</x:v>
      </x:c>
      <x:c r="N5" s="30" t="str">
        <x:v>Not established</x:v>
      </x:c>
      <x:c r="O5" s="30" t="str">
        <x:v>Not established</x:v>
      </x:c>
      <x:c r="P5" s="30" t="str">
        <x:v>Mixed Type I and Type II; ratio unverified</x:v>
      </x:c>
      <x:c r="Q5" s="24" t="str">
        <x:v>Published biopsies insufficient to state a reliable per-muscle percentage; no inference from function</x:v>
      </x:c>
      <x:c r="R5" s="32" t="str">
        <x:v>https://www.kenhub.com/en/library/anatomy/anatomy-of-the-back-spine-and-back-muscles</x:v>
      </x:c>
      <x:c r="S5" s="32" t="str">
        <x:v>https://pubmed.ncbi.nlm.nih.gov/39359186/</x:v>
      </x:c>
    </x:row>
    <x:row r="6" ht="53" customHeight="1">
      <x:c r="A6" s="24" t="str">
        <x:v>Longus colli superior oblique part</x:v>
      </x:c>
      <x:c r="B6" s="24" t="str">
        <x:v>Deep anterior neck</x:v>
      </x:c>
      <x:c r="C6" s="24" t="str">
        <x:v>Flexor; Stabilizer</x:v>
      </x:c>
      <x:c r="D6" s="28" t="str">
        <x:v>Yes</x:v>
      </x:c>
      <x:c r="E6" s="28" t="str">
        <x:v>No</x:v>
      </x:c>
      <x:c r="F6" s="28" t="str">
        <x:v>Yes</x:v>
      </x:c>
      <x:c r="G6" s="24" t="str">
        <x:v>Cervical flexion and contralateral rotation/stability</x:v>
      </x:c>
      <x:c r="H6" s="24" t="str">
        <x:v>Anterior tubercles transverse processes C3-C5</x:v>
      </x:c>
      <x:c r="I6" s="24" t="str">
        <x:v>Anterior tubercle atlas C1</x:v>
      </x:c>
      <x:c r="J6" s="24" t="str">
        <x:v>Anterior rami cervical spinal nerves</x:v>
      </x:c>
      <x:c r="K6" s="24" t="str">
        <x:v>C2-C6</x:v>
      </x:c>
      <x:c r="L6" s="24" t="str">
        <x:v>Small segmental tendons</x:v>
      </x:c>
      <x:c r="M6" s="24" t="str">
        <x:v>Anterior longitudinal ligament of vertebral column lies deep</x:v>
      </x:c>
      <x:c r="N6" s="30" t="str">
        <x:v>Not established</x:v>
      </x:c>
      <x:c r="O6" s="30" t="str">
        <x:v>Not established</x:v>
      </x:c>
      <x:c r="P6" s="30" t="str">
        <x:v>Mixed Type I and Type II; ratio unverified</x:v>
      </x:c>
      <x:c r="Q6" s="24" t="str">
        <x:v>Published biopsies insufficient to state a reliable per-muscle percentage; no inference from function</x:v>
      </x:c>
      <x:c r="R6" s="32" t="str">
        <x:v>https://www.kenhub.com/en/library/anatomy/anatomy-of-the-back-spine-and-back-muscles</x:v>
      </x:c>
      <x:c r="S6" s="32" t="str">
        <x:v>https://pubmed.ncbi.nlm.nih.gov/39359186/</x:v>
      </x:c>
    </x:row>
    <x:row r="7" ht="53" customHeight="1">
      <x:c r="A7" s="24" t="str">
        <x:v>Longus colli vertical part</x:v>
      </x:c>
      <x:c r="B7" s="24" t="str">
        <x:v>Deep anterior neck</x:v>
      </x:c>
      <x:c r="C7" s="24" t="str">
        <x:v>Flexor; Stabilizer</x:v>
      </x:c>
      <x:c r="D7" s="28" t="str">
        <x:v>Yes</x:v>
      </x:c>
      <x:c r="E7" s="28" t="str">
        <x:v>No</x:v>
      </x:c>
      <x:c r="F7" s="28" t="str">
        <x:v>Yes</x:v>
      </x:c>
      <x:c r="G7" s="24" t="str">
        <x:v>Flexes cervical spine; anterior segmental control</x:v>
      </x:c>
      <x:c r="H7" s="24" t="str">
        <x:v>Anterior vertebral bodies C5-T3</x:v>
      </x:c>
      <x:c r="I7" s="24" t="str">
        <x:v>Anterior vertebral bodies C2-C4</x:v>
      </x:c>
      <x:c r="J7" s="24" t="str">
        <x:v>Anterior rami cervical spinal nerves</x:v>
      </x:c>
      <x:c r="K7" s="24" t="str">
        <x:v>C2-C6</x:v>
      </x:c>
      <x:c r="L7" s="24" t="str">
        <x:v>Fleshy and tendinous vertebral insertions</x:v>
      </x:c>
      <x:c r="M7" s="24" t="str">
        <x:v>Anterior longitudinal ligament adjacent</x:v>
      </x:c>
      <x:c r="N7" s="30" t="str">
        <x:v>Not established</x:v>
      </x:c>
      <x:c r="O7" s="30" t="str">
        <x:v>Not established</x:v>
      </x:c>
      <x:c r="P7" s="30" t="str">
        <x:v>Mixed Type I and Type II; ratio unverified</x:v>
      </x:c>
      <x:c r="Q7" s="24" t="str">
        <x:v>Published biopsies insufficient to state a reliable per-muscle percentage; no inference from function</x:v>
      </x:c>
      <x:c r="R7" s="32" t="str">
        <x:v>https://www.kenhub.com/en/library/anatomy/anatomy-of-the-back-spine-and-back-muscles</x:v>
      </x:c>
      <x:c r="S7" s="32" t="str">
        <x:v>https://pubmed.ncbi.nlm.nih.gov/39359186/</x:v>
      </x:c>
    </x:row>
    <x:row r="8" ht="53" customHeight="1">
      <x:c r="A8" s="24" t="str">
        <x:v>Levatores costarum longi</x:v>
      </x:c>
      <x:c r="B8" s="24" t="str">
        <x:v>Deep posterior thorax</x:v>
      </x:c>
      <x:c r="C8" s="24" t="str">
        <x:v>Stabilizer</x:v>
      </x:c>
      <x:c r="D8" s="28" t="str">
        <x:v>No</x:v>
      </x:c>
      <x:c r="E8" s="28" t="str">
        <x:v>No</x:v>
      </x:c>
      <x:c r="F8" s="28" t="str">
        <x:v>Yes</x:v>
      </x:c>
      <x:c r="G8" s="24" t="str">
        <x:v>Elevates ribs; assists spinal side-bending</x:v>
      </x:c>
      <x:c r="H8" s="24" t="str">
        <x:v>Tips lower thoracic transverse processes</x:v>
      </x:c>
      <x:c r="I8" s="24" t="str">
        <x:v>Second rib below</x:v>
      </x:c>
      <x:c r="J8" s="24" t="str">
        <x:v>Posterior rami thoracic spinal nerves</x:v>
      </x:c>
      <x:c r="K8" s="24" t="str">
        <x:v>T1-T11 segmental</x:v>
      </x:c>
      <x:c r="L8" s="24" t="str">
        <x:v>Short costal tendon slips</x:v>
      </x:c>
      <x:c r="M8" s="24" t="str">
        <x:v>Costotransverse ligaments nearby</x:v>
      </x:c>
      <x:c r="N8" s="30" t="str">
        <x:v>Not established</x:v>
      </x:c>
      <x:c r="O8" s="30" t="str">
        <x:v>Not established</x:v>
      </x:c>
      <x:c r="P8" s="30" t="str">
        <x:v>Mixed Type I and Type II; ratio unverified</x:v>
      </x:c>
      <x:c r="Q8" s="24" t="str">
        <x:v>Published biopsies insufficient to state a reliable per-muscle percentage; no inference from function</x:v>
      </x:c>
      <x:c r="R8" s="32" t="str">
        <x:v>https://www.kenhub.com/en/library/anatomy/anatomy-of-the-back-spine-and-back-muscles</x:v>
      </x:c>
      <x:c r="S8" s="32" t="str">
        <x:v>https://pubmed.ncbi.nlm.nih.gov/39359186/</x:v>
      </x:c>
    </x:row>
    <x:row r="9" ht="53" customHeight="1">
      <x:c r="A9" s="24" t="str">
        <x:v>Levator costae brevis (C7 to rib 1)</x:v>
      </x:c>
      <x:c r="B9" s="24" t="str">
        <x:v>Deep posterior thorax segmental</x:v>
      </x:c>
      <x:c r="C9" s="24" t="str">
        <x:v>Stabilizer</x:v>
      </x:c>
      <x:c r="D9" s="28" t="str">
        <x:v>No</x:v>
      </x:c>
      <x:c r="E9" s="28" t="str">
        <x:v>No</x:v>
      </x:c>
      <x:c r="F9" s="28" t="str">
        <x:v>Yes</x:v>
      </x:c>
      <x:c r="G9" s="24" t="str">
        <x:v>Assists rib elevation and fine segmental posture</x:v>
      </x:c>
      <x:c r="H9" s="24" t="str">
        <x:v>Transverse process C7</x:v>
      </x:c>
      <x:c r="I9" s="24" t="str">
        <x:v>Upper border rib 1 near rib angle</x:v>
      </x:c>
      <x:c r="J9" s="24" t="str">
        <x:v>Posterior ramus C8</x:v>
      </x:c>
      <x:c r="K9" s="24" t="str">
        <x:v>C8 (segmental approximation)</x:v>
      </x:c>
      <x:c r="L9" s="24" t="str">
        <x:v>Minute rib insertion tendon</x:v>
      </x:c>
      <x:c r="M9" s="24" t="str">
        <x:v>Costotransverse ligament complex nearby</x:v>
      </x:c>
      <x:c r="N9" s="30" t="str">
        <x:v>Not established</x:v>
      </x:c>
      <x:c r="O9" s="30" t="str">
        <x:v>Not established</x:v>
      </x:c>
      <x:c r="P9" s="30" t="str">
        <x:v>Mixed Type I and Type II; ratio unverified</x:v>
      </x:c>
      <x:c r="Q9" s="24" t="str">
        <x:v>Published biopsies insufficient to state a reliable per-muscle percentage; no inference from function</x:v>
      </x:c>
      <x:c r="R9" s="32" t="str">
        <x:v>https://www.kenhub.com/en/library/anatomy/anatomy-of-the-back-spine-and-back-muscles</x:v>
      </x:c>
      <x:c r="S9" s="32" t="str">
        <x:v>https://pubmed.ncbi.nlm.nih.gov/39359186/</x:v>
      </x:c>
    </x:row>
    <x:row r="10" ht="53" customHeight="1">
      <x:c r="A10" s="24" t="str">
        <x:v>Levator costae brevis (T1 to rib 2)</x:v>
      </x:c>
      <x:c r="B10" s="24" t="str">
        <x:v>Deep posterior thorax segmental</x:v>
      </x:c>
      <x:c r="C10" s="24" t="str">
        <x:v>Stabilizer</x:v>
      </x:c>
      <x:c r="D10" s="28" t="str">
        <x:v>No</x:v>
      </x:c>
      <x:c r="E10" s="28" t="str">
        <x:v>No</x:v>
      </x:c>
      <x:c r="F10" s="28" t="str">
        <x:v>Yes</x:v>
      </x:c>
      <x:c r="G10" s="24" t="str">
        <x:v>Assists rib elevation and fine segmental posture</x:v>
      </x:c>
      <x:c r="H10" s="24" t="str">
        <x:v>Transverse process T1</x:v>
      </x:c>
      <x:c r="I10" s="24" t="str">
        <x:v>Upper border rib 2 near rib angle</x:v>
      </x:c>
      <x:c r="J10" s="24" t="str">
        <x:v>Posterior ramus T1</x:v>
      </x:c>
      <x:c r="K10" s="24" t="str">
        <x:v>T1 (segmental approximation)</x:v>
      </x:c>
      <x:c r="L10" s="24" t="str">
        <x:v>Minute rib insertion tendon</x:v>
      </x:c>
      <x:c r="M10" s="24" t="str">
        <x:v>Costotransverse ligament complex nearby</x:v>
      </x:c>
      <x:c r="N10" s="30" t="str">
        <x:v>Not established</x:v>
      </x:c>
      <x:c r="O10" s="30" t="str">
        <x:v>Not established</x:v>
      </x:c>
      <x:c r="P10" s="30" t="str">
        <x:v>Mixed Type I and Type II; ratio unverified</x:v>
      </x:c>
      <x:c r="Q10" s="24" t="str">
        <x:v>Published biopsies insufficient to state a reliable per-muscle percentage; no inference from function</x:v>
      </x:c>
      <x:c r="R10" s="32" t="str">
        <x:v>https://www.kenhub.com/en/library/anatomy/anatomy-of-the-back-spine-and-back-muscles</x:v>
      </x:c>
      <x:c r="S10" s="32" t="str">
        <x:v>https://pubmed.ncbi.nlm.nih.gov/39359186/</x:v>
      </x:c>
    </x:row>
    <x:row r="11" ht="53" customHeight="1">
      <x:c r="A11" s="24" t="str">
        <x:v>Levator costae brevis (T10 to rib 11)</x:v>
      </x:c>
      <x:c r="B11" s="24" t="str">
        <x:v>Deep posterior thorax segmental</x:v>
      </x:c>
      <x:c r="C11" s="24" t="str">
        <x:v>Stabilizer</x:v>
      </x:c>
      <x:c r="D11" s="28" t="str">
        <x:v>No</x:v>
      </x:c>
      <x:c r="E11" s="28" t="str">
        <x:v>No</x:v>
      </x:c>
      <x:c r="F11" s="28" t="str">
        <x:v>Yes</x:v>
      </x:c>
      <x:c r="G11" s="24" t="str">
        <x:v>Assists rib elevation and fine segmental posture</x:v>
      </x:c>
      <x:c r="H11" s="24" t="str">
        <x:v>Transverse process T10</x:v>
      </x:c>
      <x:c r="I11" s="24" t="str">
        <x:v>Upper border rib 11 near rib angle</x:v>
      </x:c>
      <x:c r="J11" s="24" t="str">
        <x:v>Posterior ramus T10</x:v>
      </x:c>
      <x:c r="K11" s="24" t="str">
        <x:v>T10 (segmental approximation)</x:v>
      </x:c>
      <x:c r="L11" s="24" t="str">
        <x:v>Minute rib insertion tendon</x:v>
      </x:c>
      <x:c r="M11" s="24" t="str">
        <x:v>Costotransverse ligament complex nearby</x:v>
      </x:c>
      <x:c r="N11" s="30" t="str">
        <x:v>Not established</x:v>
      </x:c>
      <x:c r="O11" s="30" t="str">
        <x:v>Not established</x:v>
      </x:c>
      <x:c r="P11" s="30" t="str">
        <x:v>Mixed Type I and Type II; ratio unverified</x:v>
      </x:c>
      <x:c r="Q11" s="24" t="str">
        <x:v>Published biopsies insufficient to state a reliable per-muscle percentage; no inference from function</x:v>
      </x:c>
      <x:c r="R11" s="32" t="str">
        <x:v>https://www.kenhub.com/en/library/anatomy/anatomy-of-the-back-spine-and-back-muscles</x:v>
      </x:c>
      <x:c r="S11" s="32" t="str">
        <x:v>https://pubmed.ncbi.nlm.nih.gov/39359186/</x:v>
      </x:c>
    </x:row>
    <x:row r="12" ht="53" customHeight="1">
      <x:c r="A12" s="24" t="str">
        <x:v>Levator costae brevis (T11 to rib 12)</x:v>
      </x:c>
      <x:c r="B12" s="24" t="str">
        <x:v>Deep posterior thorax segmental</x:v>
      </x:c>
      <x:c r="C12" s="24" t="str">
        <x:v>Stabilizer</x:v>
      </x:c>
      <x:c r="D12" s="28" t="str">
        <x:v>No</x:v>
      </x:c>
      <x:c r="E12" s="28" t="str">
        <x:v>No</x:v>
      </x:c>
      <x:c r="F12" s="28" t="str">
        <x:v>Yes</x:v>
      </x:c>
      <x:c r="G12" s="24" t="str">
        <x:v>Assists rib elevation and fine segmental posture</x:v>
      </x:c>
      <x:c r="H12" s="24" t="str">
        <x:v>Transverse process T11</x:v>
      </x:c>
      <x:c r="I12" s="24" t="str">
        <x:v>Upper border rib 12 near rib angle</x:v>
      </x:c>
      <x:c r="J12" s="24" t="str">
        <x:v>Posterior ramus T11</x:v>
      </x:c>
      <x:c r="K12" s="24" t="str">
        <x:v>T11 (segmental approximation)</x:v>
      </x:c>
      <x:c r="L12" s="24" t="str">
        <x:v>Minute rib insertion tendon</x:v>
      </x:c>
      <x:c r="M12" s="24" t="str">
        <x:v>Costotransverse ligament complex nearby</x:v>
      </x:c>
      <x:c r="N12" s="30" t="str">
        <x:v>Not established</x:v>
      </x:c>
      <x:c r="O12" s="30" t="str">
        <x:v>Not established</x:v>
      </x:c>
      <x:c r="P12" s="30" t="str">
        <x:v>Mixed Type I and Type II; ratio unverified</x:v>
      </x:c>
      <x:c r="Q12" s="24" t="str">
        <x:v>Published biopsies insufficient to state a reliable per-muscle percentage; no inference from function</x:v>
      </x:c>
      <x:c r="R12" s="32" t="str">
        <x:v>https://www.kenhub.com/en/library/anatomy/anatomy-of-the-back-spine-and-back-muscles</x:v>
      </x:c>
      <x:c r="S12" s="32" t="str">
        <x:v>https://pubmed.ncbi.nlm.nih.gov/39359186/</x:v>
      </x:c>
    </x:row>
    <x:row r="13" ht="53" customHeight="1">
      <x:c r="A13" s="24" t="str">
        <x:v>Levator costae brevis (T2 to rib 3)</x:v>
      </x:c>
      <x:c r="B13" s="24" t="str">
        <x:v>Deep posterior thorax segmental</x:v>
      </x:c>
      <x:c r="C13" s="24" t="str">
        <x:v>Stabilizer</x:v>
      </x:c>
      <x:c r="D13" s="28" t="str">
        <x:v>No</x:v>
      </x:c>
      <x:c r="E13" s="28" t="str">
        <x:v>No</x:v>
      </x:c>
      <x:c r="F13" s="28" t="str">
        <x:v>Yes</x:v>
      </x:c>
      <x:c r="G13" s="24" t="str">
        <x:v>Assists rib elevation and fine segmental posture</x:v>
      </x:c>
      <x:c r="H13" s="24" t="str">
        <x:v>Transverse process T2</x:v>
      </x:c>
      <x:c r="I13" s="24" t="str">
        <x:v>Upper border rib 3 near rib angle</x:v>
      </x:c>
      <x:c r="J13" s="24" t="str">
        <x:v>Posterior ramus T2</x:v>
      </x:c>
      <x:c r="K13" s="24" t="str">
        <x:v>T2 (segmental approximation)</x:v>
      </x:c>
      <x:c r="L13" s="24" t="str">
        <x:v>Minute rib insertion tendon</x:v>
      </x:c>
      <x:c r="M13" s="24" t="str">
        <x:v>Costotransverse ligament complex nearby</x:v>
      </x:c>
      <x:c r="N13" s="30" t="str">
        <x:v>Not established</x:v>
      </x:c>
      <x:c r="O13" s="30" t="str">
        <x:v>Not established</x:v>
      </x:c>
      <x:c r="P13" s="30" t="str">
        <x:v>Mixed Type I and Type II; ratio unverified</x:v>
      </x:c>
      <x:c r="Q13" s="24" t="str">
        <x:v>Published biopsies insufficient to state a reliable per-muscle percentage; no inference from function</x:v>
      </x:c>
      <x:c r="R13" s="32" t="str">
        <x:v>https://www.kenhub.com/en/library/anatomy/anatomy-of-the-back-spine-and-back-muscles</x:v>
      </x:c>
      <x:c r="S13" s="32" t="str">
        <x:v>https://pubmed.ncbi.nlm.nih.gov/39359186/</x:v>
      </x:c>
    </x:row>
    <x:row r="14" ht="53" customHeight="1">
      <x:c r="A14" s="24" t="str">
        <x:v>Levator costae brevis (T3 to rib 4)</x:v>
      </x:c>
      <x:c r="B14" s="24" t="str">
        <x:v>Deep posterior thorax segmental</x:v>
      </x:c>
      <x:c r="C14" s="24" t="str">
        <x:v>Stabilizer</x:v>
      </x:c>
      <x:c r="D14" s="28" t="str">
        <x:v>No</x:v>
      </x:c>
      <x:c r="E14" s="28" t="str">
        <x:v>No</x:v>
      </x:c>
      <x:c r="F14" s="28" t="str">
        <x:v>Yes</x:v>
      </x:c>
      <x:c r="G14" s="24" t="str">
        <x:v>Assists rib elevation and fine segmental posture</x:v>
      </x:c>
      <x:c r="H14" s="24" t="str">
        <x:v>Transverse process T3</x:v>
      </x:c>
      <x:c r="I14" s="24" t="str">
        <x:v>Upper border rib 4 near rib angle</x:v>
      </x:c>
      <x:c r="J14" s="24" t="str">
        <x:v>Posterior ramus T3</x:v>
      </x:c>
      <x:c r="K14" s="24" t="str">
        <x:v>T3 (segmental approximation)</x:v>
      </x:c>
      <x:c r="L14" s="24" t="str">
        <x:v>Minute rib insertion tendon</x:v>
      </x:c>
      <x:c r="M14" s="24" t="str">
        <x:v>Costotransverse ligament complex nearby</x:v>
      </x:c>
      <x:c r="N14" s="30" t="str">
        <x:v>Not established</x:v>
      </x:c>
      <x:c r="O14" s="30" t="str">
        <x:v>Not established</x:v>
      </x:c>
      <x:c r="P14" s="30" t="str">
        <x:v>Mixed Type I and Type II; ratio unverified</x:v>
      </x:c>
      <x:c r="Q14" s="24" t="str">
        <x:v>Published biopsies insufficient to state a reliable per-muscle percentage; no inference from function</x:v>
      </x:c>
      <x:c r="R14" s="32" t="str">
        <x:v>https://www.kenhub.com/en/library/anatomy/anatomy-of-the-back-spine-and-back-muscles</x:v>
      </x:c>
      <x:c r="S14" s="32" t="str">
        <x:v>https://pubmed.ncbi.nlm.nih.gov/39359186/</x:v>
      </x:c>
    </x:row>
    <x:row r="15" ht="53" customHeight="1">
      <x:c r="A15" s="24" t="str">
        <x:v>Levator costae brevis (T4 to rib 5)</x:v>
      </x:c>
      <x:c r="B15" s="24" t="str">
        <x:v>Deep posterior thorax segmental</x:v>
      </x:c>
      <x:c r="C15" s="24" t="str">
        <x:v>Stabilizer</x:v>
      </x:c>
      <x:c r="D15" s="28" t="str">
        <x:v>No</x:v>
      </x:c>
      <x:c r="E15" s="28" t="str">
        <x:v>No</x:v>
      </x:c>
      <x:c r="F15" s="28" t="str">
        <x:v>Yes</x:v>
      </x:c>
      <x:c r="G15" s="24" t="str">
        <x:v>Assists rib elevation and fine segmental posture</x:v>
      </x:c>
      <x:c r="H15" s="24" t="str">
        <x:v>Transverse process T4</x:v>
      </x:c>
      <x:c r="I15" s="24" t="str">
        <x:v>Upper border rib 5 near rib angle</x:v>
      </x:c>
      <x:c r="J15" s="24" t="str">
        <x:v>Posterior ramus T4</x:v>
      </x:c>
      <x:c r="K15" s="24" t="str">
        <x:v>T4 (segmental approximation)</x:v>
      </x:c>
      <x:c r="L15" s="24" t="str">
        <x:v>Minute rib insertion tendon</x:v>
      </x:c>
      <x:c r="M15" s="24" t="str">
        <x:v>Costotransverse ligament complex nearby</x:v>
      </x:c>
      <x:c r="N15" s="30" t="str">
        <x:v>Not established</x:v>
      </x:c>
      <x:c r="O15" s="30" t="str">
        <x:v>Not established</x:v>
      </x:c>
      <x:c r="P15" s="30" t="str">
        <x:v>Mixed Type I and Type II; ratio unverified</x:v>
      </x:c>
      <x:c r="Q15" s="24" t="str">
        <x:v>Published biopsies insufficient to state a reliable per-muscle percentage; no inference from function</x:v>
      </x:c>
      <x:c r="R15" s="32" t="str">
        <x:v>https://www.kenhub.com/en/library/anatomy/anatomy-of-the-back-spine-and-back-muscles</x:v>
      </x:c>
      <x:c r="S15" s="32" t="str">
        <x:v>https://pubmed.ncbi.nlm.nih.gov/39359186/</x:v>
      </x:c>
    </x:row>
    <x:row r="16" ht="53" customHeight="1">
      <x:c r="A16" s="24" t="str">
        <x:v>Levator costae brevis (T5 to rib 6)</x:v>
      </x:c>
      <x:c r="B16" s="24" t="str">
        <x:v>Deep posterior thorax segmental</x:v>
      </x:c>
      <x:c r="C16" s="24" t="str">
        <x:v>Stabilizer</x:v>
      </x:c>
      <x:c r="D16" s="28" t="str">
        <x:v>No</x:v>
      </x:c>
      <x:c r="E16" s="28" t="str">
        <x:v>No</x:v>
      </x:c>
      <x:c r="F16" s="28" t="str">
        <x:v>Yes</x:v>
      </x:c>
      <x:c r="G16" s="24" t="str">
        <x:v>Assists rib elevation and fine segmental posture</x:v>
      </x:c>
      <x:c r="H16" s="24" t="str">
        <x:v>Transverse process T5</x:v>
      </x:c>
      <x:c r="I16" s="24" t="str">
        <x:v>Upper border rib 6 near rib angle</x:v>
      </x:c>
      <x:c r="J16" s="24" t="str">
        <x:v>Posterior ramus T5</x:v>
      </x:c>
      <x:c r="K16" s="24" t="str">
        <x:v>T5 (segmental approximation)</x:v>
      </x:c>
      <x:c r="L16" s="24" t="str">
        <x:v>Minute rib insertion tendon</x:v>
      </x:c>
      <x:c r="M16" s="24" t="str">
        <x:v>Costotransverse ligament complex nearby</x:v>
      </x:c>
      <x:c r="N16" s="30" t="str">
        <x:v>Not established</x:v>
      </x:c>
      <x:c r="O16" s="30" t="str">
        <x:v>Not established</x:v>
      </x:c>
      <x:c r="P16" s="30" t="str">
        <x:v>Mixed Type I and Type II; ratio unverified</x:v>
      </x:c>
      <x:c r="Q16" s="24" t="str">
        <x:v>Published biopsies insufficient to state a reliable per-muscle percentage; no inference from function</x:v>
      </x:c>
      <x:c r="R16" s="32" t="str">
        <x:v>https://www.kenhub.com/en/library/anatomy/anatomy-of-the-back-spine-and-back-muscles</x:v>
      </x:c>
      <x:c r="S16" s="32" t="str">
        <x:v>https://pubmed.ncbi.nlm.nih.gov/39359186/</x:v>
      </x:c>
    </x:row>
    <x:row r="17" ht="53" customHeight="1">
      <x:c r="A17" s="24" t="str">
        <x:v>Levator costae brevis (T6 to rib 7)</x:v>
      </x:c>
      <x:c r="B17" s="24" t="str">
        <x:v>Deep posterior thorax segmental</x:v>
      </x:c>
      <x:c r="C17" s="24" t="str">
        <x:v>Stabilizer</x:v>
      </x:c>
      <x:c r="D17" s="28" t="str">
        <x:v>No</x:v>
      </x:c>
      <x:c r="E17" s="28" t="str">
        <x:v>No</x:v>
      </x:c>
      <x:c r="F17" s="28" t="str">
        <x:v>Yes</x:v>
      </x:c>
      <x:c r="G17" s="24" t="str">
        <x:v>Assists rib elevation and fine segmental posture</x:v>
      </x:c>
      <x:c r="H17" s="24" t="str">
        <x:v>Transverse process T6</x:v>
      </x:c>
      <x:c r="I17" s="24" t="str">
        <x:v>Upper border rib 7 near rib angle</x:v>
      </x:c>
      <x:c r="J17" s="24" t="str">
        <x:v>Posterior ramus T6</x:v>
      </x:c>
      <x:c r="K17" s="24" t="str">
        <x:v>T6 (segmental approximation)</x:v>
      </x:c>
      <x:c r="L17" s="24" t="str">
        <x:v>Minute rib insertion tendon</x:v>
      </x:c>
      <x:c r="M17" s="24" t="str">
        <x:v>Costotransverse ligament complex nearby</x:v>
      </x:c>
      <x:c r="N17" s="30" t="str">
        <x:v>Not established</x:v>
      </x:c>
      <x:c r="O17" s="30" t="str">
        <x:v>Not established</x:v>
      </x:c>
      <x:c r="P17" s="30" t="str">
        <x:v>Mixed Type I and Type II; ratio unverified</x:v>
      </x:c>
      <x:c r="Q17" s="24" t="str">
        <x:v>Published biopsies insufficient to state a reliable per-muscle percentage; no inference from function</x:v>
      </x:c>
      <x:c r="R17" s="32" t="str">
        <x:v>https://www.kenhub.com/en/library/anatomy/anatomy-of-the-back-spine-and-back-muscles</x:v>
      </x:c>
      <x:c r="S17" s="32" t="str">
        <x:v>https://pubmed.ncbi.nlm.nih.gov/39359186/</x:v>
      </x:c>
    </x:row>
    <x:row r="18" ht="53" customHeight="1">
      <x:c r="A18" s="24" t="str">
        <x:v>Levator costae brevis (T7 to rib 8)</x:v>
      </x:c>
      <x:c r="B18" s="24" t="str">
        <x:v>Deep posterior thorax segmental</x:v>
      </x:c>
      <x:c r="C18" s="24" t="str">
        <x:v>Stabilizer</x:v>
      </x:c>
      <x:c r="D18" s="28" t="str">
        <x:v>No</x:v>
      </x:c>
      <x:c r="E18" s="28" t="str">
        <x:v>No</x:v>
      </x:c>
      <x:c r="F18" s="28" t="str">
        <x:v>Yes</x:v>
      </x:c>
      <x:c r="G18" s="24" t="str">
        <x:v>Assists rib elevation and fine segmental posture</x:v>
      </x:c>
      <x:c r="H18" s="24" t="str">
        <x:v>Transverse process T7</x:v>
      </x:c>
      <x:c r="I18" s="24" t="str">
        <x:v>Upper border rib 8 near rib angle</x:v>
      </x:c>
      <x:c r="J18" s="24" t="str">
        <x:v>Posterior ramus T7</x:v>
      </x:c>
      <x:c r="K18" s="24" t="str">
        <x:v>T7 (segmental approximation)</x:v>
      </x:c>
      <x:c r="L18" s="24" t="str">
        <x:v>Minute rib insertion tendon</x:v>
      </x:c>
      <x:c r="M18" s="24" t="str">
        <x:v>Costotransverse ligament complex nearby</x:v>
      </x:c>
      <x:c r="N18" s="30" t="str">
        <x:v>Not established</x:v>
      </x:c>
      <x:c r="O18" s="30" t="str">
        <x:v>Not established</x:v>
      </x:c>
      <x:c r="P18" s="30" t="str">
        <x:v>Mixed Type I and Type II; ratio unverified</x:v>
      </x:c>
      <x:c r="Q18" s="24" t="str">
        <x:v>Published biopsies insufficient to state a reliable per-muscle percentage; no inference from function</x:v>
      </x:c>
      <x:c r="R18" s="32" t="str">
        <x:v>https://www.kenhub.com/en/library/anatomy/anatomy-of-the-back-spine-and-back-muscles</x:v>
      </x:c>
      <x:c r="S18" s="32" t="str">
        <x:v>https://pubmed.ncbi.nlm.nih.gov/39359186/</x:v>
      </x:c>
    </x:row>
    <x:row r="19" ht="53" customHeight="1">
      <x:c r="A19" s="24" t="str">
        <x:v>Levator costae brevis (T8 to rib 9)</x:v>
      </x:c>
      <x:c r="B19" s="24" t="str">
        <x:v>Deep posterior thorax segmental</x:v>
      </x:c>
      <x:c r="C19" s="24" t="str">
        <x:v>Stabilizer</x:v>
      </x:c>
      <x:c r="D19" s="28" t="str">
        <x:v>No</x:v>
      </x:c>
      <x:c r="E19" s="28" t="str">
        <x:v>No</x:v>
      </x:c>
      <x:c r="F19" s="28" t="str">
        <x:v>Yes</x:v>
      </x:c>
      <x:c r="G19" s="24" t="str">
        <x:v>Assists rib elevation and fine segmental posture</x:v>
      </x:c>
      <x:c r="H19" s="24" t="str">
        <x:v>Transverse process T8</x:v>
      </x:c>
      <x:c r="I19" s="24" t="str">
        <x:v>Upper border rib 9 near rib angle</x:v>
      </x:c>
      <x:c r="J19" s="24" t="str">
        <x:v>Posterior ramus T8</x:v>
      </x:c>
      <x:c r="K19" s="24" t="str">
        <x:v>T8 (segmental approximation)</x:v>
      </x:c>
      <x:c r="L19" s="24" t="str">
        <x:v>Minute rib insertion tendon</x:v>
      </x:c>
      <x:c r="M19" s="24" t="str">
        <x:v>Costotransverse ligament complex nearby</x:v>
      </x:c>
      <x:c r="N19" s="30" t="str">
        <x:v>Not established</x:v>
      </x:c>
      <x:c r="O19" s="30" t="str">
        <x:v>Not established</x:v>
      </x:c>
      <x:c r="P19" s="30" t="str">
        <x:v>Mixed Type I and Type II; ratio unverified</x:v>
      </x:c>
      <x:c r="Q19" s="24" t="str">
        <x:v>Published biopsies insufficient to state a reliable per-muscle percentage; no inference from function</x:v>
      </x:c>
      <x:c r="R19" s="32" t="str">
        <x:v>https://www.kenhub.com/en/library/anatomy/anatomy-of-the-back-spine-and-back-muscles</x:v>
      </x:c>
      <x:c r="S19" s="32" t="str">
        <x:v>https://pubmed.ncbi.nlm.nih.gov/39359186/</x:v>
      </x:c>
    </x:row>
    <x:row r="20" ht="53" customHeight="1">
      <x:c r="A20" s="24" t="str">
        <x:v>Levator costae brevis (T9 to rib 10)</x:v>
      </x:c>
      <x:c r="B20" s="24" t="str">
        <x:v>Deep posterior thorax segmental</x:v>
      </x:c>
      <x:c r="C20" s="24" t="str">
        <x:v>Stabilizer</x:v>
      </x:c>
      <x:c r="D20" s="28" t="str">
        <x:v>No</x:v>
      </x:c>
      <x:c r="E20" s="28" t="str">
        <x:v>No</x:v>
      </x:c>
      <x:c r="F20" s="28" t="str">
        <x:v>Yes</x:v>
      </x:c>
      <x:c r="G20" s="24" t="str">
        <x:v>Assists rib elevation and fine segmental posture</x:v>
      </x:c>
      <x:c r="H20" s="24" t="str">
        <x:v>Transverse process T9</x:v>
      </x:c>
      <x:c r="I20" s="24" t="str">
        <x:v>Upper border rib 10 near rib angle</x:v>
      </x:c>
      <x:c r="J20" s="24" t="str">
        <x:v>Posterior ramus T9</x:v>
      </x:c>
      <x:c r="K20" s="24" t="str">
        <x:v>T9 (segmental approximation)</x:v>
      </x:c>
      <x:c r="L20" s="24" t="str">
        <x:v>Minute rib insertion tendon</x:v>
      </x:c>
      <x:c r="M20" s="24" t="str">
        <x:v>Costotransverse ligament complex nearby</x:v>
      </x:c>
      <x:c r="N20" s="30" t="str">
        <x:v>Not established</x:v>
      </x:c>
      <x:c r="O20" s="30" t="str">
        <x:v>Not established</x:v>
      </x:c>
      <x:c r="P20" s="30" t="str">
        <x:v>Mixed Type I and Type II; ratio unverified</x:v>
      </x:c>
      <x:c r="Q20" s="24" t="str">
        <x:v>Published biopsies insufficient to state a reliable per-muscle percentage; no inference from function</x:v>
      </x:c>
      <x:c r="R20" s="32" t="str">
        <x:v>https://www.kenhub.com/en/library/anatomy/anatomy-of-the-back-spine-and-back-muscles</x:v>
      </x:c>
      <x:c r="S20" s="32" t="str">
        <x:v>https://pubmed.ncbi.nlm.nih.gov/39359186/</x:v>
      </x:c>
    </x:row>
    <x:row r="21" ht="53" customHeight="1">
      <x:c r="A21" s="24" t="str">
        <x:v>Intertransversarii cervicis anteriores</x:v>
      </x:c>
      <x:c r="B21" s="24" t="str">
        <x:v>Deep segmental cervical</x:v>
      </x:c>
      <x:c r="C21" s="24" t="str">
        <x:v>Stabilizer</x:v>
      </x:c>
      <x:c r="D21" s="28" t="str">
        <x:v>No</x:v>
      </x:c>
      <x:c r="E21" s="28" t="str">
        <x:v>No</x:v>
      </x:c>
      <x:c r="F21" s="28" t="str">
        <x:v>Yes</x:v>
      </x:c>
      <x:c r="G21" s="24" t="str">
        <x:v>Cervical side-bending and segmental stability</x:v>
      </x:c>
      <x:c r="H21" s="24" t="str">
        <x:v>Anterior tubercle lower cervical transverse process</x:v>
      </x:c>
      <x:c r="I21" s="24" t="str">
        <x:v>Anterior tubercle next superior transverse process</x:v>
      </x:c>
      <x:c r="J21" s="24" t="str">
        <x:v>Anterior rami cervical spinal nerves</x:v>
      </x:c>
      <x:c r="K21" s="24" t="str">
        <x:v>C2-C8 segmental</x:v>
      </x:c>
      <x:c r="L21" s="24" t="str">
        <x:v>Tiny segmental tendons</x:v>
      </x:c>
      <x:c r="M21" s="24" t="str">
        <x:v>Intertransverse ligaments nearby</x:v>
      </x:c>
      <x:c r="N21" s="30" t="str">
        <x:v>Not established</x:v>
      </x:c>
      <x:c r="O21" s="30" t="str">
        <x:v>Not established</x:v>
      </x:c>
      <x:c r="P21" s="30" t="str">
        <x:v>Mixed Type I and Type II; ratio unverified</x:v>
      </x:c>
      <x:c r="Q21" s="24" t="str">
        <x:v>Published biopsies insufficient to state a reliable per-muscle percentage; no inference from function</x:v>
      </x:c>
      <x:c r="R21" s="32" t="str">
        <x:v>https://www.kenhub.com/en/library/anatomy/anatomy-of-the-back-spine-and-back-muscles</x:v>
      </x:c>
      <x:c r="S21" s="32" t="str">
        <x:v>https://pubmed.ncbi.nlm.nih.gov/39359186/</x:v>
      </x:c>
    </x:row>
    <x:row r="22" ht="53" customHeight="1">
      <x:c r="A22" s="24" t="str">
        <x:v>Intertransversarii cervicis posteriores</x:v>
      </x:c>
      <x:c r="B22" s="24" t="str">
        <x:v>Deep segmental cervical</x:v>
      </x:c>
      <x:c r="C22" s="24" t="str">
        <x:v>Stabilizer</x:v>
      </x:c>
      <x:c r="D22" s="28" t="str">
        <x:v>No</x:v>
      </x:c>
      <x:c r="E22" s="28" t="str">
        <x:v>No</x:v>
      </x:c>
      <x:c r="F22" s="28" t="str">
        <x:v>Yes</x:v>
      </x:c>
      <x:c r="G22" s="24" t="str">
        <x:v>Cervical lateral flexion/stabilization</x:v>
      </x:c>
      <x:c r="H22" s="24" t="str">
        <x:v>Posterior tubercle lower cervical transverse process</x:v>
      </x:c>
      <x:c r="I22" s="24" t="str">
        <x:v>Posterior tubercle adjacent upper transverse process</x:v>
      </x:c>
      <x:c r="J22" s="24" t="str">
        <x:v>Posterior rami cervical spinal nerves</x:v>
      </x:c>
      <x:c r="K22" s="24" t="str">
        <x:v>C2-C8 segmental</x:v>
      </x:c>
      <x:c r="L22" s="24" t="str">
        <x:v>Tiny segmental tendons</x:v>
      </x:c>
      <x:c r="M22" s="24" t="str">
        <x:v>Intertransverse connective tissues adjacent</x:v>
      </x:c>
      <x:c r="N22" s="30" t="str">
        <x:v>Not established</x:v>
      </x:c>
      <x:c r="O22" s="30" t="str">
        <x:v>Not established</x:v>
      </x:c>
      <x:c r="P22" s="30" t="str">
        <x:v>Mixed Type I and Type II; ratio unverified</x:v>
      </x:c>
      <x:c r="Q22" s="24" t="str">
        <x:v>Published biopsies insufficient to state a reliable per-muscle percentage; no inference from function</x:v>
      </x:c>
      <x:c r="R22" s="32" t="str">
        <x:v>https://www.kenhub.com/en/library/anatomy/anatomy-of-the-back-spine-and-back-muscles</x:v>
      </x:c>
      <x:c r="S22" s="32" t="str">
        <x:v>https://pubmed.ncbi.nlm.nih.gov/39359186/</x:v>
      </x:c>
    </x:row>
    <x:row r="23" ht="53" customHeight="1">
      <x:c r="A23" s="24" t="str">
        <x:v>Intertransversarii lumborum laterales</x:v>
      </x:c>
      <x:c r="B23" s="24" t="str">
        <x:v>Deep segmental lumbar</x:v>
      </x:c>
      <x:c r="C23" s="24" t="str">
        <x:v>Stabilizer</x:v>
      </x:c>
      <x:c r="D23" s="28" t="str">
        <x:v>No</x:v>
      </x:c>
      <x:c r="E23" s="28" t="str">
        <x:v>No</x:v>
      </x:c>
      <x:c r="F23" s="28" t="str">
        <x:v>Yes</x:v>
      </x:c>
      <x:c r="G23" s="24" t="str">
        <x:v>Lateral flexion and intersegmental stability</x:v>
      </x:c>
      <x:c r="H23" s="24" t="str">
        <x:v>Costal processes of neighboring lumbar vertebrae</x:v>
      </x:c>
      <x:c r="I23" s="24" t="str">
        <x:v>Superior adjacent lumbar costal process</x:v>
      </x:c>
      <x:c r="J23" s="24" t="str">
        <x:v>Anterior rami lumbar spinal nerves</x:v>
      </x:c>
      <x:c r="K23" s="24" t="str">
        <x:v>L1-L4 segmental</x:v>
      </x:c>
      <x:c r="L23" s="24" t="str">
        <x:v>Short fascicular tendons</x:v>
      </x:c>
      <x:c r="M23" s="24" t="str">
        <x:v>Intertransverse ligaments nearby</x:v>
      </x:c>
      <x:c r="N23" s="30" t="str">
        <x:v>Not established</x:v>
      </x:c>
      <x:c r="O23" s="30" t="str">
        <x:v>Not established</x:v>
      </x:c>
      <x:c r="P23" s="30" t="str">
        <x:v>Mixed Type I and Type II; ratio unverified</x:v>
      </x:c>
      <x:c r="Q23" s="24" t="str">
        <x:v>Published biopsies insufficient to state a reliable per-muscle percentage; no inference from function</x:v>
      </x:c>
      <x:c r="R23" s="32" t="str">
        <x:v>https://www.kenhub.com/en/library/anatomy/anatomy-of-the-back-spine-and-back-muscles</x:v>
      </x:c>
      <x:c r="S23" s="32" t="str">
        <x:v>https://pubmed.ncbi.nlm.nih.gov/39359186/</x:v>
      </x:c>
    </x:row>
    <x:row r="24" ht="53" customHeight="1">
      <x:c r="A24" s="24" t="str">
        <x:v>Intertransversarii lumborum mediales</x:v>
      </x:c>
      <x:c r="B24" s="24" t="str">
        <x:v>Deep segmental lumbar</x:v>
      </x:c>
      <x:c r="C24" s="24" t="str">
        <x:v>Stabilizer</x:v>
      </x:c>
      <x:c r="D24" s="28" t="str">
        <x:v>No</x:v>
      </x:c>
      <x:c r="E24" s="28" t="str">
        <x:v>No</x:v>
      </x:c>
      <x:c r="F24" s="28" t="str">
        <x:v>Yes</x:v>
      </x:c>
      <x:c r="G24" s="24" t="str">
        <x:v>Lumbar segmental stabilization/lateral flexion</x:v>
      </x:c>
      <x:c r="H24" s="24" t="str">
        <x:v>Mammillary/accessory processes neighboring lumbar vertebrae</x:v>
      </x:c>
      <x:c r="I24" s="24" t="str">
        <x:v>Adjacent superior lumbar vertebral processes</x:v>
      </x:c>
      <x:c r="J24" s="24" t="str">
        <x:v>Posterior rami lumbar spinal nerves</x:v>
      </x:c>
      <x:c r="K24" s="24" t="str">
        <x:v>L1-L5 segmental</x:v>
      </x:c>
      <x:c r="L24" s="24" t="str">
        <x:v>Tiny intersegmental tendons</x:v>
      </x:c>
      <x:c r="M24" s="24" t="str">
        <x:v>Intertransverse ligaments near fascicles</x:v>
      </x:c>
      <x:c r="N24" s="30" t="str">
        <x:v>Not established</x:v>
      </x:c>
      <x:c r="O24" s="30" t="str">
        <x:v>Not established</x:v>
      </x:c>
      <x:c r="P24" s="30" t="str">
        <x:v>Mixed Type I and Type II; ratio unverified</x:v>
      </x:c>
      <x:c r="Q24" s="24" t="str">
        <x:v>Published biopsies insufficient to state a reliable per-muscle percentage; no inference from function</x:v>
      </x:c>
      <x:c r="R24" s="32" t="str">
        <x:v>https://www.kenhub.com/en/library/anatomy/anatomy-of-the-back-spine-and-back-muscles</x:v>
      </x:c>
      <x:c r="S24" s="32" t="str">
        <x:v>https://pubmed.ncbi.nlm.nih.gov/39359186/</x:v>
      </x:c>
    </x:row>
    <x:row r="25" ht="53" customHeight="1">
      <x:c r="A25" s="24" t="str">
        <x:v>Intertransversarii thoracis (sparse)</x:v>
      </x:c>
      <x:c r="B25" s="24" t="str">
        <x:v>Deep segmental thoracic</x:v>
      </x:c>
      <x:c r="C25" s="24" t="str">
        <x:v>Stabilizer</x:v>
      </x:c>
      <x:c r="D25" s="28" t="str">
        <x:v>No</x:v>
      </x:c>
      <x:c r="E25" s="28" t="str">
        <x:v>No</x:v>
      </x:c>
      <x:c r="F25" s="28" t="str">
        <x:v>Yes</x:v>
      </x:c>
      <x:c r="G25" s="24" t="str">
        <x:v>Proprioception/stabilization</x:v>
      </x:c>
      <x:c r="H25" s="24" t="str">
        <x:v>Thoracic transverse processes</x:v>
      </x:c>
      <x:c r="I25" s="24" t="str">
        <x:v>Adjacent superior thoracic transverse processes</x:v>
      </x:c>
      <x:c r="J25" s="24" t="str">
        <x:v>Segmental spinal nerve branches</x:v>
      </x:c>
      <x:c r="K25" s="24" t="str">
        <x:v>T1-T12 (variable)</x:v>
      </x:c>
      <x:c r="L25" s="24" t="str">
        <x:v>Minute tendons</x:v>
      </x:c>
      <x:c r="M25" s="24" t="str">
        <x:v>Costotransverse ligaments nearby</x:v>
      </x:c>
      <x:c r="N25" s="30" t="str">
        <x:v>Not established</x:v>
      </x:c>
      <x:c r="O25" s="30" t="str">
        <x:v>Not established</x:v>
      </x:c>
      <x:c r="P25" s="30" t="str">
        <x:v>Mixed Type I and Type II; ratio unverified</x:v>
      </x:c>
      <x:c r="Q25" s="24" t="str">
        <x:v>Published biopsies insufficient to state a reliable per-muscle percentage; no inference from function</x:v>
      </x:c>
      <x:c r="R25" s="32" t="str">
        <x:v>https://www.kenhub.com/en/library/anatomy/anatomy-of-the-back-spine-and-back-muscles</x:v>
      </x:c>
      <x:c r="S25" s="32" t="str">
        <x:v>https://pubmed.ncbi.nlm.nih.gov/39359186/</x:v>
      </x:c>
    </x:row>
    <x:row r="26" ht="53" customHeight="1">
      <x:c r="A26" s="24" t="str">
        <x:v>Interspinales cervicis</x:v>
      </x:c>
      <x:c r="B26" s="24" t="str">
        <x:v>Deep short segmental</x:v>
      </x:c>
      <x:c r="C26" s="24" t="str">
        <x:v>Extensor; Stabilizer</x:v>
      </x:c>
      <x:c r="D26" s="28" t="str">
        <x:v>No</x:v>
      </x:c>
      <x:c r="E26" s="28" t="str">
        <x:v>Yes</x:v>
      </x:c>
      <x:c r="F26" s="28" t="str">
        <x:v>Yes</x:v>
      </x:c>
      <x:c r="G26" s="24" t="str">
        <x:v>Fine cervical extension and intersegmental stability</x:v>
      </x:c>
      <x:c r="H26" s="24" t="str">
        <x:v>Superior surface lower cervical spinous process</x:v>
      </x:c>
      <x:c r="I26" s="24" t="str">
        <x:v>Inferior surface adjacent upper spinous process</x:v>
      </x:c>
      <x:c r="J26" s="24" t="str">
        <x:v>Posterior rami cervical spinal nerves</x:v>
      </x:c>
      <x:c r="K26" s="24" t="str">
        <x:v>C2-C7 segmental</x:v>
      </x:c>
      <x:c r="L26" s="24" t="str">
        <x:v>Short interspinous attachments</x:v>
      </x:c>
      <x:c r="M26" s="24" t="str">
        <x:v>Interspinous ligaments in same interspinous space</x:v>
      </x:c>
      <x:c r="N26" s="30" t="str">
        <x:v>Not established</x:v>
      </x:c>
      <x:c r="O26" s="30" t="str">
        <x:v>Not established</x:v>
      </x:c>
      <x:c r="P26" s="30" t="str">
        <x:v>Mixed Type I and Type II; ratio unverified</x:v>
      </x:c>
      <x:c r="Q26" s="24" t="str">
        <x:v>Published biopsies insufficient to state a reliable per-muscle percentage; no inference from function</x:v>
      </x:c>
      <x:c r="R26" s="32" t="str">
        <x:v>https://www.kenhub.com/en/library/anatomy/anatomy-of-the-back-spine-and-back-muscles</x:v>
      </x:c>
      <x:c r="S26" s="32" t="str">
        <x:v>https://pubmed.ncbi.nlm.nih.gov/39359186/</x:v>
      </x:c>
    </x:row>
    <x:row r="27" ht="53" customHeight="1">
      <x:c r="A27" s="24" t="str">
        <x:v>Interspinales lumborum</x:v>
      </x:c>
      <x:c r="B27" s="24" t="str">
        <x:v>Deep short segmental</x:v>
      </x:c>
      <x:c r="C27" s="24" t="str">
        <x:v>Extensor; Stabilizer</x:v>
      </x:c>
      <x:c r="D27" s="28" t="str">
        <x:v>No</x:v>
      </x:c>
      <x:c r="E27" s="28" t="str">
        <x:v>Yes</x:v>
      </x:c>
      <x:c r="F27" s="28" t="str">
        <x:v>Yes</x:v>
      </x:c>
      <x:c r="G27" s="24" t="str">
        <x:v>Intersegmental lumbar extension/stabilization</x:v>
      </x:c>
      <x:c r="H27" s="24" t="str">
        <x:v>Superior aspect lumbar spinous process</x:v>
      </x:c>
      <x:c r="I27" s="24" t="str">
        <x:v>Inferior aspect next superior lumbar spinous process</x:v>
      </x:c>
      <x:c r="J27" s="24" t="str">
        <x:v>Posterior rami lumbar nerves</x:v>
      </x:c>
      <x:c r="K27" s="24" t="str">
        <x:v>L1-L5 segmental</x:v>
      </x:c>
      <x:c r="L27" s="24" t="str">
        <x:v>Short interspinous fascicular tendons</x:v>
      </x:c>
      <x:c r="M27" s="24" t="str">
        <x:v>Interspinous ligaments adjacent/direct connective interfaces</x:v>
      </x:c>
      <x:c r="N27" s="30" t="str">
        <x:v>Not established</x:v>
      </x:c>
      <x:c r="O27" s="30" t="str">
        <x:v>Not established</x:v>
      </x:c>
      <x:c r="P27" s="30" t="str">
        <x:v>Mixed Type I and Type II; ratio unverified</x:v>
      </x:c>
      <x:c r="Q27" s="24" t="str">
        <x:v>Published biopsies insufficient to state a reliable per-muscle percentage; no inference from function</x:v>
      </x:c>
      <x:c r="R27" s="32" t="str">
        <x:v>https://www.kenhub.com/en/library/anatomy/anatomy-of-the-back-spine-and-back-muscles</x:v>
      </x:c>
      <x:c r="S27" s="32" t="str">
        <x:v>https://pubmed.ncbi.nlm.nih.gov/39359186/</x:v>
      </x:c>
    </x:row>
    <x:row r="28" ht="53" customHeight="1">
      <x:c r="A28" s="24" t="str">
        <x:v>Interspinales thoracis (inconstant)</x:v>
      </x:c>
      <x:c r="B28" s="24" t="str">
        <x:v>Deep short segmental</x:v>
      </x:c>
      <x:c r="C28" s="24" t="str">
        <x:v>Extensor; Stabilizer</x:v>
      </x:c>
      <x:c r="D28" s="28" t="str">
        <x:v>No</x:v>
      </x:c>
      <x:c r="E28" s="28" t="str">
        <x:v>Yes</x:v>
      </x:c>
      <x:c r="F28" s="28" t="str">
        <x:v>Yes</x:v>
      </x:c>
      <x:c r="G28" s="24" t="str">
        <x:v>Segmental extension/stability</x:v>
      </x:c>
      <x:c r="H28" s="24" t="str">
        <x:v>Adjacent thoracic spinous processes</x:v>
      </x:c>
      <x:c r="I28" s="24" t="str">
        <x:v>Adjacent superior thoracic spinous process</x:v>
      </x:c>
      <x:c r="J28" s="24" t="str">
        <x:v>Posterior rami thoracic nerves</x:v>
      </x:c>
      <x:c r="K28" s="24" t="str">
        <x:v>T1-T12 segmental</x:v>
      </x:c>
      <x:c r="L28" s="24" t="str">
        <x:v>Minute interspinous slips</x:v>
      </x:c>
      <x:c r="M28" s="24" t="str">
        <x:v>Interspinous ligaments adjacent</x:v>
      </x:c>
      <x:c r="N28" s="30" t="str">
        <x:v>Not established</x:v>
      </x:c>
      <x:c r="O28" s="30" t="str">
        <x:v>Not established</x:v>
      </x:c>
      <x:c r="P28" s="30" t="str">
        <x:v>Mixed Type I and Type II; ratio unverified</x:v>
      </x:c>
      <x:c r="Q28" s="24" t="str">
        <x:v>Published biopsies insufficient to state a reliable per-muscle percentage; no inference from function</x:v>
      </x:c>
      <x:c r="R28" s="32" t="str">
        <x:v>https://www.kenhub.com/en/library/anatomy/anatomy-of-the-back-spine-and-back-muscles</x:v>
      </x:c>
      <x:c r="S28" s="32" t="str">
        <x:v>https://pubmed.ncbi.nlm.nih.gov/39359186/</x:v>
      </x:c>
    </x:row>
    <x:row r="29" ht="53" customHeight="1">
      <x:c r="A29" s="24" t="str">
        <x:v>Longissimus capitis</x:v>
      </x:c>
      <x:c r="B29" s="24" t="str">
        <x:v>Erector spinae intermediate</x:v>
      </x:c>
      <x:c r="C29" s="24" t="str">
        <x:v>Extensor; Stabilizer</x:v>
      </x:c>
      <x:c r="D29" s="28" t="str">
        <x:v>No</x:v>
      </x:c>
      <x:c r="E29" s="28" t="str">
        <x:v>Yes</x:v>
      </x:c>
      <x:c r="F29" s="28" t="str">
        <x:v>Yes</x:v>
      </x:c>
      <x:c r="G29" s="24" t="str">
        <x:v>Head extension and ipsilateral rotation</x:v>
      </x:c>
      <x:c r="H29" s="24" t="str">
        <x:v>Transverse processes T1-T5; articular processes C4-C7</x:v>
      </x:c>
      <x:c r="I29" s="24" t="str">
        <x:v>Mastoid process temporal bone</x:v>
      </x:c>
      <x:c r="J29" s="24" t="str">
        <x:v>Posterior rami cervical spinal nerves</x:v>
      </x:c>
      <x:c r="K29" s="24" t="str">
        <x:v>C2-C6 segmental</x:v>
      </x:c>
      <x:c r="L29" s="24" t="str">
        <x:v>Mastoid insertion tendon</x:v>
      </x:c>
      <x:c r="M29" s="24" t="str">
        <x:v>Nuchal ligament adjacent, not main attachment</x:v>
      </x:c>
      <x:c r="N29" s="30" t="str">
        <x:v>Not established</x:v>
      </x:c>
      <x:c r="O29" s="30" t="str">
        <x:v>Not established</x:v>
      </x:c>
      <x:c r="P29" s="30" t="str">
        <x:v>Mixed Type I and Type II; ratio unverified</x:v>
      </x:c>
      <x:c r="Q29" s="24" t="str">
        <x:v>Published biopsies insufficient to state a reliable per-muscle percentage; no inference from function</x:v>
      </x:c>
      <x:c r="R29" s="32" t="str">
        <x:v>https://www.kenhub.com/en/library/anatomy/anatomy-of-the-back-spine-and-back-muscles</x:v>
      </x:c>
      <x:c r="S29" s="32" t="str">
        <x:v>https://pubmed.ncbi.nlm.nih.gov/39359186/</x:v>
      </x:c>
    </x:row>
    <x:row r="30" ht="53" customHeight="1">
      <x:c r="A30" s="24" t="str">
        <x:v>Longissimus cervicis</x:v>
      </x:c>
      <x:c r="B30" s="24" t="str">
        <x:v>Erector spinae intermediate</x:v>
      </x:c>
      <x:c r="C30" s="24" t="str">
        <x:v>Extensor; Stabilizer</x:v>
      </x:c>
      <x:c r="D30" s="28" t="str">
        <x:v>No</x:v>
      </x:c>
      <x:c r="E30" s="28" t="str">
        <x:v>Yes</x:v>
      </x:c>
      <x:c r="F30" s="28" t="str">
        <x:v>Yes</x:v>
      </x:c>
      <x:c r="G30" s="24" t="str">
        <x:v>Extends/laterally bends neck</x:v>
      </x:c>
      <x:c r="H30" s="24" t="str">
        <x:v>Transverse processes T1-T5</x:v>
      </x:c>
      <x:c r="I30" s="24" t="str">
        <x:v>Posterior tubercles transverse processes C2-C6</x:v>
      </x:c>
      <x:c r="J30" s="24" t="str">
        <x:v>Posterior rami cervical nerves</x:v>
      </x:c>
      <x:c r="K30" s="24" t="str">
        <x:v>C2-C8 segmental</x:v>
      </x:c>
      <x:c r="L30" s="24" t="str">
        <x:v>Segmental cervical insertion tendons</x:v>
      </x:c>
      <x:c r="M30" s="24" t="str">
        <x:v>No specific direct ligament attachment</x:v>
      </x:c>
      <x:c r="N30" s="30" t="str">
        <x:v>Not established</x:v>
      </x:c>
      <x:c r="O30" s="30" t="str">
        <x:v>Not established</x:v>
      </x:c>
      <x:c r="P30" s="30" t="str">
        <x:v>Mixed Type I and Type II; ratio unverified</x:v>
      </x:c>
      <x:c r="Q30" s="24" t="str">
        <x:v>Published biopsies insufficient to state a reliable per-muscle percentage; no inference from function</x:v>
      </x:c>
      <x:c r="R30" s="32" t="str">
        <x:v>https://www.kenhub.com/en/library/anatomy/anatomy-of-the-back-spine-and-back-muscles</x:v>
      </x:c>
      <x:c r="S30" s="32" t="str">
        <x:v>https://pubmed.ncbi.nlm.nih.gov/39359186/</x:v>
      </x:c>
    </x:row>
    <x:row r="31" ht="53" customHeight="1">
      <x:c r="A31" s="24" t="str">
        <x:v>Longissimus thoracis</x:v>
      </x:c>
      <x:c r="B31" s="24" t="str">
        <x:v>Erector spinae intermediate</x:v>
      </x:c>
      <x:c r="C31" s="24" t="str">
        <x:v>Extensor; Stabilizer</x:v>
      </x:c>
      <x:c r="D31" s="28" t="str">
        <x:v>No</x:v>
      </x:c>
      <x:c r="E31" s="28" t="str">
        <x:v>Yes</x:v>
      </x:c>
      <x:c r="F31" s="28" t="str">
        <x:v>Yes</x:v>
      </x:c>
      <x:c r="G31" s="24" t="str">
        <x:v>Extends/laterally flexes thoracolumbar spine</x:v>
      </x:c>
      <x:c r="H31" s="24" t="str">
        <x:v>Common erector spinae tendon; sacrum; lumbar processes</x:v>
      </x:c>
      <x:c r="I31" s="24" t="str">
        <x:v>Thoracic transverse processes and ribs 2-12</x:v>
      </x:c>
      <x:c r="J31" s="24" t="str">
        <x:v>Posterior rami spinal nerves</x:v>
      </x:c>
      <x:c r="K31" s="24" t="str">
        <x:v>T1-L5 segmental</x:v>
      </x:c>
      <x:c r="L31" s="24" t="str">
        <x:v>Common erector tendon and segmental slips</x:v>
      </x:c>
      <x:c r="M31" s="24" t="str">
        <x:v>Thoracolumbar fascia associated at origin</x:v>
      </x:c>
      <x:c r="N31" s="30" t="str">
        <x:v>57% (lumbar region sample mean, n=16)</x:v>
      </x:c>
      <x:c r="O31" s="30" t="str">
        <x:v>43% (approx complementary II types)</x:v>
      </x:c>
      <x:c r="P31" s="30" t="str">
        <x:v>Type I-enriched (regional sample mean)</x:v>
      </x:c>
      <x:c r="Q31" s="24" t="str">
        <x:v>Study sampled lumbar longissimus; data not generalizable to every thoracic region</x:v>
      </x:c>
      <x:c r="R31" s="32" t="str">
        <x:v>https://www.kenhub.com/en/library/anatomy/anatomy-of-the-back-spine-and-back-muscles</x:v>
      </x:c>
      <x:c r="S31" s="32" t="str">
        <x:v>https://pubmed.ncbi.nlm.nih.gov/2960128/</x:v>
      </x:c>
    </x:row>
    <x:row r="32" ht="53" customHeight="1">
      <x:c r="A32" s="24" t="str">
        <x:v>Iliocostalis cervicis</x:v>
      </x:c>
      <x:c r="B32" s="24" t="str">
        <x:v>Erector spinae lateral</x:v>
      </x:c>
      <x:c r="C32" s="24" t="str">
        <x:v>Extensor; Stabilizer</x:v>
      </x:c>
      <x:c r="D32" s="28" t="str">
        <x:v>No</x:v>
      </x:c>
      <x:c r="E32" s="28" t="str">
        <x:v>Yes</x:v>
      </x:c>
      <x:c r="F32" s="28" t="str">
        <x:v>Yes</x:v>
      </x:c>
      <x:c r="G32" s="24" t="str">
        <x:v>Cervical extension/lateral flexion</x:v>
      </x:c>
      <x:c r="H32" s="24" t="str">
        <x:v>Angles ribs 3-6</x:v>
      </x:c>
      <x:c r="I32" s="24" t="str">
        <x:v>Posterior tubercles transverse processes C4-C6</x:v>
      </x:c>
      <x:c r="J32" s="24" t="str">
        <x:v>Posterior rami cervical spinal nerves</x:v>
      </x:c>
      <x:c r="K32" s="24" t="str">
        <x:v>C4-C8 segmental</x:v>
      </x:c>
      <x:c r="L32" s="24" t="str">
        <x:v>Costal-to-cervical tendons</x:v>
      </x:c>
      <x:c r="M32" s="24" t="str">
        <x:v>No direct ligament attachment routinely specified</x:v>
      </x:c>
      <x:c r="N32" s="30" t="str">
        <x:v>Not established</x:v>
      </x:c>
      <x:c r="O32" s="30" t="str">
        <x:v>Not established</x:v>
      </x:c>
      <x:c r="P32" s="30" t="str">
        <x:v>Mixed Type I and Type II; ratio unverified</x:v>
      </x:c>
      <x:c r="Q32" s="24" t="str">
        <x:v>Published biopsies insufficient to state a reliable per-muscle percentage; no inference from function</x:v>
      </x:c>
      <x:c r="R32" s="32" t="str">
        <x:v>https://www.kenhub.com/en/library/anatomy/anatomy-of-the-back-spine-and-back-muscles</x:v>
      </x:c>
      <x:c r="S32" s="32" t="str">
        <x:v>https://pubmed.ncbi.nlm.nih.gov/39359186/</x:v>
      </x:c>
    </x:row>
    <x:row r="33" ht="53" customHeight="1">
      <x:c r="A33" s="24" t="str">
        <x:v>Iliocostalis lumborum</x:v>
      </x:c>
      <x:c r="B33" s="24" t="str">
        <x:v>Erector spinae lateral</x:v>
      </x:c>
      <x:c r="C33" s="24" t="str">
        <x:v>Extensor; Stabilizer</x:v>
      </x:c>
      <x:c r="D33" s="28" t="str">
        <x:v>No</x:v>
      </x:c>
      <x:c r="E33" s="28" t="str">
        <x:v>Yes</x:v>
      </x:c>
      <x:c r="F33" s="28" t="str">
        <x:v>Yes</x:v>
      </x:c>
      <x:c r="G33" s="24" t="str">
        <x:v>Extends and laterally flexes lumbar spine; postural support</x:v>
      </x:c>
      <x:c r="H33" s="24" t="str">
        <x:v>Common erector spinae tendon from sacrum/iliac crest; lumbar aponeurosis</x:v>
      </x:c>
      <x:c r="I33" s="24" t="str">
        <x:v>Angles ribs 6-12; lumbar transverse processes</x:v>
      </x:c>
      <x:c r="J33" s="24" t="str">
        <x:v>Posterior rami spinal nerves</x:v>
      </x:c>
      <x:c r="K33" s="24" t="str">
        <x:v>T12-L5 segmental</x:v>
      </x:c>
      <x:c r="L33" s="24" t="str">
        <x:v>Common erector spinae aponeurosis; rib slips</x:v>
      </x:c>
      <x:c r="M33" s="24" t="str">
        <x:v>Supraspinous ligaments/fascia adjacent; thoracolumbar fascia direct origin</x:v>
      </x:c>
      <x:c r="N33" s="30" t="str">
        <x:v>Not established</x:v>
      </x:c>
      <x:c r="O33" s="30" t="str">
        <x:v>Not established</x:v>
      </x:c>
      <x:c r="P33" s="30" t="str">
        <x:v>Mixed Type I and Type II; ratio unverified</x:v>
      </x:c>
      <x:c r="Q33" s="24" t="str">
        <x:v>Published biopsies insufficient to state a reliable per-muscle percentage; no inference from function</x:v>
      </x:c>
      <x:c r="R33" s="32" t="str">
        <x:v>https://www.kenhub.com/en/library/anatomy/anatomy-of-the-back-spine-and-back-muscles</x:v>
      </x:c>
      <x:c r="S33" s="32" t="str">
        <x:v>https://pubmed.ncbi.nlm.nih.gov/39359186/</x:v>
      </x:c>
    </x:row>
    <x:row r="34" ht="53" customHeight="1">
      <x:c r="A34" s="24" t="str">
        <x:v>Iliocostalis thoracis</x:v>
      </x:c>
      <x:c r="B34" s="24" t="str">
        <x:v>Erector spinae lateral</x:v>
      </x:c>
      <x:c r="C34" s="24" t="str">
        <x:v>Extensor; Stabilizer</x:v>
      </x:c>
      <x:c r="D34" s="28" t="str">
        <x:v>No</x:v>
      </x:c>
      <x:c r="E34" s="28" t="str">
        <x:v>Yes</x:v>
      </x:c>
      <x:c r="F34" s="28" t="str">
        <x:v>Yes</x:v>
      </x:c>
      <x:c r="G34" s="24" t="str">
        <x:v>Extends/laterally flexes thoracic spine</x:v>
      </x:c>
      <x:c r="H34" s="24" t="str">
        <x:v>Angles lower six ribs</x:v>
      </x:c>
      <x:c r="I34" s="24" t="str">
        <x:v>Angles upper six ribs and transverse process C7</x:v>
      </x:c>
      <x:c r="J34" s="24" t="str">
        <x:v>Posterior rami thoracic spinal nerves</x:v>
      </x:c>
      <x:c r="K34" s="24" t="str">
        <x:v>T1-T12 segmental</x:v>
      </x:c>
      <x:c r="L34" s="24" t="str">
        <x:v>Long costal fascicular tendons</x:v>
      </x:c>
      <x:c r="M34" s="24" t="str">
        <x:v>Costotransverse ligaments adjacent to rib attachment</x:v>
      </x:c>
      <x:c r="N34" s="30" t="str">
        <x:v>Not established</x:v>
      </x:c>
      <x:c r="O34" s="30" t="str">
        <x:v>Not established</x:v>
      </x:c>
      <x:c r="P34" s="30" t="str">
        <x:v>Mixed Type I and Type II; ratio unverified</x:v>
      </x:c>
      <x:c r="Q34" s="24" t="str">
        <x:v>Published biopsies insufficient to state a reliable per-muscle percentage; no inference from function</x:v>
      </x:c>
      <x:c r="R34" s="32" t="str">
        <x:v>https://www.kenhub.com/en/library/anatomy/anatomy-of-the-back-spine-and-back-muscles</x:v>
      </x:c>
      <x:c r="S34" s="32" t="str">
        <x:v>https://pubmed.ncbi.nlm.nih.gov/39359186/</x:v>
      </x:c>
    </x:row>
    <x:row r="35" ht="53" customHeight="1">
      <x:c r="A35" s="24" t="str">
        <x:v>Spinalis capitis (variable/integrated)</x:v>
      </x:c>
      <x:c r="B35" s="24" t="str">
        <x:v>Erector spinae medial</x:v>
      </x:c>
      <x:c r="C35" s="24" t="str">
        <x:v>Extensor; Stabilizer</x:v>
      </x:c>
      <x:c r="D35" s="28" t="str">
        <x:v>No</x:v>
      </x:c>
      <x:c r="E35" s="28" t="str">
        <x:v>Yes</x:v>
      </x:c>
      <x:c r="F35" s="28" t="str">
        <x:v>Yes</x:v>
      </x:c>
      <x:c r="G35" s="24" t="str">
        <x:v>Extends head; usually confluent with semispinalis capitis</x:v>
      </x:c>
      <x:c r="H35" s="24" t="str">
        <x:v>Upper thoracic/lower cervical spinous processes</x:v>
      </x:c>
      <x:c r="I35" s="24" t="str">
        <x:v>Occipital bone near superior nuchal line</x:v>
      </x:c>
      <x:c r="J35" s="24" t="str">
        <x:v>Posterior rami cervical spinal nerves</x:v>
      </x:c>
      <x:c r="K35" s="24" t="str">
        <x:v>C2-C6 segmental</x:v>
      </x:c>
      <x:c r="L35" s="24" t="str">
        <x:v>Occipital aponeurosis</x:v>
      </x:c>
      <x:c r="M35" s="24" t="str">
        <x:v>Nuchal ligament nearby</x:v>
      </x:c>
      <x:c r="N35" s="30" t="str">
        <x:v>Not established</x:v>
      </x:c>
      <x:c r="O35" s="30" t="str">
        <x:v>Not established</x:v>
      </x:c>
      <x:c r="P35" s="30" t="str">
        <x:v>Mixed Type I and Type II; ratio unverified</x:v>
      </x:c>
      <x:c r="Q35" s="24" t="str">
        <x:v>Published biopsies insufficient to state a reliable per-muscle percentage; no inference from function</x:v>
      </x:c>
      <x:c r="R35" s="32" t="str">
        <x:v>https://www.kenhub.com/en/library/anatomy/anatomy-of-the-back-spine-and-back-muscles</x:v>
      </x:c>
      <x:c r="S35" s="32" t="str">
        <x:v>https://pubmed.ncbi.nlm.nih.gov/39359186/</x:v>
      </x:c>
    </x:row>
    <x:row r="36" ht="53" customHeight="1">
      <x:c r="A36" s="24" t="str">
        <x:v>Spinalis cervicis</x:v>
      </x:c>
      <x:c r="B36" s="24" t="str">
        <x:v>Erector spinae medial</x:v>
      </x:c>
      <x:c r="C36" s="24" t="str">
        <x:v>Extensor; Stabilizer</x:v>
      </x:c>
      <x:c r="D36" s="28" t="str">
        <x:v>No</x:v>
      </x:c>
      <x:c r="E36" s="28" t="str">
        <x:v>Yes</x:v>
      </x:c>
      <x:c r="F36" s="28" t="str">
        <x:v>Yes</x:v>
      </x:c>
      <x:c r="G36" s="24" t="str">
        <x:v>Extends cervical spine</x:v>
      </x:c>
      <x:c r="H36" s="24" t="str">
        <x:v>Nuchal ligament and spinous processes C7-T2</x:v>
      </x:c>
      <x:c r="I36" s="24" t="str">
        <x:v>Spinous processes C2-C4</x:v>
      </x:c>
      <x:c r="J36" s="24" t="str">
        <x:v>Posterior rami cervical spinal nerves</x:v>
      </x:c>
      <x:c r="K36" s="24" t="str">
        <x:v>C2-C7 segmental</x:v>
      </x:c>
      <x:c r="L36" s="24" t="str">
        <x:v>Interspinous insertion tendons</x:v>
      </x:c>
      <x:c r="M36" s="24" t="str">
        <x:v>Nuchal ligament may contribute to origin</x:v>
      </x:c>
      <x:c r="N36" s="30" t="str">
        <x:v>Not established</x:v>
      </x:c>
      <x:c r="O36" s="30" t="str">
        <x:v>Not established</x:v>
      </x:c>
      <x:c r="P36" s="30" t="str">
        <x:v>Mixed Type I and Type II; ratio unverified</x:v>
      </x:c>
      <x:c r="Q36" s="24" t="str">
        <x:v>Published biopsies insufficient to state a reliable per-muscle percentage; no inference from function</x:v>
      </x:c>
      <x:c r="R36" s="32" t="str">
        <x:v>https://www.kenhub.com/en/library/anatomy/anatomy-of-the-back-spine-and-back-muscles</x:v>
      </x:c>
      <x:c r="S36" s="32" t="str">
        <x:v>https://pubmed.ncbi.nlm.nih.gov/39359186/</x:v>
      </x:c>
    </x:row>
    <x:row r="37" ht="53" customHeight="1">
      <x:c r="A37" s="24" t="str">
        <x:v>Spinalis thoracis</x:v>
      </x:c>
      <x:c r="B37" s="24" t="str">
        <x:v>Erector spinae medial</x:v>
      </x:c>
      <x:c r="C37" s="24" t="str">
        <x:v>Extensor; Stabilizer</x:v>
      </x:c>
      <x:c r="D37" s="28" t="str">
        <x:v>No</x:v>
      </x:c>
      <x:c r="E37" s="28" t="str">
        <x:v>Yes</x:v>
      </x:c>
      <x:c r="F37" s="28" t="str">
        <x:v>Yes</x:v>
      </x:c>
      <x:c r="G37" s="24" t="str">
        <x:v>Extends thoracic spine</x:v>
      </x:c>
      <x:c r="H37" s="24" t="str">
        <x:v>Spinous processes T11-L2</x:v>
      </x:c>
      <x:c r="I37" s="24" t="str">
        <x:v>Spinous processes T1-T8</x:v>
      </x:c>
      <x:c r="J37" s="24" t="str">
        <x:v>Posterior rami thoracic spinal nerves</x:v>
      </x:c>
      <x:c r="K37" s="24" t="str">
        <x:v>T1-T12 segmental</x:v>
      </x:c>
      <x:c r="L37" s="24" t="str">
        <x:v>Long interspinous tendons</x:v>
      </x:c>
      <x:c r="M37" s="24" t="str">
        <x:v>Supraspinous ligament adjacent/blended</x:v>
      </x:c>
      <x:c r="N37" s="30" t="str">
        <x:v>Not established</x:v>
      </x:c>
      <x:c r="O37" s="30" t="str">
        <x:v>Not established</x:v>
      </x:c>
      <x:c r="P37" s="30" t="str">
        <x:v>Mixed Type I and Type II; ratio unverified</x:v>
      </x:c>
      <x:c r="Q37" s="24" t="str">
        <x:v>Published biopsies insufficient to state a reliable per-muscle percentage; no inference from function</x:v>
      </x:c>
      <x:c r="R37" s="32" t="str">
        <x:v>https://www.kenhub.com/en/library/anatomy/anatomy-of-the-back-spine-and-back-muscles</x:v>
      </x:c>
      <x:c r="S37" s="32" t="str">
        <x:v>https://pubmed.ncbi.nlm.nih.gov/39359186/</x:v>
      </x:c>
    </x:row>
    <x:row r="38" ht="53" customHeight="1">
      <x:c r="A38" s="24" t="str">
        <x:v>Omohyoid inferior belly</x:v>
      </x:c>
      <x:c r="B38" s="24" t="str">
        <x:v>Infrahyoid strap</x:v>
      </x:c>
      <x:c r="C38" s="24" t="str">
        <x:v>Stabilizer</x:v>
      </x:c>
      <x:c r="D38" s="28" t="str">
        <x:v>No</x:v>
      </x:c>
      <x:c r="E38" s="28" t="str">
        <x:v>No</x:v>
      </x:c>
      <x:c r="F38" s="28" t="str">
        <x:v>Yes</x:v>
      </x:c>
      <x:c r="G38" s="24" t="str">
        <x:v>Depresses hyoid, tensions cervical fascia</x:v>
      </x:c>
      <x:c r="H38" s="24" t="str">
        <x:v>Superior border of scapula near suprascapular notch</x:v>
      </x:c>
      <x:c r="I38" s="24" t="str">
        <x:v>Intermediate tendon</x:v>
      </x:c>
      <x:c r="J38" s="24" t="str">
        <x:v>Ansa cervicalis</x:v>
      </x:c>
      <x:c r="K38" s="24" t="str">
        <x:v>C1-C3</x:v>
      </x:c>
      <x:c r="L38" s="24" t="str">
        <x:v>Intermediate omohyoid tendon</x:v>
      </x:c>
      <x:c r="M38" s="24" t="str">
        <x:v>Superior transverse scapular ligament near origin (bridges notch)</x:v>
      </x:c>
      <x:c r="N38" s="30" t="str">
        <x:v>Not established</x:v>
      </x:c>
      <x:c r="O38" s="30" t="str">
        <x:v>Not established</x:v>
      </x:c>
      <x:c r="P38" s="30" t="str">
        <x:v>Mixed Type I and Type II; ratio unverified</x:v>
      </x:c>
      <x:c r="Q38" s="24" t="str">
        <x:v>Published biopsies insufficient to state a reliable per-muscle percentage; no inference from function</x:v>
      </x:c>
      <x:c r="R38" s="32" t="str">
        <x:v>https://www.kenhub.com/en/library/anatomy/anatomy-of-the-back-spine-and-back-muscles</x:v>
      </x:c>
      <x:c r="S38" s="32" t="str">
        <x:v>https://pubmed.ncbi.nlm.nih.gov/39359186/</x:v>
      </x:c>
    </x:row>
    <x:row r="39" ht="53" customHeight="1">
      <x:c r="A39" s="24" t="str">
        <x:v>Omohyoid superior belly</x:v>
      </x:c>
      <x:c r="B39" s="24" t="str">
        <x:v>Infrahyoid strap</x:v>
      </x:c>
      <x:c r="C39" s="24" t="str">
        <x:v>Stabilizer</x:v>
      </x:c>
      <x:c r="D39" s="28" t="str">
        <x:v>No</x:v>
      </x:c>
      <x:c r="E39" s="28" t="str">
        <x:v>No</x:v>
      </x:c>
      <x:c r="F39" s="28" t="str">
        <x:v>Yes</x:v>
      </x:c>
      <x:c r="G39" s="24" t="str">
        <x:v>Depresses/retracts hyoid</x:v>
      </x:c>
      <x:c r="H39" s="24" t="str">
        <x:v>Intermediate tendon tethered by fascial sling</x:v>
      </x:c>
      <x:c r="I39" s="24" t="str">
        <x:v>Inferior hyoid body</x:v>
      </x:c>
      <x:c r="J39" s="24" t="str">
        <x:v>Ansa cervicalis</x:v>
      </x:c>
      <x:c r="K39" s="24" t="str">
        <x:v>C1-C3</x:v>
      </x:c>
      <x:c r="L39" s="24" t="str">
        <x:v>Intermediate omohyoid tendon</x:v>
      </x:c>
      <x:c r="M39" s="24" t="str">
        <x:v>Intermediate tendon fascial sling attached to clavicle</x:v>
      </x:c>
      <x:c r="N39" s="30" t="str">
        <x:v>Not established</x:v>
      </x:c>
      <x:c r="O39" s="30" t="str">
        <x:v>Not established</x:v>
      </x:c>
      <x:c r="P39" s="30" t="str">
        <x:v>Mixed Type I and Type II; ratio unverified</x:v>
      </x:c>
      <x:c r="Q39" s="24" t="str">
        <x:v>Published biopsies insufficient to state a reliable per-muscle percentage; no inference from function</x:v>
      </x:c>
      <x:c r="R39" s="32" t="str">
        <x:v>https://www.kenhub.com/en/library/anatomy/anatomy-of-the-back-spine-and-back-muscles</x:v>
      </x:c>
      <x:c r="S39" s="32" t="str">
        <x:v>https://pubmed.ncbi.nlm.nih.gov/39359186/</x:v>
      </x:c>
    </x:row>
    <x:row r="40" ht="53" customHeight="1">
      <x:c r="A40" s="24" t="str">
        <x:v>Sternohyoid</x:v>
      </x:c>
      <x:c r="B40" s="24" t="str">
        <x:v>Infrahyoid strap</x:v>
      </x:c>
      <x:c r="C40" s="24" t="str">
        <x:v>Stabilizer</x:v>
      </x:c>
      <x:c r="D40" s="28" t="str">
        <x:v>No</x:v>
      </x:c>
      <x:c r="E40" s="28" t="str">
        <x:v>No</x:v>
      </x:c>
      <x:c r="F40" s="28" t="str">
        <x:v>Yes</x:v>
      </x:c>
      <x:c r="G40" s="24" t="str">
        <x:v>Depresses hyoid after swallowing</x:v>
      </x:c>
      <x:c r="H40" s="24" t="str">
        <x:v>Posterior manubrium; medial clavicle; sternoclavicular ligament</x:v>
      </x:c>
      <x:c r="I40" s="24" t="str">
        <x:v>Body hyoid bone</x:v>
      </x:c>
      <x:c r="J40" s="24" t="str">
        <x:v>Ansa cervicalis</x:v>
      </x:c>
      <x:c r="K40" s="24" t="str">
        <x:v>C1-C3</x:v>
      </x:c>
      <x:c r="L40" s="24" t="str">
        <x:v>Short hyoid tendon</x:v>
      </x:c>
      <x:c r="M40" s="24" t="str">
        <x:v>Sternoclavicular ligament may be origin</x:v>
      </x:c>
      <x:c r="N40" s="30" t="str">
        <x:v>Not established</x:v>
      </x:c>
      <x:c r="O40" s="30" t="str">
        <x:v>Not established</x:v>
      </x:c>
      <x:c r="P40" s="30" t="str">
        <x:v>Mixed Type I and Type II; ratio unverified</x:v>
      </x:c>
      <x:c r="Q40" s="24" t="str">
        <x:v>Published biopsies insufficient to state a reliable per-muscle percentage; no inference from function</x:v>
      </x:c>
      <x:c r="R40" s="32" t="str">
        <x:v>https://www.kenhub.com/en/library/anatomy/anatomy-of-the-back-spine-and-back-muscles</x:v>
      </x:c>
      <x:c r="S40" s="32" t="str">
        <x:v>https://pubmed.ncbi.nlm.nih.gov/39359186/</x:v>
      </x:c>
    </x:row>
    <x:row r="41" ht="53" customHeight="1">
      <x:c r="A41" s="24" t="str">
        <x:v>Sternothyroid</x:v>
      </x:c>
      <x:c r="B41" s="24" t="str">
        <x:v>Infrahyoid strap</x:v>
      </x:c>
      <x:c r="C41" s="24" t="str">
        <x:v>Stabilizer</x:v>
      </x:c>
      <x:c r="D41" s="28" t="str">
        <x:v>No</x:v>
      </x:c>
      <x:c r="E41" s="28" t="str">
        <x:v>No</x:v>
      </x:c>
      <x:c r="F41" s="28" t="str">
        <x:v>Yes</x:v>
      </x:c>
      <x:c r="G41" s="24" t="str">
        <x:v>Depresses larynx</x:v>
      </x:c>
      <x:c r="H41" s="24" t="str">
        <x:v>Posterior manubrium and first costal cartilage</x:v>
      </x:c>
      <x:c r="I41" s="24" t="str">
        <x:v>Oblique line of thyroid cartilage</x:v>
      </x:c>
      <x:c r="J41" s="24" t="str">
        <x:v>Ansa cervicalis</x:v>
      </x:c>
      <x:c r="K41" s="24" t="str">
        <x:v>C2-C3</x:v>
      </x:c>
      <x:c r="L41" s="24" t="str">
        <x:v>Short thyrocartilage tendon</x:v>
      </x:c>
      <x:c r="M41" s="24" t="str">
        <x:v>No specific direct ligament attachment</x:v>
      </x:c>
      <x:c r="N41" s="30" t="str">
        <x:v>Not established</x:v>
      </x:c>
      <x:c r="O41" s="30" t="str">
        <x:v>Not established</x:v>
      </x:c>
      <x:c r="P41" s="30" t="str">
        <x:v>Mixed Type I and Type II; ratio unverified</x:v>
      </x:c>
      <x:c r="Q41" s="24" t="str">
        <x:v>Published biopsies insufficient to state a reliable per-muscle percentage; no inference from function</x:v>
      </x:c>
      <x:c r="R41" s="32" t="str">
        <x:v>https://www.kenhub.com/en/library/anatomy/anatomy-of-the-back-spine-and-back-muscles</x:v>
      </x:c>
      <x:c r="S41" s="32" t="str">
        <x:v>https://pubmed.ncbi.nlm.nih.gov/39359186/</x:v>
      </x:c>
    </x:row>
    <x:row r="42" ht="53" customHeight="1">
      <x:c r="A42" s="24" t="str">
        <x:v>Thyrohyoid</x:v>
      </x:c>
      <x:c r="B42" s="24" t="str">
        <x:v>Infrahyoid strap</x:v>
      </x:c>
      <x:c r="C42" s="24" t="str">
        <x:v>Stabilizer</x:v>
      </x:c>
      <x:c r="D42" s="28" t="str">
        <x:v>No</x:v>
      </x:c>
      <x:c r="E42" s="28" t="str">
        <x:v>No</x:v>
      </x:c>
      <x:c r="F42" s="28" t="str">
        <x:v>Yes</x:v>
      </x:c>
      <x:c r="G42" s="24" t="str">
        <x:v>Depresses hyoid or elevates larynx</x:v>
      </x:c>
      <x:c r="H42" s="24" t="str">
        <x:v>Oblique line of thyroid cartilage</x:v>
      </x:c>
      <x:c r="I42" s="24" t="str">
        <x:v>Body/greater horn hyoid bone</x:v>
      </x:c>
      <x:c r="J42" s="24" t="str">
        <x:v>C1 fibers traveling with hypoglossal nerve</x:v>
      </x:c>
      <x:c r="K42" s="24" t="str">
        <x:v>C1 (via CN XII)</x:v>
      </x:c>
      <x:c r="L42" s="24" t="str">
        <x:v>Thyrohyoid short tendon</x:v>
      </x:c>
      <x:c r="M42" s="24" t="str">
        <x:v>Thyrohyoid membrane adjacent</x:v>
      </x:c>
      <x:c r="N42" s="30" t="str">
        <x:v>Not established</x:v>
      </x:c>
      <x:c r="O42" s="30" t="str">
        <x:v>Not established</x:v>
      </x:c>
      <x:c r="P42" s="30" t="str">
        <x:v>Mixed Type I and Type II; ratio unverified</x:v>
      </x:c>
      <x:c r="Q42" s="24" t="str">
        <x:v>Published biopsies insufficient to state a reliable per-muscle percentage; no inference from function</x:v>
      </x:c>
      <x:c r="R42" s="32" t="str">
        <x:v>https://www.kenhub.com/en/library/anatomy/anatomy-of-the-back-spine-and-back-muscles</x:v>
      </x:c>
      <x:c r="S42" s="32" t="str">
        <x:v>https://pubmed.ncbi.nlm.nih.gov/39359186/</x:v>
      </x:c>
    </x:row>
    <x:row r="43" ht="53" customHeight="1">
      <x:c r="A43" s="24" t="str">
        <x:v>Anterior scalene</x:v>
      </x:c>
      <x:c r="B43" s="24" t="str">
        <x:v>Lateral neck</x:v>
      </x:c>
      <x:c r="C43" s="24" t="str">
        <x:v>Flexor; Stabilizer</x:v>
      </x:c>
      <x:c r="D43" s="28" t="str">
        <x:v>Yes</x:v>
      </x:c>
      <x:c r="E43" s="28" t="str">
        <x:v>No</x:v>
      </x:c>
      <x:c r="F43" s="28" t="str">
        <x:v>Yes</x:v>
      </x:c>
      <x:c r="G43" s="24" t="str">
        <x:v>Flexes/laterally flexes neck; elevates rib 1</x:v>
      </x:c>
      <x:c r="H43" s="24" t="str">
        <x:v>Anterior tubercles transverse processes C3-C6</x:v>
      </x:c>
      <x:c r="I43" s="24" t="str">
        <x:v>Scalene tubercle first rib</x:v>
      </x:c>
      <x:c r="J43" s="24" t="str">
        <x:v>Anterior rami cervical spinal nerves</x:v>
      </x:c>
      <x:c r="K43" s="24" t="str">
        <x:v>C4-C6</x:v>
      </x:c>
      <x:c r="L43" s="24" t="str">
        <x:v>Scalene insertion tendon</x:v>
      </x:c>
      <x:c r="M43" s="24" t="str">
        <x:v>Costoclavicular ligament near first rib but distinct attachment</x:v>
      </x:c>
      <x:c r="N43" s="30" t="str">
        <x:v>Not established</x:v>
      </x:c>
      <x:c r="O43" s="30" t="str">
        <x:v>Not established</x:v>
      </x:c>
      <x:c r="P43" s="30" t="str">
        <x:v>Mixed Type I and Type II; ratio unverified</x:v>
      </x:c>
      <x:c r="Q43" s="24" t="str">
        <x:v>Published biopsies insufficient to state a reliable per-muscle percentage; no inference from function</x:v>
      </x:c>
      <x:c r="R43" s="32" t="str">
        <x:v>https://www.kenhub.com/en/library/anatomy/anatomy-of-the-back-spine-and-back-muscles</x:v>
      </x:c>
      <x:c r="S43" s="32" t="str">
        <x:v>https://pubmed.ncbi.nlm.nih.gov/39359186/</x:v>
      </x:c>
    </x:row>
    <x:row r="44" ht="53" customHeight="1">
      <x:c r="A44" s="24" t="str">
        <x:v>Middle scalene</x:v>
      </x:c>
      <x:c r="B44" s="24" t="str">
        <x:v>Lateral neck</x:v>
      </x:c>
      <x:c r="C44" s="24" t="str">
        <x:v>Stabilizer</x:v>
      </x:c>
      <x:c r="D44" s="28" t="str">
        <x:v>No</x:v>
      </x:c>
      <x:c r="E44" s="28" t="str">
        <x:v>No</x:v>
      </x:c>
      <x:c r="F44" s="28" t="str">
        <x:v>Yes</x:v>
      </x:c>
      <x:c r="G44" s="24" t="str">
        <x:v>Laterally flexes neck; elevates rib 1</x:v>
      </x:c>
      <x:c r="H44" s="24" t="str">
        <x:v>Posterior tubercles transverse processes C2-C7</x:v>
      </x:c>
      <x:c r="I44" s="24" t="str">
        <x:v>Superior surface first rib posterior to subclavian groove</x:v>
      </x:c>
      <x:c r="J44" s="24" t="str">
        <x:v>Anterior rami cervical spinal nerves</x:v>
      </x:c>
      <x:c r="K44" s="24" t="str">
        <x:v>C3-C8</x:v>
      </x:c>
      <x:c r="L44" s="24" t="str">
        <x:v>Costal insertion tendon</x:v>
      </x:c>
      <x:c r="M44" s="24" t="str">
        <x:v>Costotransverse ligaments near rib origin region</x:v>
      </x:c>
      <x:c r="N44" s="30" t="str">
        <x:v>Not established</x:v>
      </x:c>
      <x:c r="O44" s="30" t="str">
        <x:v>Not established</x:v>
      </x:c>
      <x:c r="P44" s="30" t="str">
        <x:v>Mixed Type I and Type II; ratio unverified</x:v>
      </x:c>
      <x:c r="Q44" s="24" t="str">
        <x:v>Published biopsies insufficient to state a reliable per-muscle percentage; no inference from function</x:v>
      </x:c>
      <x:c r="R44" s="32" t="str">
        <x:v>https://www.kenhub.com/en/library/anatomy/anatomy-of-the-back-spine-and-back-muscles</x:v>
      </x:c>
      <x:c r="S44" s="32" t="str">
        <x:v>https://pubmed.ncbi.nlm.nih.gov/39359186/</x:v>
      </x:c>
    </x:row>
    <x:row r="45" ht="53" customHeight="1">
      <x:c r="A45" s="24" t="str">
        <x:v>Posterior scalene</x:v>
      </x:c>
      <x:c r="B45" s="24" t="str">
        <x:v>Lateral neck</x:v>
      </x:c>
      <x:c r="C45" s="24" t="str">
        <x:v>Stabilizer</x:v>
      </x:c>
      <x:c r="D45" s="28" t="str">
        <x:v>No</x:v>
      </x:c>
      <x:c r="E45" s="28" t="str">
        <x:v>No</x:v>
      </x:c>
      <x:c r="F45" s="28" t="str">
        <x:v>Yes</x:v>
      </x:c>
      <x:c r="G45" s="24" t="str">
        <x:v>Laterally flexes neck; elevates rib 2</x:v>
      </x:c>
      <x:c r="H45" s="24" t="str">
        <x:v>Posterior tubercles transverse processes C4-C6</x:v>
      </x:c>
      <x:c r="I45" s="24" t="str">
        <x:v>Outer second rib</x:v>
      </x:c>
      <x:c r="J45" s="24" t="str">
        <x:v>Anterior rami cervical spinal nerves</x:v>
      </x:c>
      <x:c r="K45" s="24" t="str">
        <x:v>C6-C8</x:v>
      </x:c>
      <x:c r="L45" s="24" t="str">
        <x:v>Costal insertion tendon</x:v>
      </x:c>
      <x:c r="M45" s="24" t="str">
        <x:v>No specific direct ligament attachment</x:v>
      </x:c>
      <x:c r="N45" s="30" t="str">
        <x:v>Not established</x:v>
      </x:c>
      <x:c r="O45" s="30" t="str">
        <x:v>Not established</x:v>
      </x:c>
      <x:c r="P45" s="30" t="str">
        <x:v>Mixed Type I and Type II; ratio unverified</x:v>
      </x:c>
      <x:c r="Q45" s="24" t="str">
        <x:v>Published biopsies insufficient to state a reliable per-muscle percentage; no inference from function</x:v>
      </x:c>
      <x:c r="R45" s="32" t="str">
        <x:v>https://www.kenhub.com/en/library/anatomy/anatomy-of-the-back-spine-and-back-muscles</x:v>
      </x:c>
      <x:c r="S45" s="32" t="str">
        <x:v>https://pubmed.ncbi.nlm.nih.gov/39359186/</x:v>
      </x:c>
    </x:row>
    <x:row r="46" ht="53" customHeight="1">
      <x:c r="A46" s="24" t="str">
        <x:v>Scalenus minimus (variable)</x:v>
      </x:c>
      <x:c r="B46" s="24" t="str">
        <x:v>Lateral neck accessory</x:v>
      </x:c>
      <x:c r="C46" s="24" t="str">
        <x:v>Stabilizer</x:v>
      </x:c>
      <x:c r="D46" s="28" t="str">
        <x:v>No</x:v>
      </x:c>
      <x:c r="E46" s="28" t="str">
        <x:v>No</x:v>
      </x:c>
      <x:c r="F46" s="28" t="str">
        <x:v>Yes</x:v>
      </x:c>
      <x:c r="G46" s="24" t="str">
        <x:v>Accessory rib elevation, pleural dome tension</x:v>
      </x:c>
      <x:c r="H46" s="24" t="str">
        <x:v>Transverse processes C6-C7</x:v>
      </x:c>
      <x:c r="I46" s="24" t="str">
        <x:v>First rib / pleural dome (suprapleural membrane)</x:v>
      </x:c>
      <x:c r="J46" s="24" t="str">
        <x:v>Anterior rami cervical nerves</x:v>
      </x:c>
      <x:c r="K46" s="24" t="str">
        <x:v>C7-C8 (variable)</x:v>
      </x:c>
      <x:c r="L46" s="24" t="str">
        <x:v>Short fibrous slip to first rib</x:v>
      </x:c>
      <x:c r="M46" s="24" t="str">
        <x:v>Sibson fascia/suprapleural membrane related; frequently absent</x:v>
      </x:c>
      <x:c r="N46" s="30" t="str">
        <x:v>Not established</x:v>
      </x:c>
      <x:c r="O46" s="30" t="str">
        <x:v>Not established</x:v>
      </x:c>
      <x:c r="P46" s="30" t="str">
        <x:v>Mixed Type I and Type II; ratio unverified</x:v>
      </x:c>
      <x:c r="Q46" s="24" t="str">
        <x:v>Published biopsies insufficient to state a reliable per-muscle percentage; no inference from function</x:v>
      </x:c>
      <x:c r="R46" s="32" t="str">
        <x:v>https://www.kenhub.com/en/library/anatomy/anatomy-of-the-back-spine-and-back-muscles</x:v>
      </x:c>
      <x:c r="S46" s="32" t="str">
        <x:v>https://pubmed.ncbi.nlm.nih.gov/39359186/</x:v>
      </x:c>
    </x:row>
    <x:row r="47" ht="53" customHeight="1">
      <x:c r="A47" s="24" t="str">
        <x:v>Splenius capitis</x:v>
      </x:c>
      <x:c r="B47" s="24" t="str">
        <x:v>Posterior neck superficial intrinsic</x:v>
      </x:c>
      <x:c r="C47" s="24" t="str">
        <x:v>Extensor; Stabilizer</x:v>
      </x:c>
      <x:c r="D47" s="28" t="str">
        <x:v>No</x:v>
      </x:c>
      <x:c r="E47" s="28" t="str">
        <x:v>Yes</x:v>
      </x:c>
      <x:c r="F47" s="28" t="str">
        <x:v>Yes</x:v>
      </x:c>
      <x:c r="G47" s="24" t="str">
        <x:v>Extends head; ipsilateral rotation/lateral flexion</x:v>
      </x:c>
      <x:c r="H47" s="24" t="str">
        <x:v>Lower nuchal ligament and spinous processes C7-T3/4</x:v>
      </x:c>
      <x:c r="I47" s="24" t="str">
        <x:v>Mastoid process and lateral superior nuchal line</x:v>
      </x:c>
      <x:c r="J47" s="24" t="str">
        <x:v>Posterior rami cervical spinal nerves</x:v>
      </x:c>
      <x:c r="K47" s="24" t="str">
        <x:v>C3-C6 (variable)</x:v>
      </x:c>
      <x:c r="L47" s="24" t="str">
        <x:v>Flat occipital/mastoid insertion tendon</x:v>
      </x:c>
      <x:c r="M47" s="24" t="str">
        <x:v>Nuchal ligament direct origin</x:v>
      </x:c>
      <x:c r="N47" s="30" t="str">
        <x:v>Not established</x:v>
      </x:c>
      <x:c r="O47" s="30" t="str">
        <x:v>Not established</x:v>
      </x:c>
      <x:c r="P47" s="30" t="str">
        <x:v>Mixed Type I and Type II; ratio unverified</x:v>
      </x:c>
      <x:c r="Q47" s="24" t="str">
        <x:v>Published biopsies insufficient to state a reliable per-muscle percentage; no inference from function</x:v>
      </x:c>
      <x:c r="R47" s="32" t="str">
        <x:v>https://www.kenhub.com/en/library/anatomy/anatomy-of-the-back-spine-and-back-muscles</x:v>
      </x:c>
      <x:c r="S47" s="32" t="str">
        <x:v>https://pubmed.ncbi.nlm.nih.gov/39359186/</x:v>
      </x:c>
    </x:row>
    <x:row r="48" ht="53" customHeight="1">
      <x:c r="A48" s="24" t="str">
        <x:v>Splenius cervicis</x:v>
      </x:c>
      <x:c r="B48" s="24" t="str">
        <x:v>Posterior neck superficial intrinsic</x:v>
      </x:c>
      <x:c r="C48" s="24" t="str">
        <x:v>Extensor; Stabilizer</x:v>
      </x:c>
      <x:c r="D48" s="28" t="str">
        <x:v>No</x:v>
      </x:c>
      <x:c r="E48" s="28" t="str">
        <x:v>Yes</x:v>
      </x:c>
      <x:c r="F48" s="28" t="str">
        <x:v>Yes</x:v>
      </x:c>
      <x:c r="G48" s="24" t="str">
        <x:v>Extends/ipsilaterally rotates cervical spine</x:v>
      </x:c>
      <x:c r="H48" s="24" t="str">
        <x:v>Spinous processes T3-T6</x:v>
      </x:c>
      <x:c r="I48" s="24" t="str">
        <x:v>Posterior tubercles transverse processes C1-C3/4</x:v>
      </x:c>
      <x:c r="J48" s="24" t="str">
        <x:v>Posterior rami cervical spinal nerves</x:v>
      </x:c>
      <x:c r="K48" s="24" t="str">
        <x:v>C5-C8 (segmental)</x:v>
      </x:c>
      <x:c r="L48" s="24" t="str">
        <x:v>Small fascicular tendons</x:v>
      </x:c>
      <x:c r="M48" s="24" t="str">
        <x:v>Nuchal ligament near superior fascicles</x:v>
      </x:c>
      <x:c r="N48" s="30" t="str">
        <x:v>Not established</x:v>
      </x:c>
      <x:c r="O48" s="30" t="str">
        <x:v>Not established</x:v>
      </x:c>
      <x:c r="P48" s="30" t="str">
        <x:v>Mixed Type I and Type II; ratio unverified</x:v>
      </x:c>
      <x:c r="Q48" s="24" t="str">
        <x:v>Published biopsies insufficient to state a reliable per-muscle percentage; no inference from function</x:v>
      </x:c>
      <x:c r="R48" s="32" t="str">
        <x:v>https://www.kenhub.com/en/library/anatomy/anatomy-of-the-back-spine-and-back-muscles</x:v>
      </x:c>
      <x:c r="S48" s="32" t="str">
        <x:v>https://pubmed.ncbi.nlm.nih.gov/39359186/</x:v>
      </x:c>
    </x:row>
    <x:row r="49" ht="53" customHeight="1">
      <x:c r="A49" s="24" t="str">
        <x:v>Rectus capitis anterior</x:v>
      </x:c>
      <x:c r="B49" s="24" t="str">
        <x:v>Prevertebral</x:v>
      </x:c>
      <x:c r="C49" s="24" t="str">
        <x:v>Flexor; Stabilizer</x:v>
      </x:c>
      <x:c r="D49" s="28" t="str">
        <x:v>Yes</x:v>
      </x:c>
      <x:c r="E49" s="28" t="str">
        <x:v>No</x:v>
      </x:c>
      <x:c r="F49" s="28" t="str">
        <x:v>Yes</x:v>
      </x:c>
      <x:c r="G49" s="24" t="str">
        <x:v>Flexes/stabilizes head</x:v>
      </x:c>
      <x:c r="H49" s="24" t="str">
        <x:v>Lateral mass/anterior transverse process C1</x:v>
      </x:c>
      <x:c r="I49" s="24" t="str">
        <x:v>Basilar occipital bone anterior to condyle</x:v>
      </x:c>
      <x:c r="J49" s="24" t="str">
        <x:v>Anterior rami C1-C2</x:v>
      </x:c>
      <x:c r="K49" s="24" t="str">
        <x:v>C1-C2</x:v>
      </x:c>
      <x:c r="L49" s="24" t="str">
        <x:v>Short cranial insertion tendon</x:v>
      </x:c>
      <x:c r="M49" s="24" t="str">
        <x:v>Anterior atlanto-occipital membrane adjacent</x:v>
      </x:c>
      <x:c r="N49" s="30" t="str">
        <x:v>Not established</x:v>
      </x:c>
      <x:c r="O49" s="30" t="str">
        <x:v>Not established</x:v>
      </x:c>
      <x:c r="P49" s="30" t="str">
        <x:v>Mixed Type I and Type II; ratio unverified</x:v>
      </x:c>
      <x:c r="Q49" s="24" t="str">
        <x:v>Published biopsies insufficient to state a reliable per-muscle percentage; no inference from function</x:v>
      </x:c>
      <x:c r="R49" s="32" t="str">
        <x:v>https://www.kenhub.com/en/library/anatomy/anatomy-of-the-back-spine-and-back-muscles</x:v>
      </x:c>
      <x:c r="S49" s="32" t="str">
        <x:v>https://pubmed.ncbi.nlm.nih.gov/39359186/</x:v>
      </x:c>
    </x:row>
    <x:row r="50" ht="53" customHeight="1">
      <x:c r="A50" s="24" t="str">
        <x:v>Rectus capitis lateralis</x:v>
      </x:c>
      <x:c r="B50" s="24" t="str">
        <x:v>Prevertebral</x:v>
      </x:c>
      <x:c r="C50" s="24" t="str">
        <x:v>Stabilizer</x:v>
      </x:c>
      <x:c r="D50" s="28" t="str">
        <x:v>No</x:v>
      </x:c>
      <x:c r="E50" s="28" t="str">
        <x:v>No</x:v>
      </x:c>
      <x:c r="F50" s="28" t="str">
        <x:v>Yes</x:v>
      </x:c>
      <x:c r="G50" s="24" t="str">
        <x:v>Lateral flexion and head stabilization</x:v>
      </x:c>
      <x:c r="H50" s="24" t="str">
        <x:v>Transverse process C1</x:v>
      </x:c>
      <x:c r="I50" s="24" t="str">
        <x:v>Jugular process occipital bone</x:v>
      </x:c>
      <x:c r="J50" s="24" t="str">
        <x:v>Anterior rami C1-C2</x:v>
      </x:c>
      <x:c r="K50" s="24" t="str">
        <x:v>C1-C2</x:v>
      </x:c>
      <x:c r="L50" s="24" t="str">
        <x:v>Short cranial insertion tendon</x:v>
      </x:c>
      <x:c r="M50" s="24" t="str">
        <x:v>Lateral atlanto-occipital ligament adjacent</x:v>
      </x:c>
      <x:c r="N50" s="30" t="str">
        <x:v>Not established</x:v>
      </x:c>
      <x:c r="O50" s="30" t="str">
        <x:v>Not established</x:v>
      </x:c>
      <x:c r="P50" s="30" t="str">
        <x:v>Mixed Type I and Type II; ratio unverified</x:v>
      </x:c>
      <x:c r="Q50" s="24" t="str">
        <x:v>Published biopsies insufficient to state a reliable per-muscle percentage; no inference from function</x:v>
      </x:c>
      <x:c r="R50" s="32" t="str">
        <x:v>https://www.kenhub.com/en/library/anatomy/anatomy-of-the-back-spine-and-back-muscles</x:v>
      </x:c>
      <x:c r="S50" s="32" t="str">
        <x:v>https://pubmed.ncbi.nlm.nih.gov/39359186/</x:v>
      </x:c>
    </x:row>
    <x:row r="51" ht="53" customHeight="1">
      <x:c r="A51" s="24" t="str">
        <x:v>Obliquus capitis inferior</x:v>
      </x:c>
      <x:c r="B51" s="24" t="str">
        <x:v>Suboccipital</x:v>
      </x:c>
      <x:c r="C51" s="24" t="str">
        <x:v>Stabilizer</x:v>
      </x:c>
      <x:c r="D51" s="28" t="str">
        <x:v>No</x:v>
      </x:c>
      <x:c r="E51" s="28" t="str">
        <x:v>No</x:v>
      </x:c>
      <x:c r="F51" s="28" t="str">
        <x:v>Yes</x:v>
      </x:c>
      <x:c r="G51" s="24" t="str">
        <x:v>Rotates atlas/head ipsilaterally</x:v>
      </x:c>
      <x:c r="H51" s="24" t="str">
        <x:v>Spinous process C2</x:v>
      </x:c>
      <x:c r="I51" s="24" t="str">
        <x:v>Transverse process C1</x:v>
      </x:c>
      <x:c r="J51" s="24" t="str">
        <x:v>Suboccipital nerve (posterior ramus C1)</x:v>
      </x:c>
      <x:c r="K51" s="24" t="str">
        <x:v>C1</x:v>
      </x:c>
      <x:c r="L51" s="24" t="str">
        <x:v>Short C1 transverse process insertion tendon</x:v>
      </x:c>
      <x:c r="M51" s="24" t="str">
        <x:v>Posterior atlanto-axial membrane nearby</x:v>
      </x:c>
      <x:c r="N51" s="30" t="str">
        <x:v>Not established</x:v>
      </x:c>
      <x:c r="O51" s="30" t="str">
        <x:v>Not established</x:v>
      </x:c>
      <x:c r="P51" s="30" t="str">
        <x:v>Mixed Type I and Type II; ratio unverified</x:v>
      </x:c>
      <x:c r="Q51" s="24" t="str">
        <x:v>Published biopsies insufficient to state a reliable per-muscle percentage; no inference from function</x:v>
      </x:c>
      <x:c r="R51" s="32" t="str">
        <x:v>https://www.kenhub.com/en/library/anatomy/anatomy-of-the-back-spine-and-back-muscles</x:v>
      </x:c>
      <x:c r="S51" s="32" t="str">
        <x:v>https://pubmed.ncbi.nlm.nih.gov/39359186/</x:v>
      </x:c>
    </x:row>
    <x:row r="52" ht="53" customHeight="1">
      <x:c r="A52" s="24" t="str">
        <x:v>Obliquus capitis superior</x:v>
      </x:c>
      <x:c r="B52" s="24" t="str">
        <x:v>Suboccipital</x:v>
      </x:c>
      <x:c r="C52" s="24" t="str">
        <x:v>Extensor; Stabilizer</x:v>
      </x:c>
      <x:c r="D52" s="28" t="str">
        <x:v>No</x:v>
      </x:c>
      <x:c r="E52" s="28" t="str">
        <x:v>Yes</x:v>
      </x:c>
      <x:c r="F52" s="28" t="str">
        <x:v>Yes</x:v>
      </x:c>
      <x:c r="G52" s="24" t="str">
        <x:v>Extends and laterally flexes head</x:v>
      </x:c>
      <x:c r="H52" s="24" t="str">
        <x:v>Transverse process C1</x:v>
      </x:c>
      <x:c r="I52" s="24" t="str">
        <x:v>Occipital bone between superior and inferior nuchal lines</x:v>
      </x:c>
      <x:c r="J52" s="24" t="str">
        <x:v>Suboccipital nerve (posterior ramus C1)</x:v>
      </x:c>
      <x:c r="K52" s="24" t="str">
        <x:v>C1</x:v>
      </x:c>
      <x:c r="L52" s="24" t="str">
        <x:v>Short occipital insertion tendon</x:v>
      </x:c>
      <x:c r="M52" s="24" t="str">
        <x:v>Posterior atlanto-occipital membrane adjacent</x:v>
      </x:c>
      <x:c r="N52" s="30" t="str">
        <x:v>Not established</x:v>
      </x:c>
      <x:c r="O52" s="30" t="str">
        <x:v>Not established</x:v>
      </x:c>
      <x:c r="P52" s="30" t="str">
        <x:v>Mixed Type I and Type II; ratio unverified</x:v>
      </x:c>
      <x:c r="Q52" s="24" t="str">
        <x:v>Published biopsies insufficient to state a reliable per-muscle percentage; no inference from function</x:v>
      </x:c>
      <x:c r="R52" s="32" t="str">
        <x:v>https://www.kenhub.com/en/library/anatomy/anatomy-of-the-back-spine-and-back-muscles</x:v>
      </x:c>
      <x:c r="S52" s="32" t="str">
        <x:v>https://pubmed.ncbi.nlm.nih.gov/39359186/</x:v>
      </x:c>
    </x:row>
    <x:row r="53" ht="53" customHeight="1">
      <x:c r="A53" s="24" t="str">
        <x:v>Rectus capitis posterior major</x:v>
      </x:c>
      <x:c r="B53" s="24" t="str">
        <x:v>Suboccipital</x:v>
      </x:c>
      <x:c r="C53" s="24" t="str">
        <x:v>Extensor; Stabilizer</x:v>
      </x:c>
      <x:c r="D53" s="28" t="str">
        <x:v>No</x:v>
      </x:c>
      <x:c r="E53" s="28" t="str">
        <x:v>Yes</x:v>
      </x:c>
      <x:c r="F53" s="28" t="str">
        <x:v>Yes</x:v>
      </x:c>
      <x:c r="G53" s="24" t="str">
        <x:v>Extends and ipsilaterally rotates head</x:v>
      </x:c>
      <x:c r="H53" s="24" t="str">
        <x:v>Spinous process C2</x:v>
      </x:c>
      <x:c r="I53" s="24" t="str">
        <x:v>Lateral inferior nuchal line occiput</x:v>
      </x:c>
      <x:c r="J53" s="24" t="str">
        <x:v>Suboccipital nerve (posterior ramus C1)</x:v>
      </x:c>
      <x:c r="K53" s="24" t="str">
        <x:v>C1</x:v>
      </x:c>
      <x:c r="L53" s="24" t="str">
        <x:v>Occipital insertion tendon</x:v>
      </x:c>
      <x:c r="M53" s="24" t="str">
        <x:v>Posterior atlanto-occipital membrane nearby</x:v>
      </x:c>
      <x:c r="N53" s="30" t="str">
        <x:v>Not established</x:v>
      </x:c>
      <x:c r="O53" s="30" t="str">
        <x:v>Not established</x:v>
      </x:c>
      <x:c r="P53" s="30" t="str">
        <x:v>Mixed Type I and Type II; ratio unverified</x:v>
      </x:c>
      <x:c r="Q53" s="24" t="str">
        <x:v>Published biopsies insufficient to state a reliable per-muscle percentage; no inference from function</x:v>
      </x:c>
      <x:c r="R53" s="32" t="str">
        <x:v>https://www.kenhub.com/en/library/anatomy/anatomy-of-the-back-spine-and-back-muscles</x:v>
      </x:c>
      <x:c r="S53" s="32" t="str">
        <x:v>https://pubmed.ncbi.nlm.nih.gov/39359186/</x:v>
      </x:c>
    </x:row>
    <x:row r="54" ht="53" customHeight="1">
      <x:c r="A54" s="24" t="str">
        <x:v>Rectus capitis posterior minor</x:v>
      </x:c>
      <x:c r="B54" s="24" t="str">
        <x:v>Suboccipital</x:v>
      </x:c>
      <x:c r="C54" s="24" t="str">
        <x:v>Extensor; Stabilizer</x:v>
      </x:c>
      <x:c r="D54" s="28" t="str">
        <x:v>No</x:v>
      </x:c>
      <x:c r="E54" s="28" t="str">
        <x:v>Yes</x:v>
      </x:c>
      <x:c r="F54" s="28" t="str">
        <x:v>Yes</x:v>
      </x:c>
      <x:c r="G54" s="24" t="str">
        <x:v>Extends head; atlanto-occipital stabilization</x:v>
      </x:c>
      <x:c r="H54" s="24" t="str">
        <x:v>Posterior tubercle C1</x:v>
      </x:c>
      <x:c r="I54" s="24" t="str">
        <x:v>Medial inferior nuchal line occiput</x:v>
      </x:c>
      <x:c r="J54" s="24" t="str">
        <x:v>Suboccipital nerve (posterior ramus C1)</x:v>
      </x:c>
      <x:c r="K54" s="24" t="str">
        <x:v>C1</x:v>
      </x:c>
      <x:c r="L54" s="24" t="str">
        <x:v>Short occipital tendon</x:v>
      </x:c>
      <x:c r="M54" s="24" t="str">
        <x:v>Posterior atlanto-occipital membrane blends with fascia near muscle</x:v>
      </x:c>
      <x:c r="N54" s="30" t="str">
        <x:v>Not established</x:v>
      </x:c>
      <x:c r="O54" s="30" t="str">
        <x:v>Not established</x:v>
      </x:c>
      <x:c r="P54" s="30" t="str">
        <x:v>Mixed Type I and Type II; ratio unverified</x:v>
      </x:c>
      <x:c r="Q54" s="24" t="str">
        <x:v>Published biopsies insufficient to state a reliable per-muscle percentage; no inference from function</x:v>
      </x:c>
      <x:c r="R54" s="32" t="str">
        <x:v>https://www.kenhub.com/en/library/anatomy/anatomy-of-the-back-spine-and-back-muscles</x:v>
      </x:c>
      <x:c r="S54" s="32" t="str">
        <x:v>https://pubmed.ncbi.nlm.nih.gov/39359186/</x:v>
      </x:c>
    </x:row>
    <x:row r="55" ht="53" customHeight="1">
      <x:c r="A55" s="24" t="str">
        <x:v>Sternocleidomastoid clavicular head</x:v>
      </x:c>
      <x:c r="B55" s="24" t="str">
        <x:v>Superficial anterior neck</x:v>
      </x:c>
      <x:c r="C55" s="24" t="str">
        <x:v>Flexor; Stabilizer</x:v>
      </x:c>
      <x:c r="D55" s="28" t="str">
        <x:v>Yes</x:v>
      </x:c>
      <x:c r="E55" s="28" t="str">
        <x:v>No</x:v>
      </x:c>
      <x:c r="F55" s="28" t="str">
        <x:v>Yes</x:v>
      </x:c>
      <x:c r="G55" s="24" t="str">
        <x:v>Head/neck rotation and flexion, accessory inspiration</x:v>
      </x:c>
      <x:c r="H55" s="24" t="str">
        <x:v>Medial third superior clavicle</x:v>
      </x:c>
      <x:c r="I55" s="24" t="str">
        <x:v>Mastoid process and lateral superior nuchal line</x:v>
      </x:c>
      <x:c r="J55" s="24" t="str">
        <x:v>Accessory nerve CN XI; C2-C3 proprioception</x:v>
      </x:c>
      <x:c r="K55" s="24" t="str">
        <x:v>CN XI motor (spinal nucleus C1-C5); C2-C3 sensory</x:v>
      </x:c>
      <x:c r="L55" s="24" t="str">
        <x:v>Clavicular aponeurosis/mastoid tendon</x:v>
      </x:c>
      <x:c r="M55" s="24" t="str">
        <x:v>Costoclavicular ligament nearby</x:v>
      </x:c>
      <x:c r="N55" s="30" t="str">
        <x:v>Not established</x:v>
      </x:c>
      <x:c r="O55" s="30" t="str">
        <x:v>Not established</x:v>
      </x:c>
      <x:c r="P55" s="30" t="str">
        <x:v>Mixed Type I and Type II; ratio unverified</x:v>
      </x:c>
      <x:c r="Q55" s="24" t="str">
        <x:v>Published biopsies insufficient to state a reliable per-muscle percentage; no inference from function</x:v>
      </x:c>
      <x:c r="R55" s="32" t="str">
        <x:v>https://www.kenhub.com/en/library/anatomy/anatomy-of-the-back-spine-and-back-muscles</x:v>
      </x:c>
      <x:c r="S55" s="32" t="str">
        <x:v>https://pubmed.ncbi.nlm.nih.gov/39359186/</x:v>
      </x:c>
    </x:row>
    <x:row r="56" ht="53" customHeight="1">
      <x:c r="A56" s="24" t="str">
        <x:v>Sternocleidomastoid sternal head</x:v>
      </x:c>
      <x:c r="B56" s="24" t="str">
        <x:v>Superficial anterior neck</x:v>
      </x:c>
      <x:c r="C56" s="24" t="str">
        <x:v>Flexor; Stabilizer</x:v>
      </x:c>
      <x:c r="D56" s="28" t="str">
        <x:v>Yes</x:v>
      </x:c>
      <x:c r="E56" s="28" t="str">
        <x:v>No</x:v>
      </x:c>
      <x:c r="F56" s="28" t="str">
        <x:v>Yes</x:v>
      </x:c>
      <x:c r="G56" s="24" t="str">
        <x:v>Unilateral ipsilateral lateral flexion/contralateral rotation; bilateral neck flexion</x:v>
      </x:c>
      <x:c r="H56" s="24" t="str">
        <x:v>Anterior manubrium sternum</x:v>
      </x:c>
      <x:c r="I56" s="24" t="str">
        <x:v>Mastoid process and lateral superior nuchal line</x:v>
      </x:c>
      <x:c r="J56" s="24" t="str">
        <x:v>Accessory nerve CN XI motor; C2-C3 proprioception</x:v>
      </x:c>
      <x:c r="K56" s="24" t="str">
        <x:v>CN XI motor (spinal nucleus C1-C5); C2-C3 sensory</x:v>
      </x:c>
      <x:c r="L56" s="24" t="str">
        <x:v>Sternal tendon and mastoid aponeurosis</x:v>
      </x:c>
      <x:c r="M56" s="24" t="str">
        <x:v>Sternoclavicular ligament nearby, not direct attachment</x:v>
      </x:c>
      <x:c r="N56" s="30" t="str">
        <x:v>Not established</x:v>
      </x:c>
      <x:c r="O56" s="30" t="str">
        <x:v>Not established</x:v>
      </x:c>
      <x:c r="P56" s="30" t="str">
        <x:v>Mixed Type I and Type II; ratio unverified</x:v>
      </x:c>
      <x:c r="Q56" s="24" t="str">
        <x:v>Published biopsies insufficient to state a reliable per-muscle percentage; no inference from function</x:v>
      </x:c>
      <x:c r="R56" s="32" t="str">
        <x:v>https://www.kenhub.com/en/library/anatomy/anatomy-of-the-back-spine-and-back-muscles</x:v>
      </x:c>
      <x:c r="S56" s="32" t="str">
        <x:v>https://pubmed.ncbi.nlm.nih.gov/39359186/</x:v>
      </x:c>
    </x:row>
    <x:row r="57" ht="53" customHeight="1">
      <x:c r="A57" s="24" t="str">
        <x:v>Platysma</x:v>
      </x:c>
      <x:c r="B57" s="24" t="str">
        <x:v>Superficial cervical / expression</x:v>
      </x:c>
      <x:c r="C57" s="24" t="str">
        <x:v>Other</x:v>
      </x:c>
      <x:c r="D57" s="28" t="str">
        <x:v>No</x:v>
      </x:c>
      <x:c r="E57" s="28" t="str">
        <x:v>No</x:v>
      </x:c>
      <x:c r="F57" s="28" t="str">
        <x:v>No</x:v>
      </x:c>
      <x:c r="G57" s="24" t="str">
        <x:v>Tenses neck skin; depresses mandibular angle/lower lip</x:v>
      </x:c>
      <x:c r="H57" s="24" t="str">
        <x:v>Superficial fascia upper chest and shoulder</x:v>
      </x:c>
      <x:c r="I57" s="24" t="str">
        <x:v>Mandibular border and skin lower face</x:v>
      </x:c>
      <x:c r="J57" s="24" t="str">
        <x:v>Cervical branch facial nerve (CN VII)</x:v>
      </x:c>
      <x:c r="K57" s="24" t="str">
        <x:v>CN VII; no spinal motor root</x:v>
      </x:c>
      <x:c r="L57" s="24" t="str">
        <x:v>Dermal fascial attachments without long tendon</x:v>
      </x:c>
      <x:c r="M57" s="24" t="str">
        <x:v>No direct ligament attachment</x:v>
      </x:c>
      <x:c r="N57" s="30" t="str">
        <x:v>Not established</x:v>
      </x:c>
      <x:c r="O57" s="30" t="str">
        <x:v>Not established</x:v>
      </x:c>
      <x:c r="P57" s="30" t="str">
        <x:v>Mixed Type I and Type II; ratio unverified</x:v>
      </x:c>
      <x:c r="Q57" s="24" t="str">
        <x:v>Published biopsies insufficient to state a reliable per-muscle percentage; no inference from function</x:v>
      </x:c>
      <x:c r="R57" s="32" t="str">
        <x:v>https://www.kenhub.com/en/library/anatomy/anatomy-of-the-back-spine-and-back-muscles</x:v>
      </x:c>
      <x:c r="S57" s="32" t="str">
        <x:v>https://pubmed.ncbi.nlm.nih.gov/39359186/</x:v>
      </x:c>
    </x:row>
    <x:row r="58" ht="53" customHeight="1">
      <x:c r="A58" s="24" t="str">
        <x:v>Digastric anterior belly</x:v>
      </x:c>
      <x:c r="B58" s="24" t="str">
        <x:v>Suprahyoid</x:v>
      </x:c>
      <x:c r="C58" s="24" t="str">
        <x:v>Flexor; Stabilizer</x:v>
      </x:c>
      <x:c r="D58" s="28" t="str">
        <x:v>Yes</x:v>
      </x:c>
      <x:c r="E58" s="28" t="str">
        <x:v>No</x:v>
      </x:c>
      <x:c r="F58" s="28" t="str">
        <x:v>Yes</x:v>
      </x:c>
      <x:c r="G58" s="24" t="str">
        <x:v>Depresses mandible/elevates hyoid</x:v>
      </x:c>
      <x:c r="H58" s="24" t="str">
        <x:v>Digastric fossa of mandible</x:v>
      </x:c>
      <x:c r="I58" s="24" t="str">
        <x:v>Intermediate tendon attached to hyoid by fascial loop</x:v>
      </x:c>
      <x:c r="J58" s="24" t="str">
        <x:v>Nerve to mylohyoid (V3)</x:v>
      </x:c>
      <x:c r="K58" s="24" t="str">
        <x:v>CN V3; no spinal root</x:v>
      </x:c>
      <x:c r="L58" s="24" t="str">
        <x:v>Digastric intermediate tendon</x:v>
      </x:c>
      <x:c r="M58" s="24" t="str">
        <x:v>Fibrous sling to hyoid (not independent ligament)</x:v>
      </x:c>
      <x:c r="N58" s="30" t="str">
        <x:v>Not established</x:v>
      </x:c>
      <x:c r="O58" s="30" t="str">
        <x:v>Not established</x:v>
      </x:c>
      <x:c r="P58" s="30" t="str">
        <x:v>Mixed Type I and Type II; ratio unverified</x:v>
      </x:c>
      <x:c r="Q58" s="24" t="str">
        <x:v>Published biopsies insufficient to state a reliable per-muscle percentage; no inference from function</x:v>
      </x:c>
      <x:c r="R58" s="32" t="str">
        <x:v>https://www.kenhub.com/en/library/anatomy/anatomy-of-the-back-spine-and-back-muscles</x:v>
      </x:c>
      <x:c r="S58" s="32" t="str">
        <x:v>https://pubmed.ncbi.nlm.nih.gov/39359186/</x:v>
      </x:c>
    </x:row>
    <x:row r="59" ht="53" customHeight="1">
      <x:c r="A59" s="24" t="str">
        <x:v>Digastric posterior belly</x:v>
      </x:c>
      <x:c r="B59" s="24" t="str">
        <x:v>Suprahyoid</x:v>
      </x:c>
      <x:c r="C59" s="24" t="str">
        <x:v>Stabilizer</x:v>
      </x:c>
      <x:c r="D59" s="28" t="str">
        <x:v>No</x:v>
      </x:c>
      <x:c r="E59" s="28" t="str">
        <x:v>No</x:v>
      </x:c>
      <x:c r="F59" s="28" t="str">
        <x:v>Yes</x:v>
      </x:c>
      <x:c r="G59" s="24" t="str">
        <x:v>Elevates/retracts hyoid</x:v>
      </x:c>
      <x:c r="H59" s="24" t="str">
        <x:v>Mastoid notch temporal bone</x:v>
      </x:c>
      <x:c r="I59" s="24" t="str">
        <x:v>Intermediate tendon near hyoid</x:v>
      </x:c>
      <x:c r="J59" s="24" t="str">
        <x:v>Facial nerve (CN VII)</x:v>
      </x:c>
      <x:c r="K59" s="24" t="str">
        <x:v>CN VII; no spinal root</x:v>
      </x:c>
      <x:c r="L59" s="24" t="str">
        <x:v>Digastric intermediate tendon</x:v>
      </x:c>
      <x:c r="M59" s="24" t="str">
        <x:v>Fibrous hyoid sling</x:v>
      </x:c>
      <x:c r="N59" s="30" t="str">
        <x:v>Not established</x:v>
      </x:c>
      <x:c r="O59" s="30" t="str">
        <x:v>Not established</x:v>
      </x:c>
      <x:c r="P59" s="30" t="str">
        <x:v>Mixed Type I and Type II; ratio unverified</x:v>
      </x:c>
      <x:c r="Q59" s="24" t="str">
        <x:v>Published biopsies insufficient to state a reliable per-muscle percentage; no inference from function</x:v>
      </x:c>
      <x:c r="R59" s="32" t="str">
        <x:v>https://www.kenhub.com/en/library/anatomy/anatomy-of-the-back-spine-and-back-muscles</x:v>
      </x:c>
      <x:c r="S59" s="32" t="str">
        <x:v>https://pubmed.ncbi.nlm.nih.gov/39359186/</x:v>
      </x:c>
    </x:row>
    <x:row r="60" ht="53" customHeight="1">
      <x:c r="A60" s="24" t="str">
        <x:v>Stylohyoid</x:v>
      </x:c>
      <x:c r="B60" s="24" t="str">
        <x:v>Suprahyoid</x:v>
      </x:c>
      <x:c r="C60" s="24" t="str">
        <x:v>Stabilizer</x:v>
      </x:c>
      <x:c r="D60" s="28" t="str">
        <x:v>No</x:v>
      </x:c>
      <x:c r="E60" s="28" t="str">
        <x:v>No</x:v>
      </x:c>
      <x:c r="F60" s="28" t="str">
        <x:v>Yes</x:v>
      </x:c>
      <x:c r="G60" s="24" t="str">
        <x:v>Retracts/elevates hyoid during swallowing</x:v>
      </x:c>
      <x:c r="H60" s="24" t="str">
        <x:v>Styloid process temporal bone</x:v>
      </x:c>
      <x:c r="I60" s="24" t="str">
        <x:v>Body hyoid near greater horn</x:v>
      </x:c>
      <x:c r="J60" s="24" t="str">
        <x:v>Facial nerve (CN VII)</x:v>
      </x:c>
      <x:c r="K60" s="24" t="str">
        <x:v>CN VII; no spinal root</x:v>
      </x:c>
      <x:c r="L60" s="24" t="str">
        <x:v>Split distal tendon around digastric tendon</x:v>
      </x:c>
      <x:c r="M60" s="24" t="str">
        <x:v>Stylohyoid ligament parallels course (not necessarily a direct insertion)</x:v>
      </x:c>
      <x:c r="N60" s="30" t="str">
        <x:v>Not established</x:v>
      </x:c>
      <x:c r="O60" s="30" t="str">
        <x:v>Not established</x:v>
      </x:c>
      <x:c r="P60" s="30" t="str">
        <x:v>Mixed Type I and Type II; ratio unverified</x:v>
      </x:c>
      <x:c r="Q60" s="24" t="str">
        <x:v>Published biopsies insufficient to state a reliable per-muscle percentage; no inference from function</x:v>
      </x:c>
      <x:c r="R60" s="32" t="str">
        <x:v>https://www.kenhub.com/en/library/anatomy/anatomy-of-the-back-spine-and-back-muscles</x:v>
      </x:c>
      <x:c r="S60" s="32" t="str">
        <x:v>https://pubmed.ncbi.nlm.nih.gov/39359186/</x:v>
      </x:c>
    </x:row>
    <x:row r="61" ht="53" customHeight="1">
      <x:c r="A61" s="24" t="str">
        <x:v>Geniohyoid</x:v>
      </x:c>
      <x:c r="B61" s="24" t="str">
        <x:v>Suprahyoid floor of mouth</x:v>
      </x:c>
      <x:c r="C61" s="24" t="str">
        <x:v>Stabilizer</x:v>
      </x:c>
      <x:c r="D61" s="28" t="str">
        <x:v>No</x:v>
      </x:c>
      <x:c r="E61" s="28" t="str">
        <x:v>No</x:v>
      </x:c>
      <x:c r="F61" s="28" t="str">
        <x:v>Yes</x:v>
      </x:c>
      <x:c r="G61" s="24" t="str">
        <x:v>Pulls hyoid anterosuperiorly; shortens floor mouth</x:v>
      </x:c>
      <x:c r="H61" s="24" t="str">
        <x:v>Inferior mental spine of mandible</x:v>
      </x:c>
      <x:c r="I61" s="24" t="str">
        <x:v>Anterior body hyoid bone</x:v>
      </x:c>
      <x:c r="J61" s="24" t="str">
        <x:v>C1 fibers via hypoglossal nerve</x:v>
      </x:c>
      <x:c r="K61" s="24" t="str">
        <x:v>C1 via CN XII</x:v>
      </x:c>
      <x:c r="L61" s="24" t="str">
        <x:v>Short hyoid tendon</x:v>
      </x:c>
      <x:c r="M61" s="24" t="str">
        <x:v>No specific direct ligament attachment</x:v>
      </x:c>
      <x:c r="N61" s="30" t="str">
        <x:v>Not established</x:v>
      </x:c>
      <x:c r="O61" s="30" t="str">
        <x:v>Not established</x:v>
      </x:c>
      <x:c r="P61" s="30" t="str">
        <x:v>Mixed Type I and Type II; ratio unverified</x:v>
      </x:c>
      <x:c r="Q61" s="24" t="str">
        <x:v>Published biopsies insufficient to state a reliable per-muscle percentage; no inference from function</x:v>
      </x:c>
      <x:c r="R61" s="32" t="str">
        <x:v>https://www.kenhub.com/en/library/anatomy/anatomy-of-the-back-spine-and-back-muscles</x:v>
      </x:c>
      <x:c r="S61" s="32" t="str">
        <x:v>https://pubmed.ncbi.nlm.nih.gov/39359186/</x:v>
      </x:c>
    </x:row>
    <x:row r="62" ht="53" customHeight="1">
      <x:c r="A62" s="24" t="str">
        <x:v>Mylohyoid</x:v>
      </x:c>
      <x:c r="B62" s="24" t="str">
        <x:v>Suprahyoid floor of mouth</x:v>
      </x:c>
      <x:c r="C62" s="24" t="str">
        <x:v>Stabilizer</x:v>
      </x:c>
      <x:c r="D62" s="28" t="str">
        <x:v>No</x:v>
      </x:c>
      <x:c r="E62" s="28" t="str">
        <x:v>No</x:v>
      </x:c>
      <x:c r="F62" s="28" t="str">
        <x:v>Yes</x:v>
      </x:c>
      <x:c r="G62" s="24" t="str">
        <x:v>Elevates floor of mouth and hyoid; assists jaw depression</x:v>
      </x:c>
      <x:c r="H62" s="24" t="str">
        <x:v>Mylohyoid line inner mandible</x:v>
      </x:c>
      <x:c r="I62" s="24" t="str">
        <x:v>Midline mylohyoid raphe and hyoid bone</x:v>
      </x:c>
      <x:c r="J62" s="24" t="str">
        <x:v>Nerve to mylohyoid (inferior alveolar V3 branch)</x:v>
      </x:c>
      <x:c r="K62" s="24" t="str">
        <x:v>CN V3; no spinal root</x:v>
      </x:c>
      <x:c r="L62" s="24" t="str">
        <x:v>Median raphe / hyoid tendon</x:v>
      </x:c>
      <x:c r="M62" s="24" t="str">
        <x:v>Mandibular lingual ligament region adjacent</x:v>
      </x:c>
      <x:c r="N62" s="30" t="str">
        <x:v>Not established</x:v>
      </x:c>
      <x:c r="O62" s="30" t="str">
        <x:v>Not established</x:v>
      </x:c>
      <x:c r="P62" s="30" t="str">
        <x:v>Mixed Type I and Type II; ratio unverified</x:v>
      </x:c>
      <x:c r="Q62" s="24" t="str">
        <x:v>Published biopsies insufficient to state a reliable per-muscle percentage; no inference from function</x:v>
      </x:c>
      <x:c r="R62" s="32" t="str">
        <x:v>https://www.kenhub.com/en/library/anatomy/anatomy-of-the-back-spine-and-back-muscles</x:v>
      </x:c>
      <x:c r="S62" s="32" t="str">
        <x:v>https://pubmed.ncbi.nlm.nih.gov/39359186/</x:v>
      </x:c>
    </x:row>
    <x:row r="63" ht="53" customHeight="1">
      <x:c r="A63" s="24" t="str">
        <x:v>Semispinalis capitis</x:v>
      </x:c>
      <x:c r="B63" s="24" t="str">
        <x:v>Transversospinalis</x:v>
      </x:c>
      <x:c r="C63" s="24" t="str">
        <x:v>Extensor; Stabilizer</x:v>
      </x:c>
      <x:c r="D63" s="28" t="str">
        <x:v>No</x:v>
      </x:c>
      <x:c r="E63" s="28" t="str">
        <x:v>Yes</x:v>
      </x:c>
      <x:c r="F63" s="28" t="str">
        <x:v>Yes</x:v>
      </x:c>
      <x:c r="G63" s="24" t="str">
        <x:v>Extends head; contralateral rotation</x:v>
      </x:c>
      <x:c r="H63" s="24" t="str">
        <x:v>Transverse processes C7-T6; articular processes C4-C6</x:v>
      </x:c>
      <x:c r="I63" s="24" t="str">
        <x:v>Occipital bone between nuchal lines</x:v>
      </x:c>
      <x:c r="J63" s="24" t="str">
        <x:v>Posterior rami cervical spinal nerves</x:v>
      </x:c>
      <x:c r="K63" s="24" t="str">
        <x:v>C2-C6 segmental</x:v>
      </x:c>
      <x:c r="L63" s="24" t="str">
        <x:v>Broad occipital insertion and tendinous intersections</x:v>
      </x:c>
      <x:c r="M63" s="24" t="str">
        <x:v>Nuchal ligament contiguous fascia but not primary attachment</x:v>
      </x:c>
      <x:c r="N63" s="30" t="str">
        <x:v>Not established</x:v>
      </x:c>
      <x:c r="O63" s="30" t="str">
        <x:v>Not established</x:v>
      </x:c>
      <x:c r="P63" s="30" t="str">
        <x:v>Mixed Type I and Type II; ratio unverified</x:v>
      </x:c>
      <x:c r="Q63" s="24" t="str">
        <x:v>Published biopsies insufficient to state a reliable per-muscle percentage; no inference from function</x:v>
      </x:c>
      <x:c r="R63" s="32" t="str">
        <x:v>https://www.kenhub.com/en/library/anatomy/anatomy-of-the-back-spine-and-back-muscles</x:v>
      </x:c>
      <x:c r="S63" s="32" t="str">
        <x:v>https://pubmed.ncbi.nlm.nih.gov/39359186/</x:v>
      </x:c>
    </x:row>
    <x:row r="64" ht="53" customHeight="1">
      <x:c r="A64" s="24" t="str">
        <x:v>Semispinalis cervicis</x:v>
      </x:c>
      <x:c r="B64" s="24" t="str">
        <x:v>Transversospinalis</x:v>
      </x:c>
      <x:c r="C64" s="24" t="str">
        <x:v>Extensor; Stabilizer</x:v>
      </x:c>
      <x:c r="D64" s="28" t="str">
        <x:v>No</x:v>
      </x:c>
      <x:c r="E64" s="28" t="str">
        <x:v>Yes</x:v>
      </x:c>
      <x:c r="F64" s="28" t="str">
        <x:v>Yes</x:v>
      </x:c>
      <x:c r="G64" s="24" t="str">
        <x:v>Extends cervical region and contralateral rotation</x:v>
      </x:c>
      <x:c r="H64" s="24" t="str">
        <x:v>Transverse processes T1-T6</x:v>
      </x:c>
      <x:c r="I64" s="24" t="str">
        <x:v>Spinous processes C2-C5</x:v>
      </x:c>
      <x:c r="J64" s="24" t="str">
        <x:v>Posterior rami cervical spinal nerves</x:v>
      </x:c>
      <x:c r="K64" s="24" t="str">
        <x:v>C2-C8 segmental</x:v>
      </x:c>
      <x:c r="L64" s="24" t="str">
        <x:v>Cervical insertion tendons</x:v>
      </x:c>
      <x:c r="M64" s="24" t="str">
        <x:v>No uniform direct ligament attachment</x:v>
      </x:c>
      <x:c r="N64" s="30" t="str">
        <x:v>Not established</x:v>
      </x:c>
      <x:c r="O64" s="30" t="str">
        <x:v>Not established</x:v>
      </x:c>
      <x:c r="P64" s="30" t="str">
        <x:v>Mixed Type I and Type II; ratio unverified</x:v>
      </x:c>
      <x:c r="Q64" s="24" t="str">
        <x:v>Published biopsies insufficient to state a reliable per-muscle percentage; no inference from function</x:v>
      </x:c>
      <x:c r="R64" s="32" t="str">
        <x:v>https://www.kenhub.com/en/library/anatomy/anatomy-of-the-back-spine-and-back-muscles</x:v>
      </x:c>
      <x:c r="S64" s="32" t="str">
        <x:v>https://pubmed.ncbi.nlm.nih.gov/39359186/</x:v>
      </x:c>
    </x:row>
    <x:row r="65" ht="53" customHeight="1">
      <x:c r="A65" s="24" t="str">
        <x:v>Semispinalis thoracis</x:v>
      </x:c>
      <x:c r="B65" s="24" t="str">
        <x:v>Transversospinalis</x:v>
      </x:c>
      <x:c r="C65" s="24" t="str">
        <x:v>Extensor; Stabilizer</x:v>
      </x:c>
      <x:c r="D65" s="28" t="str">
        <x:v>No</x:v>
      </x:c>
      <x:c r="E65" s="28" t="str">
        <x:v>Yes</x:v>
      </x:c>
      <x:c r="F65" s="28" t="str">
        <x:v>Yes</x:v>
      </x:c>
      <x:c r="G65" s="24" t="str">
        <x:v>Extends spine and contralaterally rotates</x:v>
      </x:c>
      <x:c r="H65" s="24" t="str">
        <x:v>Transverse processes T6-T12</x:v>
      </x:c>
      <x:c r="I65" s="24" t="str">
        <x:v>Spinous processes C6-T4</x:v>
      </x:c>
      <x:c r="J65" s="24" t="str">
        <x:v>Posterior rami thoracic spinal nerves</x:v>
      </x:c>
      <x:c r="K65" s="24" t="str">
        <x:v>T1-T12 segmental</x:v>
      </x:c>
      <x:c r="L65" s="24" t="str">
        <x:v>Short segmental tendons</x:v>
      </x:c>
      <x:c r="M65" s="24" t="str">
        <x:v>Interspinous ligament vicinity, not uniform attachment</x:v>
      </x:c>
      <x:c r="N65" s="30" t="str">
        <x:v>Not established</x:v>
      </x:c>
      <x:c r="O65" s="30" t="str">
        <x:v>Not established</x:v>
      </x:c>
      <x:c r="P65" s="30" t="str">
        <x:v>Mixed Type I and Type II; ratio unverified</x:v>
      </x:c>
      <x:c r="Q65" s="24" t="str">
        <x:v>Published biopsies insufficient to state a reliable per-muscle percentage; no inference from function</x:v>
      </x:c>
      <x:c r="R65" s="32" t="str">
        <x:v>https://www.kenhub.com/en/library/anatomy/anatomy-of-the-back-spine-and-back-muscles</x:v>
      </x:c>
      <x:c r="S65" s="32" t="str">
        <x:v>https://pubmed.ncbi.nlm.nih.gov/39359186/</x:v>
      </x:c>
    </x:row>
    <x:row r="66" ht="53" customHeight="1">
      <x:c r="A66" s="24" t="str">
        <x:v>Multifidus cervical fascicles</x:v>
      </x:c>
      <x:c r="B66" s="24" t="str">
        <x:v>Transversospinalis deep</x:v>
      </x:c>
      <x:c r="C66" s="24" t="str">
        <x:v>Extensor; Stabilizer</x:v>
      </x:c>
      <x:c r="D66" s="28" t="str">
        <x:v>No</x:v>
      </x:c>
      <x:c r="E66" s="28" t="str">
        <x:v>Yes</x:v>
      </x:c>
      <x:c r="F66" s="28" t="str">
        <x:v>Yes</x:v>
      </x:c>
      <x:c r="G66" s="24" t="str">
        <x:v>Segmental vertebral stability; extension/contralateral rotation</x:v>
      </x:c>
      <x:c r="H66" s="24" t="str">
        <x:v>Articular processes C4-C7</x:v>
      </x:c>
      <x:c r="I66" s="24" t="str">
        <x:v>Spinous processes 2-4 levels above</x:v>
      </x:c>
      <x:c r="J66" s="24" t="str">
        <x:v>Medial branches posterior rami cervical nerves</x:v>
      </x:c>
      <x:c r="K66" s="24" t="str">
        <x:v>C2-C8 segmental</x:v>
      </x:c>
      <x:c r="L66" s="24" t="str">
        <x:v>Short segmental tendons</x:v>
      </x:c>
      <x:c r="M66" s="24" t="str">
        <x:v>Facet capsules adjacent; no uniform ligament insertion</x:v>
      </x:c>
      <x:c r="N66" s="30" t="str">
        <x:v>Not established</x:v>
      </x:c>
      <x:c r="O66" s="30" t="str">
        <x:v>Not established</x:v>
      </x:c>
      <x:c r="P66" s="30" t="str">
        <x:v>Mixed Type I and Type II; ratio unverified</x:v>
      </x:c>
      <x:c r="Q66" s="24" t="str">
        <x:v>Published biopsies insufficient to state a reliable per-muscle percentage; no inference from function</x:v>
      </x:c>
      <x:c r="R66" s="32" t="str">
        <x:v>https://www.kenhub.com/en/library/anatomy/anatomy-of-the-back-spine-and-back-muscles</x:v>
      </x:c>
      <x:c r="S66" s="32" t="str">
        <x:v>https://pubmed.ncbi.nlm.nih.gov/39359186/</x:v>
      </x:c>
    </x:row>
    <x:row r="67" ht="53" customHeight="1">
      <x:c r="A67" s="24" t="str">
        <x:v>Multifidus lumbar fascicles</x:v>
      </x:c>
      <x:c r="B67" s="24" t="str">
        <x:v>Transversospinalis deep</x:v>
      </x:c>
      <x:c r="C67" s="24" t="str">
        <x:v>Extensor; Stabilizer</x:v>
      </x:c>
      <x:c r="D67" s="28" t="str">
        <x:v>No</x:v>
      </x:c>
      <x:c r="E67" s="28" t="str">
        <x:v>Yes</x:v>
      </x:c>
      <x:c r="F67" s="28" t="str">
        <x:v>Yes</x:v>
      </x:c>
      <x:c r="G67" s="24" t="str">
        <x:v>Intersegmental lumbar stabilization and extension</x:v>
      </x:c>
      <x:c r="H67" s="24" t="str">
        <x:v>Sacrum; PSIS; mammillary processes lumbar vertebrae</x:v>
      </x:c>
      <x:c r="I67" s="24" t="str">
        <x:v>Spinous processes 2-4 levels above</x:v>
      </x:c>
      <x:c r="J67" s="24" t="str">
        <x:v>Medial branches posterior rami lumbar nerves</x:v>
      </x:c>
      <x:c r="K67" s="24" t="str">
        <x:v>L1-L5 segmental (sacral region additional branches)</x:v>
      </x:c>
      <x:c r="L67" s="24" t="str">
        <x:v>Lumbar multifidus segmental tendons</x:v>
      </x:c>
      <x:c r="M67" s="24" t="str">
        <x:v>Sacroiliac ligament/fascia origin components near PSIS; thoracolumbar fascia</x:v>
      </x:c>
      <x:c r="N67" s="30" t="str">
        <x:v>62% (sample mean, n=16)</x:v>
      </x:c>
      <x:c r="O67" s="30" t="str">
        <x:v>38% (approx complementary II types)</x:v>
      </x:c>
      <x:c r="P67" s="30" t="str">
        <x:v>Type I-enriched (study group mean)</x:v>
      </x:c>
      <x:c r="Q67" s="24" t="str">
        <x:v>1987 healthy-adult biopsies; multiple fascicles and levels pooled; not a universal value</x:v>
      </x:c>
      <x:c r="R67" s="32" t="str">
        <x:v>https://www.kenhub.com/en/library/anatomy/anatomy-of-the-back-spine-and-back-muscles</x:v>
      </x:c>
      <x:c r="S67" s="32" t="str">
        <x:v>https://pubmed.ncbi.nlm.nih.gov/2960128/</x:v>
      </x:c>
    </x:row>
    <x:row r="68" ht="53" customHeight="1">
      <x:c r="A68" s="24" t="str">
        <x:v>Multifidus thoracic fascicles</x:v>
      </x:c>
      <x:c r="B68" s="24" t="str">
        <x:v>Transversospinalis deep</x:v>
      </x:c>
      <x:c r="C68" s="24" t="str">
        <x:v>Extensor; Stabilizer</x:v>
      </x:c>
      <x:c r="D68" s="28" t="str">
        <x:v>No</x:v>
      </x:c>
      <x:c r="E68" s="28" t="str">
        <x:v>Yes</x:v>
      </x:c>
      <x:c r="F68" s="28" t="str">
        <x:v>Yes</x:v>
      </x:c>
      <x:c r="G68" s="24" t="str">
        <x:v>Segmental thoracic stability; extension/rotation</x:v>
      </x:c>
      <x:c r="H68" s="24" t="str">
        <x:v>Transverse processes thoracic vertebrae</x:v>
      </x:c>
      <x:c r="I68" s="24" t="str">
        <x:v>Spinous processes 2-4 levels above</x:v>
      </x:c>
      <x:c r="J68" s="24" t="str">
        <x:v>Medial branches posterior rami thoracic nerves</x:v>
      </x:c>
      <x:c r="K68" s="24" t="str">
        <x:v>T1-T12 segmental</x:v>
      </x:c>
      <x:c r="L68" s="24" t="str">
        <x:v>Short segmental tendons</x:v>
      </x:c>
      <x:c r="M68" s="24" t="str">
        <x:v>Facet capsules adjacent</x:v>
      </x:c>
      <x:c r="N68" s="30" t="str">
        <x:v>Not established</x:v>
      </x:c>
      <x:c r="O68" s="30" t="str">
        <x:v>Not established</x:v>
      </x:c>
      <x:c r="P68" s="30" t="str">
        <x:v>Mixed Type I and Type II; ratio unverified</x:v>
      </x:c>
      <x:c r="Q68" s="24" t="str">
        <x:v>Published biopsies insufficient to state a reliable per-muscle percentage; no inference from function</x:v>
      </x:c>
      <x:c r="R68" s="32" t="str">
        <x:v>https://www.kenhub.com/en/library/anatomy/anatomy-of-the-back-spine-and-back-muscles</x:v>
      </x:c>
      <x:c r="S68" s="32" t="str">
        <x:v>https://pubmed.ncbi.nlm.nih.gov/39359186/</x:v>
      </x:c>
    </x:row>
    <x:row r="69" ht="53" customHeight="1">
      <x:c r="A69" s="24" t="str">
        <x:v>Rotatores breves (thoracic, segmental)</x:v>
      </x:c>
      <x:c r="B69" s="24" t="str">
        <x:v>Transversospinalis deepest</x:v>
      </x:c>
      <x:c r="C69" s="24" t="str">
        <x:v>Stabilizer</x:v>
      </x:c>
      <x:c r="D69" s="28" t="str">
        <x:v>No</x:v>
      </x:c>
      <x:c r="E69" s="28" t="str">
        <x:v>No</x:v>
      </x:c>
      <x:c r="F69" s="28" t="str">
        <x:v>Yes</x:v>
      </x:c>
      <x:c r="G69" s="24" t="str">
        <x:v>Proprioception, segmental stabilization and rotation</x:v>
      </x:c>
      <x:c r="H69" s="24" t="str">
        <x:v>Thoracic transverse process</x:v>
      </x:c>
      <x:c r="I69" s="24" t="str">
        <x:v>Lamina/spinous process one level above</x:v>
      </x:c>
      <x:c r="J69" s="24" t="str">
        <x:v>Posterior rami thoracic spinal nerves</x:v>
      </x:c>
      <x:c r="K69" s="24" t="str">
        <x:v>T1-T12 segmental</x:v>
      </x:c>
      <x:c r="L69" s="24" t="str">
        <x:v>Minute interlaminar tendons</x:v>
      </x:c>
      <x:c r="M69" s="24" t="str">
        <x:v>Facet capsular ligament complex adjacent</x:v>
      </x:c>
      <x:c r="N69" s="30" t="str">
        <x:v>Not established</x:v>
      </x:c>
      <x:c r="O69" s="30" t="str">
        <x:v>Not established</x:v>
      </x:c>
      <x:c r="P69" s="30" t="str">
        <x:v>Mixed Type I and Type II; ratio unverified</x:v>
      </x:c>
      <x:c r="Q69" s="24" t="str">
        <x:v>Published biopsies insufficient to state a reliable per-muscle percentage; no inference from function</x:v>
      </x:c>
      <x:c r="R69" s="32" t="str">
        <x:v>https://www.kenhub.com/en/library/anatomy/anatomy-of-the-back-spine-and-back-muscles</x:v>
      </x:c>
      <x:c r="S69" s="32" t="str">
        <x:v>https://pubmed.ncbi.nlm.nih.gov/39359186/</x:v>
      </x:c>
    </x:row>
    <x:row r="70" ht="53" customHeight="1">
      <x:c r="A70" s="24" t="str">
        <x:v>Rotatores cervicis (variable)</x:v>
      </x:c>
      <x:c r="B70" s="24" t="str">
        <x:v>Transversospinalis deepest</x:v>
      </x:c>
      <x:c r="C70" s="24" t="str">
        <x:v>Stabilizer</x:v>
      </x:c>
      <x:c r="D70" s="28" t="str">
        <x:v>No</x:v>
      </x:c>
      <x:c r="E70" s="28" t="str">
        <x:v>No</x:v>
      </x:c>
      <x:c r="F70" s="28" t="str">
        <x:v>Yes</x:v>
      </x:c>
      <x:c r="G70" s="24" t="str">
        <x:v>Cervical proprioception/stability</x:v>
      </x:c>
      <x:c r="H70" s="24" t="str">
        <x:v>Cervical articular/transverse processes</x:v>
      </x:c>
      <x:c r="I70" s="24" t="str">
        <x:v>Adjacent superior cervical lamina</x:v>
      </x:c>
      <x:c r="J70" s="24" t="str">
        <x:v>Posterior rami cervical spinal nerves</x:v>
      </x:c>
      <x:c r="K70" s="24" t="str">
        <x:v>C2-C7 segmental</x:v>
      </x:c>
      <x:c r="L70" s="24" t="str">
        <x:v>Minute fascicular tendons</x:v>
      </x:c>
      <x:c r="M70" s="24" t="str">
        <x:v>Facet capsule vicinity</x:v>
      </x:c>
      <x:c r="N70" s="30" t="str">
        <x:v>Not established</x:v>
      </x:c>
      <x:c r="O70" s="30" t="str">
        <x:v>Not established</x:v>
      </x:c>
      <x:c r="P70" s="30" t="str">
        <x:v>Mixed Type I and Type II; ratio unverified</x:v>
      </x:c>
      <x:c r="Q70" s="24" t="str">
        <x:v>Published biopsies insufficient to state a reliable per-muscle percentage; no inference from function</x:v>
      </x:c>
      <x:c r="R70" s="32" t="str">
        <x:v>https://www.kenhub.com/en/library/anatomy/anatomy-of-the-back-spine-and-back-muscles</x:v>
      </x:c>
      <x:c r="S70" s="32" t="str">
        <x:v>https://pubmed.ncbi.nlm.nih.gov/39359186/</x:v>
      </x:c>
    </x:row>
    <x:row r="71" ht="53" customHeight="1">
      <x:c r="A71" s="24" t="str">
        <x:v>Rotatores longi (thoracic, segmental)</x:v>
      </x:c>
      <x:c r="B71" s="24" t="str">
        <x:v>Transversospinalis deepest</x:v>
      </x:c>
      <x:c r="C71" s="24" t="str">
        <x:v>Stabilizer</x:v>
      </x:c>
      <x:c r="D71" s="28" t="str">
        <x:v>No</x:v>
      </x:c>
      <x:c r="E71" s="28" t="str">
        <x:v>No</x:v>
      </x:c>
      <x:c r="F71" s="28" t="str">
        <x:v>Yes</x:v>
      </x:c>
      <x:c r="G71" s="24" t="str">
        <x:v>Proprioception; segmental rotation/stability</x:v>
      </x:c>
      <x:c r="H71" s="24" t="str">
        <x:v>Thoracic transverse process</x:v>
      </x:c>
      <x:c r="I71" s="24" t="str">
        <x:v>Lamina/spinous process two levels above</x:v>
      </x:c>
      <x:c r="J71" s="24" t="str">
        <x:v>Posterior rami thoracic spinal nerves</x:v>
      </x:c>
      <x:c r="K71" s="24" t="str">
        <x:v>T1-T12 segmental</x:v>
      </x:c>
      <x:c r="L71" s="24" t="str">
        <x:v>Minute segmental tendons</x:v>
      </x:c>
      <x:c r="M71" s="24" t="str">
        <x:v>Facet capsule adjacent</x:v>
      </x:c>
      <x:c r="N71" s="30" t="str">
        <x:v>Not established</x:v>
      </x:c>
      <x:c r="O71" s="30" t="str">
        <x:v>Not established</x:v>
      </x:c>
      <x:c r="P71" s="30" t="str">
        <x:v>Mixed Type I and Type II; ratio unverified</x:v>
      </x:c>
      <x:c r="Q71" s="24" t="str">
        <x:v>Published biopsies insufficient to state a reliable per-muscle percentage; no inference from function</x:v>
      </x:c>
      <x:c r="R71" s="32" t="str">
        <x:v>https://www.kenhub.com/en/library/anatomy/anatomy-of-the-back-spine-and-back-muscles</x:v>
      </x:c>
      <x:c r="S71" s="32" t="str">
        <x:v>https://pubmed.ncbi.nlm.nih.gov/39359186/</x:v>
      </x:c>
    </x:row>
    <x:row r="72" ht="53" customHeight="1">
      <x:c r="A72" s="24" t="str">
        <x:v>Rotatores lumborum (variable)</x:v>
      </x:c>
      <x:c r="B72" s="24" t="str">
        <x:v>Transversospinalis deepest</x:v>
      </x:c>
      <x:c r="C72" s="24" t="str">
        <x:v>Stabilizer</x:v>
      </x:c>
      <x:c r="D72" s="28" t="str">
        <x:v>No</x:v>
      </x:c>
      <x:c r="E72" s="28" t="str">
        <x:v>No</x:v>
      </x:c>
      <x:c r="F72" s="28" t="str">
        <x:v>Yes</x:v>
      </x:c>
      <x:c r="G72" s="24" t="str">
        <x:v>Lumbar segmental proprioception/stabilization</x:v>
      </x:c>
      <x:c r="H72" s="24" t="str">
        <x:v>Lumbar mamillary/transverse processes</x:v>
      </x:c>
      <x:c r="I72" s="24" t="str">
        <x:v>Superior lamina/spinous process</x:v>
      </x:c>
      <x:c r="J72" s="24" t="str">
        <x:v>Posterior rami lumbar spinal nerves</x:v>
      </x:c>
      <x:c r="K72" s="24" t="str">
        <x:v>L1-L5 segmental</x:v>
      </x:c>
      <x:c r="L72" s="24" t="str">
        <x:v>Short local tendons</x:v>
      </x:c>
      <x:c r="M72" s="24" t="str">
        <x:v>Facet capsular ligaments adjacent</x:v>
      </x:c>
      <x:c r="N72" s="30" t="str">
        <x:v>Not established</x:v>
      </x:c>
      <x:c r="O72" s="30" t="str">
        <x:v>Not established</x:v>
      </x:c>
      <x:c r="P72" s="30" t="str">
        <x:v>Mixed Type I and Type II; ratio unverified</x:v>
      </x:c>
      <x:c r="Q72" s="24" t="str">
        <x:v>Published biopsies insufficient to state a reliable per-muscle percentage; no inference from function</x:v>
      </x:c>
      <x:c r="R72" s="32" t="str">
        <x:v>https://www.kenhub.com/en/library/anatomy/anatomy-of-the-back-spine-and-back-muscles</x:v>
      </x:c>
      <x:c r="S72" s="32" t="str">
        <x:v>https://pubmed.ncbi.nlm.nih.gov/39359186/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070a0df9be374a43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THORAX &amp; BREATHING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37 detailed entries | attachments and motor innervation | nearby versus direct ligament relationships explicitly indicated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Transversus thoracis</x:v>
      </x:c>
      <x:c r="B4" s="24" t="str">
        <x:v>Deep anterior thorax</x:v>
      </x:c>
      <x:c r="C4" s="24" t="str">
        <x:v>Stabilizer</x:v>
      </x:c>
      <x:c r="D4" s="28" t="str">
        <x:v>No</x:v>
      </x:c>
      <x:c r="E4" s="28" t="str">
        <x:v>No</x:v>
      </x:c>
      <x:c r="F4" s="28" t="str">
        <x:v>Yes</x:v>
      </x:c>
      <x:c r="G4" s="24" t="str">
        <x:v>Weakly depresses ribs; stabilizes anterior wall</x:v>
      </x:c>
      <x:c r="H4" s="24" t="str">
        <x:v>Posterior sternum and xiphoid</x:v>
      </x:c>
      <x:c r="I4" s="24" t="str">
        <x:v>Internal costal cartilages ribs 2-6</x:v>
      </x:c>
      <x:c r="J4" s="24" t="str">
        <x:v>Intercostal nerves</x:v>
      </x:c>
      <x:c r="K4" s="24" t="str">
        <x:v>T2-T6</x:v>
      </x:c>
      <x:c r="L4" s="24" t="str">
        <x:v>Thin tendinous slips to cartilages</x:v>
      </x:c>
      <x:c r="M4" s="24" t="str">
        <x:v>Radiate sternocostal ligaments anterior to attachments</x:v>
      </x:c>
      <x:c r="N4" s="30" t="str">
        <x:v>Not established</x:v>
      </x:c>
      <x:c r="O4" s="30" t="str">
        <x:v>Not established</x:v>
      </x:c>
      <x:c r="P4" s="30" t="str">
        <x:v>Mixed Type I and Type II; ratio unverified</x:v>
      </x:c>
      <x:c r="Q4" s="24" t="str">
        <x:v>Published biopsies insufficient to state a reliable per-muscle percentage; no inference from function</x:v>
      </x:c>
      <x:c r="R4" s="32" t="str">
        <x:v>https://www.kenhub.com/en/library/anatomy/thorax</x:v>
      </x:c>
      <x:c r="S4" s="32" t="str">
        <x:v>https://pubmed.ncbi.nlm.nih.gov/39359186/</x:v>
      </x:c>
    </x:row>
    <x:row r="5" ht="53" customHeight="1">
      <x:c r="A5" s="24" t="str">
        <x:v>Subcostales (variable rib-spanning slips)</x:v>
      </x:c>
      <x:c r="B5" s="24" t="str">
        <x:v>Deep posterior thorax</x:v>
      </x:c>
      <x:c r="C5" s="24" t="str">
        <x:v>Stabilizer</x:v>
      </x:c>
      <x:c r="D5" s="28" t="str">
        <x:v>No</x:v>
      </x:c>
      <x:c r="E5" s="28" t="str">
        <x:v>No</x:v>
      </x:c>
      <x:c r="F5" s="28" t="str">
        <x:v>Yes</x:v>
      </x:c>
      <x:c r="G5" s="24" t="str">
        <x:v>Depress ribs; stabilize thoracic wall</x:v>
      </x:c>
      <x:c r="H5" s="24" t="str">
        <x:v>Inner surface of lower ribs near angles</x:v>
      </x:c>
      <x:c r="I5" s="24" t="str">
        <x:v>Inner surface of rib 2-3 levels below</x:v>
      </x:c>
      <x:c r="J5" s="24" t="str">
        <x:v>Intercostal nerves</x:v>
      </x:c>
      <x:c r="K5" s="24" t="str">
        <x:v>T7-T11 segmental</x:v>
      </x:c>
      <x:c r="L5" s="24" t="str">
        <x:v>Short rib tendinous slips</x:v>
      </x:c>
      <x:c r="M5" s="24" t="str">
        <x:v>Costotransverse ligament adjacent</x:v>
      </x:c>
      <x:c r="N5" s="30" t="str">
        <x:v>Not established</x:v>
      </x:c>
      <x:c r="O5" s="30" t="str">
        <x:v>Not established</x:v>
      </x:c>
      <x:c r="P5" s="30" t="str">
        <x:v>Mixed Type I and Type II; ratio unverified</x:v>
      </x:c>
      <x:c r="Q5" s="24" t="str">
        <x:v>Published biopsies insufficient to state a reliable per-muscle percentage; no inference from function</x:v>
      </x:c>
      <x:c r="R5" s="32" t="str">
        <x:v>https://www.kenhub.com/en/library/anatomy/thorax</x:v>
      </x:c>
      <x:c r="S5" s="32" t="str">
        <x:v>https://pubmed.ncbi.nlm.nih.gov/39359186/</x:v>
      </x:c>
    </x:row>
    <x:row r="6" ht="53" customHeight="1">
      <x:c r="A6" s="24" t="str">
        <x:v>Serratus posterior inferior</x:v>
      </x:c>
      <x:c r="B6" s="24" t="str">
        <x:v>Intermediate extrinsic back</x:v>
      </x:c>
      <x:c r="C6" s="24" t="str">
        <x:v>Stabilizer</x:v>
      </x:c>
      <x:c r="D6" s="28" t="str">
        <x:v>No</x:v>
      </x:c>
      <x:c r="E6" s="28" t="str">
        <x:v>No</x:v>
      </x:c>
      <x:c r="F6" s="28" t="str">
        <x:v>Yes</x:v>
      </x:c>
      <x:c r="G6" s="24" t="str">
        <x:v>Proprioception; may depress lower ribs</x:v>
      </x:c>
      <x:c r="H6" s="24" t="str">
        <x:v>T11-L2 spinous processes; thoracolumbar fascia</x:v>
      </x:c>
      <x:c r="I6" s="24" t="str">
        <x:v>Inferior borders ribs 9-12</x:v>
      </x:c>
      <x:c r="J6" s="24" t="str">
        <x:v>Anterior rami intercostal/subcostal nerves</x:v>
      </x:c>
      <x:c r="K6" s="24" t="str">
        <x:v>T9-T12</x:v>
      </x:c>
      <x:c r="L6" s="24" t="str">
        <x:v>Broad aponeurotic origins/insertions</x:v>
      </x:c>
      <x:c r="M6" s="24" t="str">
        <x:v>Thoracolumbar fascia; supraspinous ligaments adjacent</x:v>
      </x:c>
      <x:c r="N6" s="30" t="str">
        <x:v>Not established</x:v>
      </x:c>
      <x:c r="O6" s="30" t="str">
        <x:v>Not established</x:v>
      </x:c>
      <x:c r="P6" s="30" t="str">
        <x:v>Mixed Type I and Type II; ratio unverified</x:v>
      </x:c>
      <x:c r="Q6" s="24" t="str">
        <x:v>Published biopsies insufficient to state a reliable per-muscle percentage; no inference from function</x:v>
      </x:c>
      <x:c r="R6" s="32" t="str">
        <x:v>https://www.kenhub.com/en/library/anatomy/thorax</x:v>
      </x:c>
      <x:c r="S6" s="32" t="str">
        <x:v>https://pubmed.ncbi.nlm.nih.gov/39359186/</x:v>
      </x:c>
    </x:row>
    <x:row r="7" ht="53" customHeight="1">
      <x:c r="A7" s="24" t="str">
        <x:v>Serratus posterior superior</x:v>
      </x:c>
      <x:c r="B7" s="24" t="str">
        <x:v>Intermediate extrinsic back</x:v>
      </x:c>
      <x:c r="C7" s="24" t="str">
        <x:v>Stabilizer</x:v>
      </x:c>
      <x:c r="D7" s="28" t="str">
        <x:v>No</x:v>
      </x:c>
      <x:c r="E7" s="28" t="str">
        <x:v>No</x:v>
      </x:c>
      <x:c r="F7" s="28" t="str">
        <x:v>Yes</x:v>
      </x:c>
      <x:c r="G7" s="24" t="str">
        <x:v>Proprioception; weak rib elevation</x:v>
      </x:c>
      <x:c r="H7" s="24" t="str">
        <x:v>Lower nuchal ligament; C7-T3 spinous processes</x:v>
      </x:c>
      <x:c r="I7" s="24" t="str">
        <x:v>Upper borders ribs 2-5 near angles</x:v>
      </x:c>
      <x:c r="J7" s="24" t="str">
        <x:v>Intercostal nerves</x:v>
      </x:c>
      <x:c r="K7" s="24" t="str">
        <x:v>T2-T5</x:v>
      </x:c>
      <x:c r="L7" s="24" t="str">
        <x:v>Thin aponeurosis</x:v>
      </x:c>
      <x:c r="M7" s="24" t="str">
        <x:v>Nuchal ligament direct origin</x:v>
      </x:c>
      <x:c r="N7" s="30" t="str">
        <x:v>Not established</x:v>
      </x:c>
      <x:c r="O7" s="30" t="str">
        <x:v>Not established</x:v>
      </x:c>
      <x:c r="P7" s="30" t="str">
        <x:v>Mixed Type I and Type II; ratio unverified</x:v>
      </x:c>
      <x:c r="Q7" s="24" t="str">
        <x:v>Published biopsies insufficient to state a reliable per-muscle percentage; no inference from function</x:v>
      </x:c>
      <x:c r="R7" s="32" t="str">
        <x:v>https://www.kenhub.com/en/library/anatomy/thorax</x:v>
      </x:c>
      <x:c r="S7" s="32" t="str">
        <x:v>https://pubmed.ncbi.nlm.nih.gov/39359186/</x:v>
      </x:c>
    </x:row>
    <x:row r="8" ht="53" customHeight="1">
      <x:c r="A8" s="24" t="str">
        <x:v>External intercostal (interspace 1, R1-R2)</x:v>
      </x:c>
      <x:c r="B8" s="24" t="str">
        <x:v>Segment-level fascicle</x:v>
      </x:c>
      <x:c r="C8" s="24" t="str">
        <x:v>Stabilizer</x:v>
      </x:c>
      <x:c r="D8" s="28" t="str">
        <x:v>No</x:v>
      </x:c>
      <x:c r="E8" s="28" t="str">
        <x:v>No</x:v>
      </x:c>
      <x:c r="F8" s="28" t="str">
        <x:v>Yes</x:v>
      </x:c>
      <x:c r="G8" s="24" t="str">
        <x:v>Elevates ribs during inspiration; interspace stiffness</x:v>
      </x:c>
      <x:c r="H8" s="24" t="str">
        <x:v>Inferior margin of rib 1</x:v>
      </x:c>
      <x:c r="I8" s="24" t="str">
        <x:v>Superior margin of rib 2</x:v>
      </x:c>
      <x:c r="J8" s="24" t="str">
        <x:v>Intercostal nerve 1</x:v>
      </x:c>
      <x:c r="K8" s="24" t="str">
        <x:v>T1</x:v>
      </x:c>
      <x:c r="L8" s="24" t="str">
        <x:v>Segmental rib-to-rib muscle attachment</x:v>
      </x:c>
      <x:c r="M8" s="24" t="str">
        <x:v>Costal periosteum/intercostal membrane; no specific direct ligament</x:v>
      </x:c>
      <x:c r="N8" s="30" t="str">
        <x:v>Not established</x:v>
      </x:c>
      <x:c r="O8" s="30" t="str">
        <x:v>Not established</x:v>
      </x:c>
      <x:c r="P8" s="30" t="str">
        <x:v>Mixed Type I and Type II; ratio unverified</x:v>
      </x:c>
      <x:c r="Q8" s="24" t="str">
        <x:v>Published biopsies insufficient to state a reliable per-muscle percentage; no inference from function</x:v>
      </x:c>
      <x:c r="R8" s="32" t="str">
        <x:v>https://www.kenhub.com/en/library/anatomy/thorax</x:v>
      </x:c>
      <x:c r="S8" s="32" t="str">
        <x:v>https://pubmed.ncbi.nlm.nih.gov/39359186/</x:v>
      </x:c>
    </x:row>
    <x:row r="9" ht="53" customHeight="1">
      <x:c r="A9" s="24" t="str">
        <x:v>External intercostal (interspace 10, R10-R11)</x:v>
      </x:c>
      <x:c r="B9" s="24" t="str">
        <x:v>Segment-level fascicle</x:v>
      </x:c>
      <x:c r="C9" s="24" t="str">
        <x:v>Stabilizer</x:v>
      </x:c>
      <x:c r="D9" s="28" t="str">
        <x:v>No</x:v>
      </x:c>
      <x:c r="E9" s="28" t="str">
        <x:v>No</x:v>
      </x:c>
      <x:c r="F9" s="28" t="str">
        <x:v>Yes</x:v>
      </x:c>
      <x:c r="G9" s="24" t="str">
        <x:v>Elevates ribs during inspiration; interspace stiffness</x:v>
      </x:c>
      <x:c r="H9" s="24" t="str">
        <x:v>Inferior margin of rib 10</x:v>
      </x:c>
      <x:c r="I9" s="24" t="str">
        <x:v>Superior margin of rib 11</x:v>
      </x:c>
      <x:c r="J9" s="24" t="str">
        <x:v>Intercostal nerve 10</x:v>
      </x:c>
      <x:c r="K9" s="24" t="str">
        <x:v>T10</x:v>
      </x:c>
      <x:c r="L9" s="24" t="str">
        <x:v>Segmental rib-to-rib muscle attachment</x:v>
      </x:c>
      <x:c r="M9" s="24" t="str">
        <x:v>Costal periosteum/intercostal membrane; no specific direct ligament</x:v>
      </x:c>
      <x:c r="N9" s="30" t="str">
        <x:v>Not established</x:v>
      </x:c>
      <x:c r="O9" s="30" t="str">
        <x:v>Not established</x:v>
      </x:c>
      <x:c r="P9" s="30" t="str">
        <x:v>Mixed Type I and Type II; ratio unverified</x:v>
      </x:c>
      <x:c r="Q9" s="24" t="str">
        <x:v>Published biopsies insufficient to state a reliable per-muscle percentage; no inference from function</x:v>
      </x:c>
      <x:c r="R9" s="32" t="str">
        <x:v>https://www.kenhub.com/en/library/anatomy/thorax</x:v>
      </x:c>
      <x:c r="S9" s="32" t="str">
        <x:v>https://pubmed.ncbi.nlm.nih.gov/39359186/</x:v>
      </x:c>
    </x:row>
    <x:row r="10" ht="53" customHeight="1">
      <x:c r="A10" s="24" t="str">
        <x:v>External intercostal (interspace 11, R11-R12)</x:v>
      </x:c>
      <x:c r="B10" s="24" t="str">
        <x:v>Segment-level fascicle</x:v>
      </x:c>
      <x:c r="C10" s="24" t="str">
        <x:v>Stabilizer</x:v>
      </x:c>
      <x:c r="D10" s="28" t="str">
        <x:v>No</x:v>
      </x:c>
      <x:c r="E10" s="28" t="str">
        <x:v>No</x:v>
      </x:c>
      <x:c r="F10" s="28" t="str">
        <x:v>Yes</x:v>
      </x:c>
      <x:c r="G10" s="24" t="str">
        <x:v>Elevates ribs during inspiration; interspace stiffness</x:v>
      </x:c>
      <x:c r="H10" s="24" t="str">
        <x:v>Inferior margin of rib 11</x:v>
      </x:c>
      <x:c r="I10" s="24" t="str">
        <x:v>Superior margin of rib 12</x:v>
      </x:c>
      <x:c r="J10" s="24" t="str">
        <x:v>Intercostal nerve 11</x:v>
      </x:c>
      <x:c r="K10" s="24" t="str">
        <x:v>T11</x:v>
      </x:c>
      <x:c r="L10" s="24" t="str">
        <x:v>Segmental rib-to-rib muscle attachment</x:v>
      </x:c>
      <x:c r="M10" s="24" t="str">
        <x:v>Costal periosteum/intercostal membrane; no specific direct ligament</x:v>
      </x:c>
      <x:c r="N10" s="30" t="str">
        <x:v>Not established</x:v>
      </x:c>
      <x:c r="O10" s="30" t="str">
        <x:v>Not established</x:v>
      </x:c>
      <x:c r="P10" s="30" t="str">
        <x:v>Mixed Type I and Type II; ratio unverified</x:v>
      </x:c>
      <x:c r="Q10" s="24" t="str">
        <x:v>Published biopsies insufficient to state a reliable per-muscle percentage; no inference from function</x:v>
      </x:c>
      <x:c r="R10" s="32" t="str">
        <x:v>https://www.kenhub.com/en/library/anatomy/thorax</x:v>
      </x:c>
      <x:c r="S10" s="32" t="str">
        <x:v>https://pubmed.ncbi.nlm.nih.gov/39359186/</x:v>
      </x:c>
    </x:row>
    <x:row r="11" ht="53" customHeight="1">
      <x:c r="A11" s="24" t="str">
        <x:v>External intercostal (interspace 2, R2-R3)</x:v>
      </x:c>
      <x:c r="B11" s="24" t="str">
        <x:v>Segment-level fascicle</x:v>
      </x:c>
      <x:c r="C11" s="24" t="str">
        <x:v>Stabilizer</x:v>
      </x:c>
      <x:c r="D11" s="28" t="str">
        <x:v>No</x:v>
      </x:c>
      <x:c r="E11" s="28" t="str">
        <x:v>No</x:v>
      </x:c>
      <x:c r="F11" s="28" t="str">
        <x:v>Yes</x:v>
      </x:c>
      <x:c r="G11" s="24" t="str">
        <x:v>Elevates ribs during inspiration; interspace stiffness</x:v>
      </x:c>
      <x:c r="H11" s="24" t="str">
        <x:v>Inferior margin of rib 2</x:v>
      </x:c>
      <x:c r="I11" s="24" t="str">
        <x:v>Superior margin of rib 3</x:v>
      </x:c>
      <x:c r="J11" s="24" t="str">
        <x:v>Intercostal nerve 2</x:v>
      </x:c>
      <x:c r="K11" s="24" t="str">
        <x:v>T2</x:v>
      </x:c>
      <x:c r="L11" s="24" t="str">
        <x:v>Segmental rib-to-rib muscle attachment</x:v>
      </x:c>
      <x:c r="M11" s="24" t="str">
        <x:v>Costal periosteum/intercostal membrane; no specific direct ligament</x:v>
      </x:c>
      <x:c r="N11" s="30" t="str">
        <x:v>Not established</x:v>
      </x:c>
      <x:c r="O11" s="30" t="str">
        <x:v>Not established</x:v>
      </x:c>
      <x:c r="P11" s="30" t="str">
        <x:v>Mixed Type I and Type II; ratio unverified</x:v>
      </x:c>
      <x:c r="Q11" s="24" t="str">
        <x:v>Published biopsies insufficient to state a reliable per-muscle percentage; no inference from function</x:v>
      </x:c>
      <x:c r="R11" s="32" t="str">
        <x:v>https://www.kenhub.com/en/library/anatomy/thorax</x:v>
      </x:c>
      <x:c r="S11" s="32" t="str">
        <x:v>https://pubmed.ncbi.nlm.nih.gov/39359186/</x:v>
      </x:c>
    </x:row>
    <x:row r="12" ht="53" customHeight="1">
      <x:c r="A12" s="24" t="str">
        <x:v>External intercostal (interspace 3, R3-R4)</x:v>
      </x:c>
      <x:c r="B12" s="24" t="str">
        <x:v>Segment-level fascicle</x:v>
      </x:c>
      <x:c r="C12" s="24" t="str">
        <x:v>Stabilizer</x:v>
      </x:c>
      <x:c r="D12" s="28" t="str">
        <x:v>No</x:v>
      </x:c>
      <x:c r="E12" s="28" t="str">
        <x:v>No</x:v>
      </x:c>
      <x:c r="F12" s="28" t="str">
        <x:v>Yes</x:v>
      </x:c>
      <x:c r="G12" s="24" t="str">
        <x:v>Elevates ribs during inspiration; interspace stiffness</x:v>
      </x:c>
      <x:c r="H12" s="24" t="str">
        <x:v>Inferior margin of rib 3</x:v>
      </x:c>
      <x:c r="I12" s="24" t="str">
        <x:v>Superior margin of rib 4</x:v>
      </x:c>
      <x:c r="J12" s="24" t="str">
        <x:v>Intercostal nerve 3</x:v>
      </x:c>
      <x:c r="K12" s="24" t="str">
        <x:v>T3</x:v>
      </x:c>
      <x:c r="L12" s="24" t="str">
        <x:v>Segmental rib-to-rib muscle attachment</x:v>
      </x:c>
      <x:c r="M12" s="24" t="str">
        <x:v>Costal periosteum/intercostal membrane; no specific direct ligament</x:v>
      </x:c>
      <x:c r="N12" s="30" t="str">
        <x:v>Not established</x:v>
      </x:c>
      <x:c r="O12" s="30" t="str">
        <x:v>Not established</x:v>
      </x:c>
      <x:c r="P12" s="30" t="str">
        <x:v>Mixed Type I and Type II; ratio unverified</x:v>
      </x:c>
      <x:c r="Q12" s="24" t="str">
        <x:v>Published biopsies insufficient to state a reliable per-muscle percentage; no inference from function</x:v>
      </x:c>
      <x:c r="R12" s="32" t="str">
        <x:v>https://www.kenhub.com/en/library/anatomy/thorax</x:v>
      </x:c>
      <x:c r="S12" s="32" t="str">
        <x:v>https://pubmed.ncbi.nlm.nih.gov/39359186/</x:v>
      </x:c>
    </x:row>
    <x:row r="13" ht="53" customHeight="1">
      <x:c r="A13" s="24" t="str">
        <x:v>External intercostal (interspace 4, R4-R5)</x:v>
      </x:c>
      <x:c r="B13" s="24" t="str">
        <x:v>Segment-level fascicle</x:v>
      </x:c>
      <x:c r="C13" s="24" t="str">
        <x:v>Stabilizer</x:v>
      </x:c>
      <x:c r="D13" s="28" t="str">
        <x:v>No</x:v>
      </x:c>
      <x:c r="E13" s="28" t="str">
        <x:v>No</x:v>
      </x:c>
      <x:c r="F13" s="28" t="str">
        <x:v>Yes</x:v>
      </x:c>
      <x:c r="G13" s="24" t="str">
        <x:v>Elevates ribs during inspiration; interspace stiffness</x:v>
      </x:c>
      <x:c r="H13" s="24" t="str">
        <x:v>Inferior margin of rib 4</x:v>
      </x:c>
      <x:c r="I13" s="24" t="str">
        <x:v>Superior margin of rib 5</x:v>
      </x:c>
      <x:c r="J13" s="24" t="str">
        <x:v>Intercostal nerve 4</x:v>
      </x:c>
      <x:c r="K13" s="24" t="str">
        <x:v>T4</x:v>
      </x:c>
      <x:c r="L13" s="24" t="str">
        <x:v>Segmental rib-to-rib muscle attachment</x:v>
      </x:c>
      <x:c r="M13" s="24" t="str">
        <x:v>Costal periosteum/intercostal membrane; no specific direct ligament</x:v>
      </x:c>
      <x:c r="N13" s="30" t="str">
        <x:v>Not established</x:v>
      </x:c>
      <x:c r="O13" s="30" t="str">
        <x:v>Not established</x:v>
      </x:c>
      <x:c r="P13" s="30" t="str">
        <x:v>Mixed Type I and Type II; ratio unverified</x:v>
      </x:c>
      <x:c r="Q13" s="24" t="str">
        <x:v>Published biopsies insufficient to state a reliable per-muscle percentage; no inference from function</x:v>
      </x:c>
      <x:c r="R13" s="32" t="str">
        <x:v>https://www.kenhub.com/en/library/anatomy/thorax</x:v>
      </x:c>
      <x:c r="S13" s="32" t="str">
        <x:v>https://pubmed.ncbi.nlm.nih.gov/39359186/</x:v>
      </x:c>
    </x:row>
    <x:row r="14" ht="53" customHeight="1">
      <x:c r="A14" s="24" t="str">
        <x:v>External intercostal (interspace 5, R5-R6)</x:v>
      </x:c>
      <x:c r="B14" s="24" t="str">
        <x:v>Segment-level fascicle</x:v>
      </x:c>
      <x:c r="C14" s="24" t="str">
        <x:v>Stabilizer</x:v>
      </x:c>
      <x:c r="D14" s="28" t="str">
        <x:v>No</x:v>
      </x:c>
      <x:c r="E14" s="28" t="str">
        <x:v>No</x:v>
      </x:c>
      <x:c r="F14" s="28" t="str">
        <x:v>Yes</x:v>
      </x:c>
      <x:c r="G14" s="24" t="str">
        <x:v>Elevates ribs during inspiration; interspace stiffness</x:v>
      </x:c>
      <x:c r="H14" s="24" t="str">
        <x:v>Inferior margin of rib 5</x:v>
      </x:c>
      <x:c r="I14" s="24" t="str">
        <x:v>Superior margin of rib 6</x:v>
      </x:c>
      <x:c r="J14" s="24" t="str">
        <x:v>Intercostal nerve 5</x:v>
      </x:c>
      <x:c r="K14" s="24" t="str">
        <x:v>T5</x:v>
      </x:c>
      <x:c r="L14" s="24" t="str">
        <x:v>Segmental rib-to-rib muscle attachment</x:v>
      </x:c>
      <x:c r="M14" s="24" t="str">
        <x:v>Costal periosteum/intercostal membrane; no specific direct ligament</x:v>
      </x:c>
      <x:c r="N14" s="30" t="str">
        <x:v>Not established</x:v>
      </x:c>
      <x:c r="O14" s="30" t="str">
        <x:v>Not established</x:v>
      </x:c>
      <x:c r="P14" s="30" t="str">
        <x:v>Mixed Type I and Type II; ratio unverified</x:v>
      </x:c>
      <x:c r="Q14" s="24" t="str">
        <x:v>Published biopsies insufficient to state a reliable per-muscle percentage; no inference from function</x:v>
      </x:c>
      <x:c r="R14" s="32" t="str">
        <x:v>https://www.kenhub.com/en/library/anatomy/thorax</x:v>
      </x:c>
      <x:c r="S14" s="32" t="str">
        <x:v>https://pubmed.ncbi.nlm.nih.gov/39359186/</x:v>
      </x:c>
    </x:row>
    <x:row r="15" ht="53" customHeight="1">
      <x:c r="A15" s="24" t="str">
        <x:v>External intercostal (interspace 6, R6-R7)</x:v>
      </x:c>
      <x:c r="B15" s="24" t="str">
        <x:v>Segment-level fascicle</x:v>
      </x:c>
      <x:c r="C15" s="24" t="str">
        <x:v>Stabilizer</x:v>
      </x:c>
      <x:c r="D15" s="28" t="str">
        <x:v>No</x:v>
      </x:c>
      <x:c r="E15" s="28" t="str">
        <x:v>No</x:v>
      </x:c>
      <x:c r="F15" s="28" t="str">
        <x:v>Yes</x:v>
      </x:c>
      <x:c r="G15" s="24" t="str">
        <x:v>Elevates ribs during inspiration; interspace stiffness</x:v>
      </x:c>
      <x:c r="H15" s="24" t="str">
        <x:v>Inferior margin of rib 6</x:v>
      </x:c>
      <x:c r="I15" s="24" t="str">
        <x:v>Superior margin of rib 7</x:v>
      </x:c>
      <x:c r="J15" s="24" t="str">
        <x:v>Intercostal nerve 6</x:v>
      </x:c>
      <x:c r="K15" s="24" t="str">
        <x:v>T6</x:v>
      </x:c>
      <x:c r="L15" s="24" t="str">
        <x:v>Segmental rib-to-rib muscle attachment</x:v>
      </x:c>
      <x:c r="M15" s="24" t="str">
        <x:v>Costal periosteum/intercostal membrane; no specific direct ligament</x:v>
      </x:c>
      <x:c r="N15" s="30" t="str">
        <x:v>Not established</x:v>
      </x:c>
      <x:c r="O15" s="30" t="str">
        <x:v>Not established</x:v>
      </x:c>
      <x:c r="P15" s="30" t="str">
        <x:v>Mixed Type I and Type II; ratio unverified</x:v>
      </x:c>
      <x:c r="Q15" s="24" t="str">
        <x:v>Published biopsies insufficient to state a reliable per-muscle percentage; no inference from function</x:v>
      </x:c>
      <x:c r="R15" s="32" t="str">
        <x:v>https://www.kenhub.com/en/library/anatomy/thorax</x:v>
      </x:c>
      <x:c r="S15" s="32" t="str">
        <x:v>https://pubmed.ncbi.nlm.nih.gov/39359186/</x:v>
      </x:c>
    </x:row>
    <x:row r="16" ht="53" customHeight="1">
      <x:c r="A16" s="24" t="str">
        <x:v>External intercostal (interspace 7, R7-R8)</x:v>
      </x:c>
      <x:c r="B16" s="24" t="str">
        <x:v>Segment-level fascicle</x:v>
      </x:c>
      <x:c r="C16" s="24" t="str">
        <x:v>Stabilizer</x:v>
      </x:c>
      <x:c r="D16" s="28" t="str">
        <x:v>No</x:v>
      </x:c>
      <x:c r="E16" s="28" t="str">
        <x:v>No</x:v>
      </x:c>
      <x:c r="F16" s="28" t="str">
        <x:v>Yes</x:v>
      </x:c>
      <x:c r="G16" s="24" t="str">
        <x:v>Elevates ribs during inspiration; interspace stiffness</x:v>
      </x:c>
      <x:c r="H16" s="24" t="str">
        <x:v>Inferior margin of rib 7</x:v>
      </x:c>
      <x:c r="I16" s="24" t="str">
        <x:v>Superior margin of rib 8</x:v>
      </x:c>
      <x:c r="J16" s="24" t="str">
        <x:v>Intercostal nerve 7</x:v>
      </x:c>
      <x:c r="K16" s="24" t="str">
        <x:v>T7</x:v>
      </x:c>
      <x:c r="L16" s="24" t="str">
        <x:v>Segmental rib-to-rib muscle attachment</x:v>
      </x:c>
      <x:c r="M16" s="24" t="str">
        <x:v>Costal periosteum/intercostal membrane; no specific direct ligament</x:v>
      </x:c>
      <x:c r="N16" s="30" t="str">
        <x:v>Not established</x:v>
      </x:c>
      <x:c r="O16" s="30" t="str">
        <x:v>Not established</x:v>
      </x:c>
      <x:c r="P16" s="30" t="str">
        <x:v>Mixed Type I and Type II; ratio unverified</x:v>
      </x:c>
      <x:c r="Q16" s="24" t="str">
        <x:v>Published biopsies insufficient to state a reliable per-muscle percentage; no inference from function</x:v>
      </x:c>
      <x:c r="R16" s="32" t="str">
        <x:v>https://www.kenhub.com/en/library/anatomy/thorax</x:v>
      </x:c>
      <x:c r="S16" s="32" t="str">
        <x:v>https://pubmed.ncbi.nlm.nih.gov/39359186/</x:v>
      </x:c>
    </x:row>
    <x:row r="17" ht="53" customHeight="1">
      <x:c r="A17" s="24" t="str">
        <x:v>External intercostal (interspace 8, R8-R9)</x:v>
      </x:c>
      <x:c r="B17" s="24" t="str">
        <x:v>Segment-level fascicle</x:v>
      </x:c>
      <x:c r="C17" s="24" t="str">
        <x:v>Stabilizer</x:v>
      </x:c>
      <x:c r="D17" s="28" t="str">
        <x:v>No</x:v>
      </x:c>
      <x:c r="E17" s="28" t="str">
        <x:v>No</x:v>
      </x:c>
      <x:c r="F17" s="28" t="str">
        <x:v>Yes</x:v>
      </x:c>
      <x:c r="G17" s="24" t="str">
        <x:v>Elevates ribs during inspiration; interspace stiffness</x:v>
      </x:c>
      <x:c r="H17" s="24" t="str">
        <x:v>Inferior margin of rib 8</x:v>
      </x:c>
      <x:c r="I17" s="24" t="str">
        <x:v>Superior margin of rib 9</x:v>
      </x:c>
      <x:c r="J17" s="24" t="str">
        <x:v>Intercostal nerve 8</x:v>
      </x:c>
      <x:c r="K17" s="24" t="str">
        <x:v>T8</x:v>
      </x:c>
      <x:c r="L17" s="24" t="str">
        <x:v>Segmental rib-to-rib muscle attachment</x:v>
      </x:c>
      <x:c r="M17" s="24" t="str">
        <x:v>Costal periosteum/intercostal membrane; no specific direct ligament</x:v>
      </x:c>
      <x:c r="N17" s="30" t="str">
        <x:v>Not established</x:v>
      </x:c>
      <x:c r="O17" s="30" t="str">
        <x:v>Not established</x:v>
      </x:c>
      <x:c r="P17" s="30" t="str">
        <x:v>Mixed Type I and Type II; ratio unverified</x:v>
      </x:c>
      <x:c r="Q17" s="24" t="str">
        <x:v>Published biopsies insufficient to state a reliable per-muscle percentage; no inference from function</x:v>
      </x:c>
      <x:c r="R17" s="32" t="str">
        <x:v>https://www.kenhub.com/en/library/anatomy/thorax</x:v>
      </x:c>
      <x:c r="S17" s="32" t="str">
        <x:v>https://pubmed.ncbi.nlm.nih.gov/39359186/</x:v>
      </x:c>
    </x:row>
    <x:row r="18" ht="53" customHeight="1">
      <x:c r="A18" s="24" t="str">
        <x:v>External intercostal (interspace 9, R9-R10)</x:v>
      </x:c>
      <x:c r="B18" s="24" t="str">
        <x:v>Segment-level fascicle</x:v>
      </x:c>
      <x:c r="C18" s="24" t="str">
        <x:v>Stabilizer</x:v>
      </x:c>
      <x:c r="D18" s="28" t="str">
        <x:v>No</x:v>
      </x:c>
      <x:c r="E18" s="28" t="str">
        <x:v>No</x:v>
      </x:c>
      <x:c r="F18" s="28" t="str">
        <x:v>Yes</x:v>
      </x:c>
      <x:c r="G18" s="24" t="str">
        <x:v>Elevates ribs during inspiration; interspace stiffness</x:v>
      </x:c>
      <x:c r="H18" s="24" t="str">
        <x:v>Inferior margin of rib 9</x:v>
      </x:c>
      <x:c r="I18" s="24" t="str">
        <x:v>Superior margin of rib 10</x:v>
      </x:c>
      <x:c r="J18" s="24" t="str">
        <x:v>Intercostal nerve 9</x:v>
      </x:c>
      <x:c r="K18" s="24" t="str">
        <x:v>T9</x:v>
      </x:c>
      <x:c r="L18" s="24" t="str">
        <x:v>Segmental rib-to-rib muscle attachment</x:v>
      </x:c>
      <x:c r="M18" s="24" t="str">
        <x:v>Costal periosteum/intercostal membrane; no specific direct ligament</x:v>
      </x:c>
      <x:c r="N18" s="30" t="str">
        <x:v>Not established</x:v>
      </x:c>
      <x:c r="O18" s="30" t="str">
        <x:v>Not established</x:v>
      </x:c>
      <x:c r="P18" s="30" t="str">
        <x:v>Mixed Type I and Type II; ratio unverified</x:v>
      </x:c>
      <x:c r="Q18" s="24" t="str">
        <x:v>Published biopsies insufficient to state a reliable per-muscle percentage; no inference from function</x:v>
      </x:c>
      <x:c r="R18" s="32" t="str">
        <x:v>https://www.kenhub.com/en/library/anatomy/thorax</x:v>
      </x:c>
      <x:c r="S18" s="32" t="str">
        <x:v>https://pubmed.ncbi.nlm.nih.gov/39359186/</x:v>
      </x:c>
    </x:row>
    <x:row r="19" ht="53" customHeight="1">
      <x:c r="A19" s="24" t="str">
        <x:v>Innermost intercostal (interspace 1, R1-R2)</x:v>
      </x:c>
      <x:c r="B19" s="24" t="str">
        <x:v>Segment-level fascicle</x:v>
      </x:c>
      <x:c r="C19" s="24" t="str">
        <x:v>Stabilizer</x:v>
      </x:c>
      <x:c r="D19" s="28" t="str">
        <x:v>No</x:v>
      </x:c>
      <x:c r="E19" s="28" t="str">
        <x:v>No</x:v>
      </x:c>
      <x:c r="F19" s="28" t="str">
        <x:v>Yes</x:v>
      </x:c>
      <x:c r="G19" s="24" t="str">
        <x:v>Assists rib movement and stabilizes interspace</x:v>
      </x:c>
      <x:c r="H19" s="24" t="str">
        <x:v>Inferior margin of rib 1</x:v>
      </x:c>
      <x:c r="I19" s="24" t="str">
        <x:v>Superior margin of rib 2</x:v>
      </x:c>
      <x:c r="J19" s="24" t="str">
        <x:v>Intercostal nerve 1</x:v>
      </x:c>
      <x:c r="K19" s="24" t="str">
        <x:v>T1</x:v>
      </x:c>
      <x:c r="L19" s="24" t="str">
        <x:v>Segmental rib-to-rib muscle attachment</x:v>
      </x:c>
      <x:c r="M19" s="24" t="str">
        <x:v>Costal periosteum/intercostal membrane; no specific direct ligament</x:v>
      </x:c>
      <x:c r="N19" s="30" t="str">
        <x:v>Not established</x:v>
      </x:c>
      <x:c r="O19" s="30" t="str">
        <x:v>Not established</x:v>
      </x:c>
      <x:c r="P19" s="30" t="str">
        <x:v>Mixed Type I and Type II; ratio unverified</x:v>
      </x:c>
      <x:c r="Q19" s="24" t="str">
        <x:v>Published biopsies insufficient to state a reliable per-muscle percentage; no inference from function</x:v>
      </x:c>
      <x:c r="R19" s="32" t="str">
        <x:v>https://www.kenhub.com/en/library/anatomy/thorax</x:v>
      </x:c>
      <x:c r="S19" s="32" t="str">
        <x:v>https://pubmed.ncbi.nlm.nih.gov/39359186/</x:v>
      </x:c>
    </x:row>
    <x:row r="20" ht="53" customHeight="1">
      <x:c r="A20" s="24" t="str">
        <x:v>Innermost intercostal (interspace 10, R10-R11)</x:v>
      </x:c>
      <x:c r="B20" s="24" t="str">
        <x:v>Segment-level fascicle</x:v>
      </x:c>
      <x:c r="C20" s="24" t="str">
        <x:v>Stabilizer</x:v>
      </x:c>
      <x:c r="D20" s="28" t="str">
        <x:v>No</x:v>
      </x:c>
      <x:c r="E20" s="28" t="str">
        <x:v>No</x:v>
      </x:c>
      <x:c r="F20" s="28" t="str">
        <x:v>Yes</x:v>
      </x:c>
      <x:c r="G20" s="24" t="str">
        <x:v>Assists rib movement and stabilizes interspace</x:v>
      </x:c>
      <x:c r="H20" s="24" t="str">
        <x:v>Inferior margin of rib 10</x:v>
      </x:c>
      <x:c r="I20" s="24" t="str">
        <x:v>Superior margin of rib 11</x:v>
      </x:c>
      <x:c r="J20" s="24" t="str">
        <x:v>Intercostal nerve 10</x:v>
      </x:c>
      <x:c r="K20" s="24" t="str">
        <x:v>T10</x:v>
      </x:c>
      <x:c r="L20" s="24" t="str">
        <x:v>Segmental rib-to-rib muscle attachment</x:v>
      </x:c>
      <x:c r="M20" s="24" t="str">
        <x:v>Costal periosteum/intercostal membrane; no specific direct ligament</x:v>
      </x:c>
      <x:c r="N20" s="30" t="str">
        <x:v>Not established</x:v>
      </x:c>
      <x:c r="O20" s="30" t="str">
        <x:v>Not established</x:v>
      </x:c>
      <x:c r="P20" s="30" t="str">
        <x:v>Mixed Type I and Type II; ratio unverified</x:v>
      </x:c>
      <x:c r="Q20" s="24" t="str">
        <x:v>Published biopsies insufficient to state a reliable per-muscle percentage; no inference from function</x:v>
      </x:c>
      <x:c r="R20" s="32" t="str">
        <x:v>https://www.kenhub.com/en/library/anatomy/thorax</x:v>
      </x:c>
      <x:c r="S20" s="32" t="str">
        <x:v>https://pubmed.ncbi.nlm.nih.gov/39359186/</x:v>
      </x:c>
    </x:row>
    <x:row r="21" ht="53" customHeight="1">
      <x:c r="A21" s="24" t="str">
        <x:v>Innermost intercostal (interspace 11, R11-R12)</x:v>
      </x:c>
      <x:c r="B21" s="24" t="str">
        <x:v>Segment-level fascicle</x:v>
      </x:c>
      <x:c r="C21" s="24" t="str">
        <x:v>Stabilizer</x:v>
      </x:c>
      <x:c r="D21" s="28" t="str">
        <x:v>No</x:v>
      </x:c>
      <x:c r="E21" s="28" t="str">
        <x:v>No</x:v>
      </x:c>
      <x:c r="F21" s="28" t="str">
        <x:v>Yes</x:v>
      </x:c>
      <x:c r="G21" s="24" t="str">
        <x:v>Assists rib movement and stabilizes interspace</x:v>
      </x:c>
      <x:c r="H21" s="24" t="str">
        <x:v>Inferior margin of rib 11</x:v>
      </x:c>
      <x:c r="I21" s="24" t="str">
        <x:v>Superior margin of rib 12</x:v>
      </x:c>
      <x:c r="J21" s="24" t="str">
        <x:v>Intercostal nerve 11</x:v>
      </x:c>
      <x:c r="K21" s="24" t="str">
        <x:v>T11</x:v>
      </x:c>
      <x:c r="L21" s="24" t="str">
        <x:v>Segmental rib-to-rib muscle attachment</x:v>
      </x:c>
      <x:c r="M21" s="24" t="str">
        <x:v>Costal periosteum/intercostal membrane; no specific direct ligament</x:v>
      </x:c>
      <x:c r="N21" s="30" t="str">
        <x:v>Not established</x:v>
      </x:c>
      <x:c r="O21" s="30" t="str">
        <x:v>Not established</x:v>
      </x:c>
      <x:c r="P21" s="30" t="str">
        <x:v>Mixed Type I and Type II; ratio unverified</x:v>
      </x:c>
      <x:c r="Q21" s="24" t="str">
        <x:v>Published biopsies insufficient to state a reliable per-muscle percentage; no inference from function</x:v>
      </x:c>
      <x:c r="R21" s="32" t="str">
        <x:v>https://www.kenhub.com/en/library/anatomy/thorax</x:v>
      </x:c>
      <x:c r="S21" s="32" t="str">
        <x:v>https://pubmed.ncbi.nlm.nih.gov/39359186/</x:v>
      </x:c>
    </x:row>
    <x:row r="22" ht="53" customHeight="1">
      <x:c r="A22" s="24" t="str">
        <x:v>Innermost intercostal (interspace 2, R2-R3)</x:v>
      </x:c>
      <x:c r="B22" s="24" t="str">
        <x:v>Segment-level fascicle</x:v>
      </x:c>
      <x:c r="C22" s="24" t="str">
        <x:v>Stabilizer</x:v>
      </x:c>
      <x:c r="D22" s="28" t="str">
        <x:v>No</x:v>
      </x:c>
      <x:c r="E22" s="28" t="str">
        <x:v>No</x:v>
      </x:c>
      <x:c r="F22" s="28" t="str">
        <x:v>Yes</x:v>
      </x:c>
      <x:c r="G22" s="24" t="str">
        <x:v>Assists rib movement and stabilizes interspace</x:v>
      </x:c>
      <x:c r="H22" s="24" t="str">
        <x:v>Inferior margin of rib 2</x:v>
      </x:c>
      <x:c r="I22" s="24" t="str">
        <x:v>Superior margin of rib 3</x:v>
      </x:c>
      <x:c r="J22" s="24" t="str">
        <x:v>Intercostal nerve 2</x:v>
      </x:c>
      <x:c r="K22" s="24" t="str">
        <x:v>T2</x:v>
      </x:c>
      <x:c r="L22" s="24" t="str">
        <x:v>Segmental rib-to-rib muscle attachment</x:v>
      </x:c>
      <x:c r="M22" s="24" t="str">
        <x:v>Costal periosteum/intercostal membrane; no specific direct ligament</x:v>
      </x:c>
      <x:c r="N22" s="30" t="str">
        <x:v>Not established</x:v>
      </x:c>
      <x:c r="O22" s="30" t="str">
        <x:v>Not established</x:v>
      </x:c>
      <x:c r="P22" s="30" t="str">
        <x:v>Mixed Type I and Type II; ratio unverified</x:v>
      </x:c>
      <x:c r="Q22" s="24" t="str">
        <x:v>Published biopsies insufficient to state a reliable per-muscle percentage; no inference from function</x:v>
      </x:c>
      <x:c r="R22" s="32" t="str">
        <x:v>https://www.kenhub.com/en/library/anatomy/thorax</x:v>
      </x:c>
      <x:c r="S22" s="32" t="str">
        <x:v>https://pubmed.ncbi.nlm.nih.gov/39359186/</x:v>
      </x:c>
    </x:row>
    <x:row r="23" ht="53" customHeight="1">
      <x:c r="A23" s="24" t="str">
        <x:v>Innermost intercostal (interspace 3, R3-R4)</x:v>
      </x:c>
      <x:c r="B23" s="24" t="str">
        <x:v>Segment-level fascicle</x:v>
      </x:c>
      <x:c r="C23" s="24" t="str">
        <x:v>Stabilizer</x:v>
      </x:c>
      <x:c r="D23" s="28" t="str">
        <x:v>No</x:v>
      </x:c>
      <x:c r="E23" s="28" t="str">
        <x:v>No</x:v>
      </x:c>
      <x:c r="F23" s="28" t="str">
        <x:v>Yes</x:v>
      </x:c>
      <x:c r="G23" s="24" t="str">
        <x:v>Assists rib movement and stabilizes interspace</x:v>
      </x:c>
      <x:c r="H23" s="24" t="str">
        <x:v>Inferior margin of rib 3</x:v>
      </x:c>
      <x:c r="I23" s="24" t="str">
        <x:v>Superior margin of rib 4</x:v>
      </x:c>
      <x:c r="J23" s="24" t="str">
        <x:v>Intercostal nerve 3</x:v>
      </x:c>
      <x:c r="K23" s="24" t="str">
        <x:v>T3</x:v>
      </x:c>
      <x:c r="L23" s="24" t="str">
        <x:v>Segmental rib-to-rib muscle attachment</x:v>
      </x:c>
      <x:c r="M23" s="24" t="str">
        <x:v>Costal periosteum/intercostal membrane; no specific direct ligament</x:v>
      </x:c>
      <x:c r="N23" s="30" t="str">
        <x:v>Not established</x:v>
      </x:c>
      <x:c r="O23" s="30" t="str">
        <x:v>Not established</x:v>
      </x:c>
      <x:c r="P23" s="30" t="str">
        <x:v>Mixed Type I and Type II; ratio unverified</x:v>
      </x:c>
      <x:c r="Q23" s="24" t="str">
        <x:v>Published biopsies insufficient to state a reliable per-muscle percentage; no inference from function</x:v>
      </x:c>
      <x:c r="R23" s="32" t="str">
        <x:v>https://www.kenhub.com/en/library/anatomy/thorax</x:v>
      </x:c>
      <x:c r="S23" s="32" t="str">
        <x:v>https://pubmed.ncbi.nlm.nih.gov/39359186/</x:v>
      </x:c>
    </x:row>
    <x:row r="24" ht="53" customHeight="1">
      <x:c r="A24" s="24" t="str">
        <x:v>Innermost intercostal (interspace 4, R4-R5)</x:v>
      </x:c>
      <x:c r="B24" s="24" t="str">
        <x:v>Segment-level fascicle</x:v>
      </x:c>
      <x:c r="C24" s="24" t="str">
        <x:v>Stabilizer</x:v>
      </x:c>
      <x:c r="D24" s="28" t="str">
        <x:v>No</x:v>
      </x:c>
      <x:c r="E24" s="28" t="str">
        <x:v>No</x:v>
      </x:c>
      <x:c r="F24" s="28" t="str">
        <x:v>Yes</x:v>
      </x:c>
      <x:c r="G24" s="24" t="str">
        <x:v>Assists rib movement and stabilizes interspace</x:v>
      </x:c>
      <x:c r="H24" s="24" t="str">
        <x:v>Inferior margin of rib 4</x:v>
      </x:c>
      <x:c r="I24" s="24" t="str">
        <x:v>Superior margin of rib 5</x:v>
      </x:c>
      <x:c r="J24" s="24" t="str">
        <x:v>Intercostal nerve 4</x:v>
      </x:c>
      <x:c r="K24" s="24" t="str">
        <x:v>T4</x:v>
      </x:c>
      <x:c r="L24" s="24" t="str">
        <x:v>Segmental rib-to-rib muscle attachment</x:v>
      </x:c>
      <x:c r="M24" s="24" t="str">
        <x:v>Costal periosteum/intercostal membrane; no specific direct ligament</x:v>
      </x:c>
      <x:c r="N24" s="30" t="str">
        <x:v>Not established</x:v>
      </x:c>
      <x:c r="O24" s="30" t="str">
        <x:v>Not established</x:v>
      </x:c>
      <x:c r="P24" s="30" t="str">
        <x:v>Mixed Type I and Type II; ratio unverified</x:v>
      </x:c>
      <x:c r="Q24" s="24" t="str">
        <x:v>Published biopsies insufficient to state a reliable per-muscle percentage; no inference from function</x:v>
      </x:c>
      <x:c r="R24" s="32" t="str">
        <x:v>https://www.kenhub.com/en/library/anatomy/thorax</x:v>
      </x:c>
      <x:c r="S24" s="32" t="str">
        <x:v>https://pubmed.ncbi.nlm.nih.gov/39359186/</x:v>
      </x:c>
    </x:row>
    <x:row r="25" ht="53" customHeight="1">
      <x:c r="A25" s="24" t="str">
        <x:v>Innermost intercostal (interspace 5, R5-R6)</x:v>
      </x:c>
      <x:c r="B25" s="24" t="str">
        <x:v>Segment-level fascicle</x:v>
      </x:c>
      <x:c r="C25" s="24" t="str">
        <x:v>Stabilizer</x:v>
      </x:c>
      <x:c r="D25" s="28" t="str">
        <x:v>No</x:v>
      </x:c>
      <x:c r="E25" s="28" t="str">
        <x:v>No</x:v>
      </x:c>
      <x:c r="F25" s="28" t="str">
        <x:v>Yes</x:v>
      </x:c>
      <x:c r="G25" s="24" t="str">
        <x:v>Assists rib movement and stabilizes interspace</x:v>
      </x:c>
      <x:c r="H25" s="24" t="str">
        <x:v>Inferior margin of rib 5</x:v>
      </x:c>
      <x:c r="I25" s="24" t="str">
        <x:v>Superior margin of rib 6</x:v>
      </x:c>
      <x:c r="J25" s="24" t="str">
        <x:v>Intercostal nerve 5</x:v>
      </x:c>
      <x:c r="K25" s="24" t="str">
        <x:v>T5</x:v>
      </x:c>
      <x:c r="L25" s="24" t="str">
        <x:v>Segmental rib-to-rib muscle attachment</x:v>
      </x:c>
      <x:c r="M25" s="24" t="str">
        <x:v>Costal periosteum/intercostal membrane; no specific direct ligament</x:v>
      </x:c>
      <x:c r="N25" s="30" t="str">
        <x:v>Not established</x:v>
      </x:c>
      <x:c r="O25" s="30" t="str">
        <x:v>Not established</x:v>
      </x:c>
      <x:c r="P25" s="30" t="str">
        <x:v>Mixed Type I and Type II; ratio unverified</x:v>
      </x:c>
      <x:c r="Q25" s="24" t="str">
        <x:v>Published biopsies insufficient to state a reliable per-muscle percentage; no inference from function</x:v>
      </x:c>
      <x:c r="R25" s="32" t="str">
        <x:v>https://www.kenhub.com/en/library/anatomy/thorax</x:v>
      </x:c>
      <x:c r="S25" s="32" t="str">
        <x:v>https://pubmed.ncbi.nlm.nih.gov/39359186/</x:v>
      </x:c>
    </x:row>
    <x:row r="26" ht="53" customHeight="1">
      <x:c r="A26" s="24" t="str">
        <x:v>Innermost intercostal (interspace 6, R6-R7)</x:v>
      </x:c>
      <x:c r="B26" s="24" t="str">
        <x:v>Segment-level fascicle</x:v>
      </x:c>
      <x:c r="C26" s="24" t="str">
        <x:v>Stabilizer</x:v>
      </x:c>
      <x:c r="D26" s="28" t="str">
        <x:v>No</x:v>
      </x:c>
      <x:c r="E26" s="28" t="str">
        <x:v>No</x:v>
      </x:c>
      <x:c r="F26" s="28" t="str">
        <x:v>Yes</x:v>
      </x:c>
      <x:c r="G26" s="24" t="str">
        <x:v>Assists rib movement and stabilizes interspace</x:v>
      </x:c>
      <x:c r="H26" s="24" t="str">
        <x:v>Inferior margin of rib 6</x:v>
      </x:c>
      <x:c r="I26" s="24" t="str">
        <x:v>Superior margin of rib 7</x:v>
      </x:c>
      <x:c r="J26" s="24" t="str">
        <x:v>Intercostal nerve 6</x:v>
      </x:c>
      <x:c r="K26" s="24" t="str">
        <x:v>T6</x:v>
      </x:c>
      <x:c r="L26" s="24" t="str">
        <x:v>Segmental rib-to-rib muscle attachment</x:v>
      </x:c>
      <x:c r="M26" s="24" t="str">
        <x:v>Costal periosteum/intercostal membrane; no specific direct ligament</x:v>
      </x:c>
      <x:c r="N26" s="30" t="str">
        <x:v>Not established</x:v>
      </x:c>
      <x:c r="O26" s="30" t="str">
        <x:v>Not established</x:v>
      </x:c>
      <x:c r="P26" s="30" t="str">
        <x:v>Mixed Type I and Type II; ratio unverified</x:v>
      </x:c>
      <x:c r="Q26" s="24" t="str">
        <x:v>Published biopsies insufficient to state a reliable per-muscle percentage; no inference from function</x:v>
      </x:c>
      <x:c r="R26" s="32" t="str">
        <x:v>https://www.kenhub.com/en/library/anatomy/thorax</x:v>
      </x:c>
      <x:c r="S26" s="32" t="str">
        <x:v>https://pubmed.ncbi.nlm.nih.gov/39359186/</x:v>
      </x:c>
    </x:row>
    <x:row r="27" ht="53" customHeight="1">
      <x:c r="A27" s="24" t="str">
        <x:v>Innermost intercostal (interspace 7, R7-R8)</x:v>
      </x:c>
      <x:c r="B27" s="24" t="str">
        <x:v>Segment-level fascicle</x:v>
      </x:c>
      <x:c r="C27" s="24" t="str">
        <x:v>Stabilizer</x:v>
      </x:c>
      <x:c r="D27" s="28" t="str">
        <x:v>No</x:v>
      </x:c>
      <x:c r="E27" s="28" t="str">
        <x:v>No</x:v>
      </x:c>
      <x:c r="F27" s="28" t="str">
        <x:v>Yes</x:v>
      </x:c>
      <x:c r="G27" s="24" t="str">
        <x:v>Assists rib movement and stabilizes interspace</x:v>
      </x:c>
      <x:c r="H27" s="24" t="str">
        <x:v>Inferior margin of rib 7</x:v>
      </x:c>
      <x:c r="I27" s="24" t="str">
        <x:v>Superior margin of rib 8</x:v>
      </x:c>
      <x:c r="J27" s="24" t="str">
        <x:v>Intercostal nerve 7</x:v>
      </x:c>
      <x:c r="K27" s="24" t="str">
        <x:v>T7</x:v>
      </x:c>
      <x:c r="L27" s="24" t="str">
        <x:v>Segmental rib-to-rib muscle attachment</x:v>
      </x:c>
      <x:c r="M27" s="24" t="str">
        <x:v>Costal periosteum/intercostal membrane; no specific direct ligament</x:v>
      </x:c>
      <x:c r="N27" s="30" t="str">
        <x:v>Not established</x:v>
      </x:c>
      <x:c r="O27" s="30" t="str">
        <x:v>Not established</x:v>
      </x:c>
      <x:c r="P27" s="30" t="str">
        <x:v>Mixed Type I and Type II; ratio unverified</x:v>
      </x:c>
      <x:c r="Q27" s="24" t="str">
        <x:v>Published biopsies insufficient to state a reliable per-muscle percentage; no inference from function</x:v>
      </x:c>
      <x:c r="R27" s="32" t="str">
        <x:v>https://www.kenhub.com/en/library/anatomy/thorax</x:v>
      </x:c>
      <x:c r="S27" s="32" t="str">
        <x:v>https://pubmed.ncbi.nlm.nih.gov/39359186/</x:v>
      </x:c>
    </x:row>
    <x:row r="28" ht="53" customHeight="1">
      <x:c r="A28" s="24" t="str">
        <x:v>Innermost intercostal (interspace 8, R8-R9)</x:v>
      </x:c>
      <x:c r="B28" s="24" t="str">
        <x:v>Segment-level fascicle</x:v>
      </x:c>
      <x:c r="C28" s="24" t="str">
        <x:v>Stabilizer</x:v>
      </x:c>
      <x:c r="D28" s="28" t="str">
        <x:v>No</x:v>
      </x:c>
      <x:c r="E28" s="28" t="str">
        <x:v>No</x:v>
      </x:c>
      <x:c r="F28" s="28" t="str">
        <x:v>Yes</x:v>
      </x:c>
      <x:c r="G28" s="24" t="str">
        <x:v>Assists rib movement and stabilizes interspace</x:v>
      </x:c>
      <x:c r="H28" s="24" t="str">
        <x:v>Inferior margin of rib 8</x:v>
      </x:c>
      <x:c r="I28" s="24" t="str">
        <x:v>Superior margin of rib 9</x:v>
      </x:c>
      <x:c r="J28" s="24" t="str">
        <x:v>Intercostal nerve 8</x:v>
      </x:c>
      <x:c r="K28" s="24" t="str">
        <x:v>T8</x:v>
      </x:c>
      <x:c r="L28" s="24" t="str">
        <x:v>Segmental rib-to-rib muscle attachment</x:v>
      </x:c>
      <x:c r="M28" s="24" t="str">
        <x:v>Costal periosteum/intercostal membrane; no specific direct ligament</x:v>
      </x:c>
      <x:c r="N28" s="30" t="str">
        <x:v>Not established</x:v>
      </x:c>
      <x:c r="O28" s="30" t="str">
        <x:v>Not established</x:v>
      </x:c>
      <x:c r="P28" s="30" t="str">
        <x:v>Mixed Type I and Type II; ratio unverified</x:v>
      </x:c>
      <x:c r="Q28" s="24" t="str">
        <x:v>Published biopsies insufficient to state a reliable per-muscle percentage; no inference from function</x:v>
      </x:c>
      <x:c r="R28" s="32" t="str">
        <x:v>https://www.kenhub.com/en/library/anatomy/thorax</x:v>
      </x:c>
      <x:c r="S28" s="32" t="str">
        <x:v>https://pubmed.ncbi.nlm.nih.gov/39359186/</x:v>
      </x:c>
    </x:row>
    <x:row r="29" ht="53" customHeight="1">
      <x:c r="A29" s="24" t="str">
        <x:v>Innermost intercostal (interspace 9, R9-R10)</x:v>
      </x:c>
      <x:c r="B29" s="24" t="str">
        <x:v>Segment-level fascicle</x:v>
      </x:c>
      <x:c r="C29" s="24" t="str">
        <x:v>Stabilizer</x:v>
      </x:c>
      <x:c r="D29" s="28" t="str">
        <x:v>No</x:v>
      </x:c>
      <x:c r="E29" s="28" t="str">
        <x:v>No</x:v>
      </x:c>
      <x:c r="F29" s="28" t="str">
        <x:v>Yes</x:v>
      </x:c>
      <x:c r="G29" s="24" t="str">
        <x:v>Assists rib movement and stabilizes interspace</x:v>
      </x:c>
      <x:c r="H29" s="24" t="str">
        <x:v>Inferior margin of rib 9</x:v>
      </x:c>
      <x:c r="I29" s="24" t="str">
        <x:v>Superior margin of rib 10</x:v>
      </x:c>
      <x:c r="J29" s="24" t="str">
        <x:v>Intercostal nerve 9</x:v>
      </x:c>
      <x:c r="K29" s="24" t="str">
        <x:v>T9</x:v>
      </x:c>
      <x:c r="L29" s="24" t="str">
        <x:v>Segmental rib-to-rib muscle attachment</x:v>
      </x:c>
      <x:c r="M29" s="24" t="str">
        <x:v>Costal periosteum/intercostal membrane; no specific direct ligament</x:v>
      </x:c>
      <x:c r="N29" s="30" t="str">
        <x:v>Not established</x:v>
      </x:c>
      <x:c r="O29" s="30" t="str">
        <x:v>Not established</x:v>
      </x:c>
      <x:c r="P29" s="30" t="str">
        <x:v>Mixed Type I and Type II; ratio unverified</x:v>
      </x:c>
      <x:c r="Q29" s="24" t="str">
        <x:v>Published biopsies insufficient to state a reliable per-muscle percentage; no inference from function</x:v>
      </x:c>
      <x:c r="R29" s="32" t="str">
        <x:v>https://www.kenhub.com/en/library/anatomy/thorax</x:v>
      </x:c>
      <x:c r="S29" s="32" t="str">
        <x:v>https://pubmed.ncbi.nlm.nih.gov/39359186/</x:v>
      </x:c>
    </x:row>
    <x:row r="30" ht="53" customHeight="1">
      <x:c r="A30" s="24" t="str">
        <x:v>Internal intercostal (interspace 1, R1-R2)</x:v>
      </x:c>
      <x:c r="B30" s="24" t="str">
        <x:v>Segment-level fascicle</x:v>
      </x:c>
      <x:c r="C30" s="24" t="str">
        <x:v>Stabilizer</x:v>
      </x:c>
      <x:c r="D30" s="28" t="str">
        <x:v>No</x:v>
      </x:c>
      <x:c r="E30" s="28" t="str">
        <x:v>No</x:v>
      </x:c>
      <x:c r="F30" s="28" t="str">
        <x:v>Yes</x:v>
      </x:c>
      <x:c r="G30" s="24" t="str">
        <x:v>Interosseous portion depresses rib; interchondral portion elevates</x:v>
      </x:c>
      <x:c r="H30" s="24" t="str">
        <x:v>Inferior margin of rib 1</x:v>
      </x:c>
      <x:c r="I30" s="24" t="str">
        <x:v>Superior margin of rib 2</x:v>
      </x:c>
      <x:c r="J30" s="24" t="str">
        <x:v>Intercostal nerve 1</x:v>
      </x:c>
      <x:c r="K30" s="24" t="str">
        <x:v>T1</x:v>
      </x:c>
      <x:c r="L30" s="24" t="str">
        <x:v>Segmental rib-to-rib muscle attachment</x:v>
      </x:c>
      <x:c r="M30" s="24" t="str">
        <x:v>Costal periosteum/intercostal membrane; no specific direct ligament</x:v>
      </x:c>
      <x:c r="N30" s="30" t="str">
        <x:v>Not established</x:v>
      </x:c>
      <x:c r="O30" s="30" t="str">
        <x:v>Not established</x:v>
      </x:c>
      <x:c r="P30" s="30" t="str">
        <x:v>Mixed Type I and Type II; ratio unverified</x:v>
      </x:c>
      <x:c r="Q30" s="24" t="str">
        <x:v>Published biopsies insufficient to state a reliable per-muscle percentage; no inference from function</x:v>
      </x:c>
      <x:c r="R30" s="32" t="str">
        <x:v>https://www.kenhub.com/en/library/anatomy/thorax</x:v>
      </x:c>
      <x:c r="S30" s="32" t="str">
        <x:v>https://pubmed.ncbi.nlm.nih.gov/39359186/</x:v>
      </x:c>
    </x:row>
    <x:row r="31" ht="53" customHeight="1">
      <x:c r="A31" s="24" t="str">
        <x:v>Internal intercostal (interspace 10, R10-R11)</x:v>
      </x:c>
      <x:c r="B31" s="24" t="str">
        <x:v>Segment-level fascicle</x:v>
      </x:c>
      <x:c r="C31" s="24" t="str">
        <x:v>Stabilizer</x:v>
      </x:c>
      <x:c r="D31" s="28" t="str">
        <x:v>No</x:v>
      </x:c>
      <x:c r="E31" s="28" t="str">
        <x:v>No</x:v>
      </x:c>
      <x:c r="F31" s="28" t="str">
        <x:v>Yes</x:v>
      </x:c>
      <x:c r="G31" s="24" t="str">
        <x:v>Interosseous portion depresses rib; interchondral portion elevates</x:v>
      </x:c>
      <x:c r="H31" s="24" t="str">
        <x:v>Inferior margin of rib 10</x:v>
      </x:c>
      <x:c r="I31" s="24" t="str">
        <x:v>Superior margin of rib 11</x:v>
      </x:c>
      <x:c r="J31" s="24" t="str">
        <x:v>Intercostal nerve 10</x:v>
      </x:c>
      <x:c r="K31" s="24" t="str">
        <x:v>T10</x:v>
      </x:c>
      <x:c r="L31" s="24" t="str">
        <x:v>Segmental rib-to-rib muscle attachment</x:v>
      </x:c>
      <x:c r="M31" s="24" t="str">
        <x:v>Costal periosteum/intercostal membrane; no specific direct ligament</x:v>
      </x:c>
      <x:c r="N31" s="30" t="str">
        <x:v>Not established</x:v>
      </x:c>
      <x:c r="O31" s="30" t="str">
        <x:v>Not established</x:v>
      </x:c>
      <x:c r="P31" s="30" t="str">
        <x:v>Mixed Type I and Type II; ratio unverified</x:v>
      </x:c>
      <x:c r="Q31" s="24" t="str">
        <x:v>Published biopsies insufficient to state a reliable per-muscle percentage; no inference from function</x:v>
      </x:c>
      <x:c r="R31" s="32" t="str">
        <x:v>https://www.kenhub.com/en/library/anatomy/thorax</x:v>
      </x:c>
      <x:c r="S31" s="32" t="str">
        <x:v>https://pubmed.ncbi.nlm.nih.gov/39359186/</x:v>
      </x:c>
    </x:row>
    <x:row r="32" ht="53" customHeight="1">
      <x:c r="A32" s="24" t="str">
        <x:v>Internal intercostal (interspace 11, R11-R12)</x:v>
      </x:c>
      <x:c r="B32" s="24" t="str">
        <x:v>Segment-level fascicle</x:v>
      </x:c>
      <x:c r="C32" s="24" t="str">
        <x:v>Stabilizer</x:v>
      </x:c>
      <x:c r="D32" s="28" t="str">
        <x:v>No</x:v>
      </x:c>
      <x:c r="E32" s="28" t="str">
        <x:v>No</x:v>
      </x:c>
      <x:c r="F32" s="28" t="str">
        <x:v>Yes</x:v>
      </x:c>
      <x:c r="G32" s="24" t="str">
        <x:v>Interosseous portion depresses rib; interchondral portion elevates</x:v>
      </x:c>
      <x:c r="H32" s="24" t="str">
        <x:v>Inferior margin of rib 11</x:v>
      </x:c>
      <x:c r="I32" s="24" t="str">
        <x:v>Superior margin of rib 12</x:v>
      </x:c>
      <x:c r="J32" s="24" t="str">
        <x:v>Intercostal nerve 11</x:v>
      </x:c>
      <x:c r="K32" s="24" t="str">
        <x:v>T11</x:v>
      </x:c>
      <x:c r="L32" s="24" t="str">
        <x:v>Segmental rib-to-rib muscle attachment</x:v>
      </x:c>
      <x:c r="M32" s="24" t="str">
        <x:v>Costal periosteum/intercostal membrane; no specific direct ligament</x:v>
      </x:c>
      <x:c r="N32" s="30" t="str">
        <x:v>Not established</x:v>
      </x:c>
      <x:c r="O32" s="30" t="str">
        <x:v>Not established</x:v>
      </x:c>
      <x:c r="P32" s="30" t="str">
        <x:v>Mixed Type I and Type II; ratio unverified</x:v>
      </x:c>
      <x:c r="Q32" s="24" t="str">
        <x:v>Published biopsies insufficient to state a reliable per-muscle percentage; no inference from function</x:v>
      </x:c>
      <x:c r="R32" s="32" t="str">
        <x:v>https://www.kenhub.com/en/library/anatomy/thorax</x:v>
      </x:c>
      <x:c r="S32" s="32" t="str">
        <x:v>https://pubmed.ncbi.nlm.nih.gov/39359186/</x:v>
      </x:c>
    </x:row>
    <x:row r="33" ht="53" customHeight="1">
      <x:c r="A33" s="24" t="str">
        <x:v>Internal intercostal (interspace 2, R2-R3)</x:v>
      </x:c>
      <x:c r="B33" s="24" t="str">
        <x:v>Segment-level fascicle</x:v>
      </x:c>
      <x:c r="C33" s="24" t="str">
        <x:v>Stabilizer</x:v>
      </x:c>
      <x:c r="D33" s="28" t="str">
        <x:v>No</x:v>
      </x:c>
      <x:c r="E33" s="28" t="str">
        <x:v>No</x:v>
      </x:c>
      <x:c r="F33" s="28" t="str">
        <x:v>Yes</x:v>
      </x:c>
      <x:c r="G33" s="24" t="str">
        <x:v>Interosseous portion depresses rib; interchondral portion elevates</x:v>
      </x:c>
      <x:c r="H33" s="24" t="str">
        <x:v>Inferior margin of rib 2</x:v>
      </x:c>
      <x:c r="I33" s="24" t="str">
        <x:v>Superior margin of rib 3</x:v>
      </x:c>
      <x:c r="J33" s="24" t="str">
        <x:v>Intercostal nerve 2</x:v>
      </x:c>
      <x:c r="K33" s="24" t="str">
        <x:v>T2</x:v>
      </x:c>
      <x:c r="L33" s="24" t="str">
        <x:v>Segmental rib-to-rib muscle attachment</x:v>
      </x:c>
      <x:c r="M33" s="24" t="str">
        <x:v>Costal periosteum/intercostal membrane; no specific direct ligament</x:v>
      </x:c>
      <x:c r="N33" s="30" t="str">
        <x:v>Not established</x:v>
      </x:c>
      <x:c r="O33" s="30" t="str">
        <x:v>Not established</x:v>
      </x:c>
      <x:c r="P33" s="30" t="str">
        <x:v>Mixed Type I and Type II; ratio unverified</x:v>
      </x:c>
      <x:c r="Q33" s="24" t="str">
        <x:v>Published biopsies insufficient to state a reliable per-muscle percentage; no inference from function</x:v>
      </x:c>
      <x:c r="R33" s="32" t="str">
        <x:v>https://www.kenhub.com/en/library/anatomy/thorax</x:v>
      </x:c>
      <x:c r="S33" s="32" t="str">
        <x:v>https://pubmed.ncbi.nlm.nih.gov/39359186/</x:v>
      </x:c>
    </x:row>
    <x:row r="34" ht="53" customHeight="1">
      <x:c r="A34" s="24" t="str">
        <x:v>Internal intercostal (interspace 3, R3-R4)</x:v>
      </x:c>
      <x:c r="B34" s="24" t="str">
        <x:v>Segment-level fascicle</x:v>
      </x:c>
      <x:c r="C34" s="24" t="str">
        <x:v>Stabilizer</x:v>
      </x:c>
      <x:c r="D34" s="28" t="str">
        <x:v>No</x:v>
      </x:c>
      <x:c r="E34" s="28" t="str">
        <x:v>No</x:v>
      </x:c>
      <x:c r="F34" s="28" t="str">
        <x:v>Yes</x:v>
      </x:c>
      <x:c r="G34" s="24" t="str">
        <x:v>Interosseous portion depresses rib; interchondral portion elevates</x:v>
      </x:c>
      <x:c r="H34" s="24" t="str">
        <x:v>Inferior margin of rib 3</x:v>
      </x:c>
      <x:c r="I34" s="24" t="str">
        <x:v>Superior margin of rib 4</x:v>
      </x:c>
      <x:c r="J34" s="24" t="str">
        <x:v>Intercostal nerve 3</x:v>
      </x:c>
      <x:c r="K34" s="24" t="str">
        <x:v>T3</x:v>
      </x:c>
      <x:c r="L34" s="24" t="str">
        <x:v>Segmental rib-to-rib muscle attachment</x:v>
      </x:c>
      <x:c r="M34" s="24" t="str">
        <x:v>Costal periosteum/intercostal membrane; no specific direct ligament</x:v>
      </x:c>
      <x:c r="N34" s="30" t="str">
        <x:v>Not established</x:v>
      </x:c>
      <x:c r="O34" s="30" t="str">
        <x:v>Not established</x:v>
      </x:c>
      <x:c r="P34" s="30" t="str">
        <x:v>Mixed Type I and Type II; ratio unverified</x:v>
      </x:c>
      <x:c r="Q34" s="24" t="str">
        <x:v>Published biopsies insufficient to state a reliable per-muscle percentage; no inference from function</x:v>
      </x:c>
      <x:c r="R34" s="32" t="str">
        <x:v>https://www.kenhub.com/en/library/anatomy/thorax</x:v>
      </x:c>
      <x:c r="S34" s="32" t="str">
        <x:v>https://pubmed.ncbi.nlm.nih.gov/39359186/</x:v>
      </x:c>
    </x:row>
    <x:row r="35" ht="53" customHeight="1">
      <x:c r="A35" s="24" t="str">
        <x:v>Internal intercostal (interspace 4, R4-R5)</x:v>
      </x:c>
      <x:c r="B35" s="24" t="str">
        <x:v>Segment-level fascicle</x:v>
      </x:c>
      <x:c r="C35" s="24" t="str">
        <x:v>Stabilizer</x:v>
      </x:c>
      <x:c r="D35" s="28" t="str">
        <x:v>No</x:v>
      </x:c>
      <x:c r="E35" s="28" t="str">
        <x:v>No</x:v>
      </x:c>
      <x:c r="F35" s="28" t="str">
        <x:v>Yes</x:v>
      </x:c>
      <x:c r="G35" s="24" t="str">
        <x:v>Interosseous portion depresses rib; interchondral portion elevates</x:v>
      </x:c>
      <x:c r="H35" s="24" t="str">
        <x:v>Inferior margin of rib 4</x:v>
      </x:c>
      <x:c r="I35" s="24" t="str">
        <x:v>Superior margin of rib 5</x:v>
      </x:c>
      <x:c r="J35" s="24" t="str">
        <x:v>Intercostal nerve 4</x:v>
      </x:c>
      <x:c r="K35" s="24" t="str">
        <x:v>T4</x:v>
      </x:c>
      <x:c r="L35" s="24" t="str">
        <x:v>Segmental rib-to-rib muscle attachment</x:v>
      </x:c>
      <x:c r="M35" s="24" t="str">
        <x:v>Costal periosteum/intercostal membrane; no specific direct ligament</x:v>
      </x:c>
      <x:c r="N35" s="30" t="str">
        <x:v>Not established</x:v>
      </x:c>
      <x:c r="O35" s="30" t="str">
        <x:v>Not established</x:v>
      </x:c>
      <x:c r="P35" s="30" t="str">
        <x:v>Mixed Type I and Type II; ratio unverified</x:v>
      </x:c>
      <x:c r="Q35" s="24" t="str">
        <x:v>Published biopsies insufficient to state a reliable per-muscle percentage; no inference from function</x:v>
      </x:c>
      <x:c r="R35" s="32" t="str">
        <x:v>https://www.kenhub.com/en/library/anatomy/thorax</x:v>
      </x:c>
      <x:c r="S35" s="32" t="str">
        <x:v>https://pubmed.ncbi.nlm.nih.gov/39359186/</x:v>
      </x:c>
    </x:row>
    <x:row r="36" ht="53" customHeight="1">
      <x:c r="A36" s="24" t="str">
        <x:v>Internal intercostal (interspace 5, R5-R6)</x:v>
      </x:c>
      <x:c r="B36" s="24" t="str">
        <x:v>Segment-level fascicle</x:v>
      </x:c>
      <x:c r="C36" s="24" t="str">
        <x:v>Stabilizer</x:v>
      </x:c>
      <x:c r="D36" s="28" t="str">
        <x:v>No</x:v>
      </x:c>
      <x:c r="E36" s="28" t="str">
        <x:v>No</x:v>
      </x:c>
      <x:c r="F36" s="28" t="str">
        <x:v>Yes</x:v>
      </x:c>
      <x:c r="G36" s="24" t="str">
        <x:v>Interosseous portion depresses rib; interchondral portion elevates</x:v>
      </x:c>
      <x:c r="H36" s="24" t="str">
        <x:v>Inferior margin of rib 5</x:v>
      </x:c>
      <x:c r="I36" s="24" t="str">
        <x:v>Superior margin of rib 6</x:v>
      </x:c>
      <x:c r="J36" s="24" t="str">
        <x:v>Intercostal nerve 5</x:v>
      </x:c>
      <x:c r="K36" s="24" t="str">
        <x:v>T5</x:v>
      </x:c>
      <x:c r="L36" s="24" t="str">
        <x:v>Segmental rib-to-rib muscle attachment</x:v>
      </x:c>
      <x:c r="M36" s="24" t="str">
        <x:v>Costal periosteum/intercostal membrane; no specific direct ligament</x:v>
      </x:c>
      <x:c r="N36" s="30" t="str">
        <x:v>Not established</x:v>
      </x:c>
      <x:c r="O36" s="30" t="str">
        <x:v>Not established</x:v>
      </x:c>
      <x:c r="P36" s="30" t="str">
        <x:v>Mixed Type I and Type II; ratio unverified</x:v>
      </x:c>
      <x:c r="Q36" s="24" t="str">
        <x:v>Published biopsies insufficient to state a reliable per-muscle percentage; no inference from function</x:v>
      </x:c>
      <x:c r="R36" s="32" t="str">
        <x:v>https://www.kenhub.com/en/library/anatomy/thorax</x:v>
      </x:c>
      <x:c r="S36" s="32" t="str">
        <x:v>https://pubmed.ncbi.nlm.nih.gov/39359186/</x:v>
      </x:c>
    </x:row>
    <x:row r="37" ht="53" customHeight="1">
      <x:c r="A37" s="24" t="str">
        <x:v>Internal intercostal (interspace 6, R6-R7)</x:v>
      </x:c>
      <x:c r="B37" s="24" t="str">
        <x:v>Segment-level fascicle</x:v>
      </x:c>
      <x:c r="C37" s="24" t="str">
        <x:v>Stabilizer</x:v>
      </x:c>
      <x:c r="D37" s="28" t="str">
        <x:v>No</x:v>
      </x:c>
      <x:c r="E37" s="28" t="str">
        <x:v>No</x:v>
      </x:c>
      <x:c r="F37" s="28" t="str">
        <x:v>Yes</x:v>
      </x:c>
      <x:c r="G37" s="24" t="str">
        <x:v>Interosseous portion depresses rib; interchondral portion elevates</x:v>
      </x:c>
      <x:c r="H37" s="24" t="str">
        <x:v>Inferior margin of rib 6</x:v>
      </x:c>
      <x:c r="I37" s="24" t="str">
        <x:v>Superior margin of rib 7</x:v>
      </x:c>
      <x:c r="J37" s="24" t="str">
        <x:v>Intercostal nerve 6</x:v>
      </x:c>
      <x:c r="K37" s="24" t="str">
        <x:v>T6</x:v>
      </x:c>
      <x:c r="L37" s="24" t="str">
        <x:v>Segmental rib-to-rib muscle attachment</x:v>
      </x:c>
      <x:c r="M37" s="24" t="str">
        <x:v>Costal periosteum/intercostal membrane; no specific direct ligament</x:v>
      </x:c>
      <x:c r="N37" s="30" t="str">
        <x:v>Not established</x:v>
      </x:c>
      <x:c r="O37" s="30" t="str">
        <x:v>Not established</x:v>
      </x:c>
      <x:c r="P37" s="30" t="str">
        <x:v>Mixed Type I and Type II; ratio unverified</x:v>
      </x:c>
      <x:c r="Q37" s="24" t="str">
        <x:v>Published biopsies insufficient to state a reliable per-muscle percentage; no inference from function</x:v>
      </x:c>
      <x:c r="R37" s="32" t="str">
        <x:v>https://www.kenhub.com/en/library/anatomy/thorax</x:v>
      </x:c>
      <x:c r="S37" s="32" t="str">
        <x:v>https://pubmed.ncbi.nlm.nih.gov/39359186/</x:v>
      </x:c>
    </x:row>
    <x:row r="38" ht="53" customHeight="1">
      <x:c r="A38" s="24" t="str">
        <x:v>Internal intercostal (interspace 7, R7-R8)</x:v>
      </x:c>
      <x:c r="B38" s="24" t="str">
        <x:v>Segment-level fascicle</x:v>
      </x:c>
      <x:c r="C38" s="24" t="str">
        <x:v>Stabilizer</x:v>
      </x:c>
      <x:c r="D38" s="28" t="str">
        <x:v>No</x:v>
      </x:c>
      <x:c r="E38" s="28" t="str">
        <x:v>No</x:v>
      </x:c>
      <x:c r="F38" s="28" t="str">
        <x:v>Yes</x:v>
      </x:c>
      <x:c r="G38" s="24" t="str">
        <x:v>Interosseous portion depresses rib; interchondral portion elevates</x:v>
      </x:c>
      <x:c r="H38" s="24" t="str">
        <x:v>Inferior margin of rib 7</x:v>
      </x:c>
      <x:c r="I38" s="24" t="str">
        <x:v>Superior margin of rib 8</x:v>
      </x:c>
      <x:c r="J38" s="24" t="str">
        <x:v>Intercostal nerve 7</x:v>
      </x:c>
      <x:c r="K38" s="24" t="str">
        <x:v>T7</x:v>
      </x:c>
      <x:c r="L38" s="24" t="str">
        <x:v>Segmental rib-to-rib muscle attachment</x:v>
      </x:c>
      <x:c r="M38" s="24" t="str">
        <x:v>Costal periosteum/intercostal membrane; no specific direct ligament</x:v>
      </x:c>
      <x:c r="N38" s="30" t="str">
        <x:v>Not established</x:v>
      </x:c>
      <x:c r="O38" s="30" t="str">
        <x:v>Not established</x:v>
      </x:c>
      <x:c r="P38" s="30" t="str">
        <x:v>Mixed Type I and Type II; ratio unverified</x:v>
      </x:c>
      <x:c r="Q38" s="24" t="str">
        <x:v>Published biopsies insufficient to state a reliable per-muscle percentage; no inference from function</x:v>
      </x:c>
      <x:c r="R38" s="32" t="str">
        <x:v>https://www.kenhub.com/en/library/anatomy/thorax</x:v>
      </x:c>
      <x:c r="S38" s="32" t="str">
        <x:v>https://pubmed.ncbi.nlm.nih.gov/39359186/</x:v>
      </x:c>
    </x:row>
    <x:row r="39" ht="53" customHeight="1">
      <x:c r="A39" s="24" t="str">
        <x:v>Internal intercostal (interspace 8, R8-R9)</x:v>
      </x:c>
      <x:c r="B39" s="24" t="str">
        <x:v>Segment-level fascicle</x:v>
      </x:c>
      <x:c r="C39" s="24" t="str">
        <x:v>Stabilizer</x:v>
      </x:c>
      <x:c r="D39" s="28" t="str">
        <x:v>No</x:v>
      </x:c>
      <x:c r="E39" s="28" t="str">
        <x:v>No</x:v>
      </x:c>
      <x:c r="F39" s="28" t="str">
        <x:v>Yes</x:v>
      </x:c>
      <x:c r="G39" s="24" t="str">
        <x:v>Interosseous portion depresses rib; interchondral portion elevates</x:v>
      </x:c>
      <x:c r="H39" s="24" t="str">
        <x:v>Inferior margin of rib 8</x:v>
      </x:c>
      <x:c r="I39" s="24" t="str">
        <x:v>Superior margin of rib 9</x:v>
      </x:c>
      <x:c r="J39" s="24" t="str">
        <x:v>Intercostal nerve 8</x:v>
      </x:c>
      <x:c r="K39" s="24" t="str">
        <x:v>T8</x:v>
      </x:c>
      <x:c r="L39" s="24" t="str">
        <x:v>Segmental rib-to-rib muscle attachment</x:v>
      </x:c>
      <x:c r="M39" s="24" t="str">
        <x:v>Costal periosteum/intercostal membrane; no specific direct ligament</x:v>
      </x:c>
      <x:c r="N39" s="30" t="str">
        <x:v>Not established</x:v>
      </x:c>
      <x:c r="O39" s="30" t="str">
        <x:v>Not established</x:v>
      </x:c>
      <x:c r="P39" s="30" t="str">
        <x:v>Mixed Type I and Type II; ratio unverified</x:v>
      </x:c>
      <x:c r="Q39" s="24" t="str">
        <x:v>Published biopsies insufficient to state a reliable per-muscle percentage; no inference from function</x:v>
      </x:c>
      <x:c r="R39" s="32" t="str">
        <x:v>https://www.kenhub.com/en/library/anatomy/thorax</x:v>
      </x:c>
      <x:c r="S39" s="32" t="str">
        <x:v>https://pubmed.ncbi.nlm.nih.gov/39359186/</x:v>
      </x:c>
    </x:row>
    <x:row r="40" ht="53" customHeight="1">
      <x:c r="A40" s="24" t="str">
        <x:v>Internal intercostal (interspace 9, R9-R10)</x:v>
      </x:c>
      <x:c r="B40" s="24" t="str">
        <x:v>Segment-level fascicle</x:v>
      </x:c>
      <x:c r="C40" s="24" t="str">
        <x:v>Stabilizer</x:v>
      </x:c>
      <x:c r="D40" s="28" t="str">
        <x:v>No</x:v>
      </x:c>
      <x:c r="E40" s="28" t="str">
        <x:v>No</x:v>
      </x:c>
      <x:c r="F40" s="28" t="str">
        <x:v>Yes</x:v>
      </x:c>
      <x:c r="G40" s="24" t="str">
        <x:v>Interosseous portion depresses rib; interchondral portion elevates</x:v>
      </x:c>
      <x:c r="H40" s="24" t="str">
        <x:v>Inferior margin of rib 9</x:v>
      </x:c>
      <x:c r="I40" s="24" t="str">
        <x:v>Superior margin of rib 10</x:v>
      </x:c>
      <x:c r="J40" s="24" t="str">
        <x:v>Intercostal nerve 9</x:v>
      </x:c>
      <x:c r="K40" s="24" t="str">
        <x:v>T9</x:v>
      </x:c>
      <x:c r="L40" s="24" t="str">
        <x:v>Segmental rib-to-rib muscle attachment</x:v>
      </x:c>
      <x:c r="M40" s="24" t="str">
        <x:v>Costal periosteum/intercostal membrane; no specific direct ligament</x:v>
      </x:c>
      <x:c r="N40" s="30" t="str">
        <x:v>Not established</x:v>
      </x:c>
      <x:c r="O40" s="30" t="str">
        <x:v>Not established</x:v>
      </x:c>
      <x:c r="P40" s="30" t="str">
        <x:v>Mixed Type I and Type II; ratio unverified</x:v>
      </x:c>
      <x:c r="Q40" s="24" t="str">
        <x:v>Published biopsies insufficient to state a reliable per-muscle percentage; no inference from function</x:v>
      </x:c>
      <x:c r="R40" s="32" t="str">
        <x:v>https://www.kenhub.com/en/library/anatomy/thorax</x:v>
      </x:c>
      <x:c r="S40" s="32" t="str">
        <x:v>https://pubmed.ncbi.nlm.nih.gov/39359186/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d0d70cce3df94b57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HEAD &amp; FACE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48 detailed entries | attachments and motor innervation | nearby versus direct ligament relationships explicitly indicated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Corrugator supercilii</x:v>
      </x:c>
      <x:c r="B4" s="24" t="str">
        <x:v>Brow</x:v>
      </x:c>
      <x:c r="C4" s="24" t="str">
        <x:v>Other</x:v>
      </x:c>
      <x:c r="D4" s="28" t="str">
        <x:v>No</x:v>
      </x:c>
      <x:c r="E4" s="28" t="str">
        <x:v>No</x:v>
      </x:c>
      <x:c r="F4" s="28" t="str">
        <x:v>No</x:v>
      </x:c>
      <x:c r="G4" s="24" t="str">
        <x:v>Draws eyebrows medially/down, vertical wrinkles</x:v>
      </x:c>
      <x:c r="H4" s="24" t="str">
        <x:v>Medial end superciliary arch frontal bone</x:v>
      </x:c>
      <x:c r="I4" s="24" t="str">
        <x:v>Deep skin medial eyebrow</x:v>
      </x:c>
      <x:c r="J4" s="24" t="str">
        <x:v>Temporal branch facial nerve</x:v>
      </x:c>
      <x:c r="K4" s="24" t="str">
        <x:v>CN VII; no spinal root</x:v>
      </x:c>
      <x:c r="L4" s="24" t="str">
        <x:v>Dermal fibrous insertion</x:v>
      </x:c>
      <x:c r="M4" s="24" t="str">
        <x:v>No specific direct ligament attachment</x:v>
      </x:c>
      <x:c r="N4" s="30" t="str">
        <x:v>Not established</x:v>
      </x:c>
      <x:c r="O4" s="30" t="str">
        <x:v>Not established</x:v>
      </x:c>
      <x:c r="P4" s="30" t="str">
        <x:v>Mixed Type I and Type II; ratio unverified</x:v>
      </x:c>
      <x:c r="Q4" s="24" t="str">
        <x:v>Published biopsies insufficient to state a reliable per-muscle percentage; no inference from function</x:v>
      </x:c>
      <x:c r="R4" s="32" t="str">
        <x:v>https://www.kenhub.com/en/library/anatomy/head-anatomy</x:v>
      </x:c>
      <x:c r="S4" s="32" t="str">
        <x:v>https://pubmed.ncbi.nlm.nih.gov/39359186/</x:v>
      </x:c>
    </x:row>
    <x:row r="5" ht="53" customHeight="1">
      <x:c r="A5" s="24" t="str">
        <x:v>Levator anguli oris</x:v>
      </x:c>
      <x:c r="B5" s="24" t="str">
        <x:v>Cheek</x:v>
      </x:c>
      <x:c r="C5" s="24" t="str">
        <x:v>Other</x:v>
      </x:c>
      <x:c r="D5" s="28" t="str">
        <x:v>No</x:v>
      </x:c>
      <x:c r="E5" s="28" t="str">
        <x:v>No</x:v>
      </x:c>
      <x:c r="F5" s="28" t="str">
        <x:v>No</x:v>
      </x:c>
      <x:c r="G5" s="24" t="str">
        <x:v>Raises mouth corner</x:v>
      </x:c>
      <x:c r="H5" s="24" t="str">
        <x:v>Canine fossa of maxilla</x:v>
      </x:c>
      <x:c r="I5" s="24" t="str">
        <x:v>Modiolus at mouth angle</x:v>
      </x:c>
      <x:c r="J5" s="24" t="str">
        <x:v>Buccal facial branches</x:v>
      </x:c>
      <x:c r="K5" s="24" t="str">
        <x:v>CN VII; no spinal root</x:v>
      </x:c>
      <x:c r="L5" s="24" t="str">
        <x:v>Modiolus junction</x:v>
      </x:c>
      <x:c r="M5" s="24" t="str">
        <x:v>No specific ligament attachment</x:v>
      </x:c>
      <x:c r="N5" s="30" t="str">
        <x:v>Not established</x:v>
      </x:c>
      <x:c r="O5" s="30" t="str">
        <x:v>Not established</x:v>
      </x:c>
      <x:c r="P5" s="30" t="str">
        <x:v>Mixed Type I and Type II; ratio unverified</x:v>
      </x:c>
      <x:c r="Q5" s="24" t="str">
        <x:v>Published biopsies insufficient to state a reliable per-muscle percentage; no inference from function</x:v>
      </x:c>
      <x:c r="R5" s="32" t="str">
        <x:v>https://www.kenhub.com/en/library/anatomy/head-anatomy</x:v>
      </x:c>
      <x:c r="S5" s="32" t="str">
        <x:v>https://pubmed.ncbi.nlm.nih.gov/39359186/</x:v>
      </x:c>
    </x:row>
    <x:row r="6" ht="53" customHeight="1">
      <x:c r="A6" s="24" t="str">
        <x:v>Zygomaticus major</x:v>
      </x:c>
      <x:c r="B6" s="24" t="str">
        <x:v>Cheek</x:v>
      </x:c>
      <x:c r="C6" s="24" t="str">
        <x:v>Other</x:v>
      </x:c>
      <x:c r="D6" s="28" t="str">
        <x:v>No</x:v>
      </x:c>
      <x:c r="E6" s="28" t="str">
        <x:v>No</x:v>
      </x:c>
      <x:c r="F6" s="28" t="str">
        <x:v>No</x:v>
      </x:c>
      <x:c r="G6" s="24" t="str">
        <x:v>Elevates and laterally draws mouth angle (smile)</x:v>
      </x:c>
      <x:c r="H6" s="24" t="str">
        <x:v>Lateral zygomatic bone</x:v>
      </x:c>
      <x:c r="I6" s="24" t="str">
        <x:v>Modiolus at angle of mouth</x:v>
      </x:c>
      <x:c r="J6" s="24" t="str">
        <x:v>Zygomatic/buccal facial branches</x:v>
      </x:c>
      <x:c r="K6" s="24" t="str">
        <x:v>CN VII; no spinal root</x:v>
      </x:c>
      <x:c r="L6" s="24" t="str">
        <x:v>Modiolus fibromuscular junction</x:v>
      </x:c>
      <x:c r="M6" s="24" t="str">
        <x:v>No specific ligament attachment</x:v>
      </x:c>
      <x:c r="N6" s="30" t="str">
        <x:v>Not established</x:v>
      </x:c>
      <x:c r="O6" s="30" t="str">
        <x:v>Not established</x:v>
      </x:c>
      <x:c r="P6" s="30" t="str">
        <x:v>Mixed Type I and Type II; ratio unverified</x:v>
      </x:c>
      <x:c r="Q6" s="24" t="str">
        <x:v>Published biopsies insufficient to state a reliable per-muscle percentage; no inference from function</x:v>
      </x:c>
      <x:c r="R6" s="32" t="str">
        <x:v>https://www.kenhub.com/en/library/anatomy/head-anatomy</x:v>
      </x:c>
      <x:c r="S6" s="32" t="str">
        <x:v>https://pubmed.ncbi.nlm.nih.gov/39359186/</x:v>
      </x:c>
    </x:row>
    <x:row r="7" ht="53" customHeight="1">
      <x:c r="A7" s="24" t="str">
        <x:v>Buccinator</x:v>
      </x:c>
      <x:c r="B7" s="24" t="str">
        <x:v>Cheek deep</x:v>
      </x:c>
      <x:c r="C7" s="24" t="str">
        <x:v>Stabilizer</x:v>
      </x:c>
      <x:c r="D7" s="28" t="str">
        <x:v>No</x:v>
      </x:c>
      <x:c r="E7" s="28" t="str">
        <x:v>No</x:v>
      </x:c>
      <x:c r="F7" s="28" t="str">
        <x:v>Yes</x:v>
      </x:c>
      <x:c r="G7" s="24" t="str">
        <x:v>Compresses cheek against molars; blowing/chewing</x:v>
      </x:c>
      <x:c r="H7" s="24" t="str">
        <x:v>Alveolar processes maxilla/mandible; pterygomandibular raphe</x:v>
      </x:c>
      <x:c r="I7" s="24" t="str">
        <x:v>Orbicularis oris and modiolus</x:v>
      </x:c>
      <x:c r="J7" s="24" t="str">
        <x:v>Buccal branches facial nerve (not buccal nerve V3 motor)</x:v>
      </x:c>
      <x:c r="K7" s="24" t="str">
        <x:v>CN VII; no spinal root</x:v>
      </x:c>
      <x:c r="L7" s="24" t="str">
        <x:v>Pterygomandibular raphe fibrous origin</x:v>
      </x:c>
      <x:c r="M7" s="24" t="str">
        <x:v>Pterygomandibular raphe direct origin (not ligament)</x:v>
      </x:c>
      <x:c r="N7" s="30" t="str">
        <x:v>Not established</x:v>
      </x:c>
      <x:c r="O7" s="30" t="str">
        <x:v>Not established</x:v>
      </x:c>
      <x:c r="P7" s="30" t="str">
        <x:v>Mixed Type I and Type II; ratio unverified</x:v>
      </x:c>
      <x:c r="Q7" s="24" t="str">
        <x:v>Published biopsies insufficient to state a reliable per-muscle percentage; no inference from function</x:v>
      </x:c>
      <x:c r="R7" s="32" t="str">
        <x:v>https://www.kenhub.com/en/library/anatomy/head-anatomy</x:v>
      </x:c>
      <x:c r="S7" s="32" t="str">
        <x:v>https://pubmed.ncbi.nlm.nih.gov/39359186/</x:v>
      </x:c>
    </x:row>
    <x:row r="8" ht="53" customHeight="1">
      <x:c r="A8" s="24" t="str">
        <x:v>Risorius</x:v>
      </x:c>
      <x:c r="B8" s="24" t="str">
        <x:v>Cheek superficial</x:v>
      </x:c>
      <x:c r="C8" s="24" t="str">
        <x:v>Other</x:v>
      </x:c>
      <x:c r="D8" s="28" t="str">
        <x:v>No</x:v>
      </x:c>
      <x:c r="E8" s="28" t="str">
        <x:v>No</x:v>
      </x:c>
      <x:c r="F8" s="28" t="str">
        <x:v>No</x:v>
      </x:c>
      <x:c r="G8" s="24" t="str">
        <x:v>Retracts mouth corner laterally</x:v>
      </x:c>
      <x:c r="H8" s="24" t="str">
        <x:v>Parotid/masseteric fascia</x:v>
      </x:c>
      <x:c r="I8" s="24" t="str">
        <x:v>Modiolus at mouth angle</x:v>
      </x:c>
      <x:c r="J8" s="24" t="str">
        <x:v>Buccal facial branches</x:v>
      </x:c>
      <x:c r="K8" s="24" t="str">
        <x:v>CN VII; no spinal root</x:v>
      </x:c>
      <x:c r="L8" s="24" t="str">
        <x:v>Thin fascial fibers</x:v>
      </x:c>
      <x:c r="M8" s="24" t="str">
        <x:v>Parotidomasseteric fascia is fascia, not ligament</x:v>
      </x:c>
      <x:c r="N8" s="30" t="str">
        <x:v>Not established</x:v>
      </x:c>
      <x:c r="O8" s="30" t="str">
        <x:v>Not established</x:v>
      </x:c>
      <x:c r="P8" s="30" t="str">
        <x:v>Mixed Type I and Type II; ratio unverified</x:v>
      </x:c>
      <x:c r="Q8" s="24" t="str">
        <x:v>Published biopsies insufficient to state a reliable per-muscle percentage; no inference from function</x:v>
      </x:c>
      <x:c r="R8" s="32" t="str">
        <x:v>https://www.kenhub.com/en/library/anatomy/head-anatomy</x:v>
      </x:c>
      <x:c r="S8" s="32" t="str">
        <x:v>https://pubmed.ncbi.nlm.nih.gov/39359186/</x:v>
      </x:c>
    </x:row>
    <x:row r="9" ht="53" customHeight="1">
      <x:c r="A9" s="24" t="str">
        <x:v>Mentalis</x:v>
      </x:c>
      <x:c r="B9" s="24" t="str">
        <x:v>Chin</x:v>
      </x:c>
      <x:c r="C9" s="24" t="str">
        <x:v>Other</x:v>
      </x:c>
      <x:c r="D9" s="28" t="str">
        <x:v>No</x:v>
      </x:c>
      <x:c r="E9" s="28" t="str">
        <x:v>No</x:v>
      </x:c>
      <x:c r="F9" s="28" t="str">
        <x:v>No</x:v>
      </x:c>
      <x:c r="G9" s="24" t="str">
        <x:v>Elevates/protrudes lower lip; wrinkles chin</x:v>
      </x:c>
      <x:c r="H9" s="24" t="str">
        <x:v>Incisive fossa of mandible</x:v>
      </x:c>
      <x:c r="I9" s="24" t="str">
        <x:v>Skin chin</x:v>
      </x:c>
      <x:c r="J9" s="24" t="str">
        <x:v>Marginal mandibular facial branch</x:v>
      </x:c>
      <x:c r="K9" s="24" t="str">
        <x:v>CN VII; no spinal root</x:v>
      </x:c>
      <x:c r="L9" s="24" t="str">
        <x:v>Dermal insertion</x:v>
      </x:c>
      <x:c r="M9" s="24" t="str">
        <x:v>No direct ligament attachment</x:v>
      </x:c>
      <x:c r="N9" s="30" t="str">
        <x:v>Not established</x:v>
      </x:c>
      <x:c r="O9" s="30" t="str">
        <x:v>Not established</x:v>
      </x:c>
      <x:c r="P9" s="30" t="str">
        <x:v>Mixed Type I and Type II; ratio unverified</x:v>
      </x:c>
      <x:c r="Q9" s="24" t="str">
        <x:v>Published biopsies insufficient to state a reliable per-muscle percentage; no inference from function</x:v>
      </x:c>
      <x:c r="R9" s="32" t="str">
        <x:v>https://www.kenhub.com/en/library/anatomy/head-anatomy</x:v>
      </x:c>
      <x:c r="S9" s="32" t="str">
        <x:v>https://pubmed.ncbi.nlm.nih.gov/39359186/</x:v>
      </x:c>
    </x:row>
    <x:row r="10" ht="53" customHeight="1">
      <x:c r="A10" s="24" t="str">
        <x:v>Antitragicus</x:v>
      </x:c>
      <x:c r="B10" s="24" t="str">
        <x:v>Ear pinna</x:v>
      </x:c>
      <x:c r="C10" s="24" t="str">
        <x:v>Other</x:v>
      </x:c>
      <x:c r="D10" s="28" t="str">
        <x:v>No</x:v>
      </x:c>
      <x:c r="E10" s="28" t="str">
        <x:v>No</x:v>
      </x:c>
      <x:c r="F10" s="28" t="str">
        <x:v>No</x:v>
      </x:c>
      <x:c r="G10" s="24" t="str">
        <x:v>Minor antitragus/helix movement</x:v>
      </x:c>
      <x:c r="H10" s="24" t="str">
        <x:v>Antitragus cartilage</x:v>
      </x:c>
      <x:c r="I10" s="24" t="str">
        <x:v>Cauda helicis region</x:v>
      </x:c>
      <x:c r="J10" s="24" t="str">
        <x:v>Facial nerve auricular branches</x:v>
      </x:c>
      <x:c r="K10" s="24" t="str">
        <x:v>CN VII; no spinal root</x:v>
      </x:c>
      <x:c r="L10" s="24" t="str">
        <x:v>Short cartilage attachment</x:v>
      </x:c>
      <x:c r="M10" s="24" t="str">
        <x:v>Auricular perichondrium</x:v>
      </x:c>
      <x:c r="N10" s="30" t="str">
        <x:v>Not established</x:v>
      </x:c>
      <x:c r="O10" s="30" t="str">
        <x:v>Not established</x:v>
      </x:c>
      <x:c r="P10" s="30" t="str">
        <x:v>Mixed Type I and Type II; ratio unverified</x:v>
      </x:c>
      <x:c r="Q10" s="24" t="str">
        <x:v>Published biopsies insufficient to state a reliable per-muscle percentage; no inference from function</x:v>
      </x:c>
      <x:c r="R10" s="32" t="str">
        <x:v>https://www.kenhub.com/en/library/anatomy/head-anatomy</x:v>
      </x:c>
      <x:c r="S10" s="32" t="str">
        <x:v>https://pubmed.ncbi.nlm.nih.gov/39359186/</x:v>
      </x:c>
    </x:row>
    <x:row r="11" ht="53" customHeight="1">
      <x:c r="A11" s="24" t="str">
        <x:v>Helicis major (intrinsic auricular)</x:v>
      </x:c>
      <x:c r="B11" s="24" t="str">
        <x:v>Ear pinna</x:v>
      </x:c>
      <x:c r="C11" s="24" t="str">
        <x:v>Other</x:v>
      </x:c>
      <x:c r="D11" s="28" t="str">
        <x:v>No</x:v>
      </x:c>
      <x:c r="E11" s="28" t="str">
        <x:v>No</x:v>
      </x:c>
      <x:c r="F11" s="28" t="str">
        <x:v>No</x:v>
      </x:c>
      <x:c r="G11" s="24" t="str">
        <x:v>Minor helix shape change</x:v>
      </x:c>
      <x:c r="H11" s="24" t="str">
        <x:v>Spine of helix</x:v>
      </x:c>
      <x:c r="I11" s="24" t="str">
        <x:v>Anterior border of helix</x:v>
      </x:c>
      <x:c r="J11" s="24" t="str">
        <x:v>Facial nerve auricular branches</x:v>
      </x:c>
      <x:c r="K11" s="24" t="str">
        <x:v>CN VII; no spinal root</x:v>
      </x:c>
      <x:c r="L11" s="24" t="str">
        <x:v>Intrachondral/fascial slips</x:v>
      </x:c>
      <x:c r="M11" s="24" t="str">
        <x:v>Auricular perichondrium</x:v>
      </x:c>
      <x:c r="N11" s="30" t="str">
        <x:v>Not established</x:v>
      </x:c>
      <x:c r="O11" s="30" t="str">
        <x:v>Not established</x:v>
      </x:c>
      <x:c r="P11" s="30" t="str">
        <x:v>Mixed Type I and Type II; ratio unverified</x:v>
      </x:c>
      <x:c r="Q11" s="24" t="str">
        <x:v>Published biopsies insufficient to state a reliable per-muscle percentage; no inference from function</x:v>
      </x:c>
      <x:c r="R11" s="32" t="str">
        <x:v>https://www.kenhub.com/en/library/anatomy/head-anatomy</x:v>
      </x:c>
      <x:c r="S11" s="32" t="str">
        <x:v>https://pubmed.ncbi.nlm.nih.gov/39359186/</x:v>
      </x:c>
    </x:row>
    <x:row r="12" ht="53" customHeight="1">
      <x:c r="A12" s="24" t="str">
        <x:v>Helicis minor (intrinsic auricular)</x:v>
      </x:c>
      <x:c r="B12" s="24" t="str">
        <x:v>Ear pinna</x:v>
      </x:c>
      <x:c r="C12" s="24" t="str">
        <x:v>Other</x:v>
      </x:c>
      <x:c r="D12" s="28" t="str">
        <x:v>No</x:v>
      </x:c>
      <x:c r="E12" s="28" t="str">
        <x:v>No</x:v>
      </x:c>
      <x:c r="F12" s="28" t="str">
        <x:v>No</x:v>
      </x:c>
      <x:c r="G12" s="24" t="str">
        <x:v>Minor helix shape change</x:v>
      </x:c>
      <x:c r="H12" s="24" t="str">
        <x:v>Root of helix</x:v>
      </x:c>
      <x:c r="I12" s="24" t="str">
        <x:v>Nearby anterior helix</x:v>
      </x:c>
      <x:c r="J12" s="24" t="str">
        <x:v>Facial nerve auricular branches</x:v>
      </x:c>
      <x:c r="K12" s="24" t="str">
        <x:v>CN VII; no spinal root</x:v>
      </x:c>
      <x:c r="L12" s="24" t="str">
        <x:v>Short dermal/cartilaginous fibers</x:v>
      </x:c>
      <x:c r="M12" s="24" t="str">
        <x:v>Perichondrium of helix</x:v>
      </x:c>
      <x:c r="N12" s="30" t="str">
        <x:v>Not established</x:v>
      </x:c>
      <x:c r="O12" s="30" t="str">
        <x:v>Not established</x:v>
      </x:c>
      <x:c r="P12" s="30" t="str">
        <x:v>Mixed Type I and Type II; ratio unverified</x:v>
      </x:c>
      <x:c r="Q12" s="24" t="str">
        <x:v>Published biopsies insufficient to state a reliable per-muscle percentage; no inference from function</x:v>
      </x:c>
      <x:c r="R12" s="32" t="str">
        <x:v>https://www.kenhub.com/en/library/anatomy/head-anatomy</x:v>
      </x:c>
      <x:c r="S12" s="32" t="str">
        <x:v>https://pubmed.ncbi.nlm.nih.gov/39359186/</x:v>
      </x:c>
    </x:row>
    <x:row r="13" ht="53" customHeight="1">
      <x:c r="A13" s="24" t="str">
        <x:v>Tragicus</x:v>
      </x:c>
      <x:c r="B13" s="24" t="str">
        <x:v>Ear pinna</x:v>
      </x:c>
      <x:c r="C13" s="24" t="str">
        <x:v>Other</x:v>
      </x:c>
      <x:c r="D13" s="28" t="str">
        <x:v>No</x:v>
      </x:c>
      <x:c r="E13" s="28" t="str">
        <x:v>No</x:v>
      </x:c>
      <x:c r="F13" s="28" t="str">
        <x:v>No</x:v>
      </x:c>
      <x:c r="G13" s="24" t="str">
        <x:v>Alters tragus shape</x:v>
      </x:c>
      <x:c r="H13" s="24" t="str">
        <x:v>Lateral tragal cartilage</x:v>
      </x:c>
      <x:c r="I13" s="24" t="str">
        <x:v>Skin/cartilage tragus</x:v>
      </x:c>
      <x:c r="J13" s="24" t="str">
        <x:v>Facial nerve auricular branches</x:v>
      </x:c>
      <x:c r="K13" s="24" t="str">
        <x:v>CN VII; no spinal root</x:v>
      </x:c>
      <x:c r="L13" s="24" t="str">
        <x:v>Dermal/cartilage insertion</x:v>
      </x:c>
      <x:c r="M13" s="24" t="str">
        <x:v>Tragal cartilage fibrous covering</x:v>
      </x:c>
      <x:c r="N13" s="30" t="str">
        <x:v>Not established</x:v>
      </x:c>
      <x:c r="O13" s="30" t="str">
        <x:v>Not established</x:v>
      </x:c>
      <x:c r="P13" s="30" t="str">
        <x:v>Mixed Type I and Type II; ratio unverified</x:v>
      </x:c>
      <x:c r="Q13" s="24" t="str">
        <x:v>Published biopsies insufficient to state a reliable per-muscle percentage; no inference from function</x:v>
      </x:c>
      <x:c r="R13" s="32" t="str">
        <x:v>https://www.kenhub.com/en/library/anatomy/head-anatomy</x:v>
      </x:c>
      <x:c r="S13" s="32" t="str">
        <x:v>https://pubmed.ncbi.nlm.nih.gov/39359186/</x:v>
      </x:c>
    </x:row>
    <x:row r="14" ht="53" customHeight="1">
      <x:c r="A14" s="24" t="str">
        <x:v>Oblique auricular muscle</x:v>
      </x:c>
      <x:c r="B14" s="24" t="str">
        <x:v>Ear pinna posterior</x:v>
      </x:c>
      <x:c r="C14" s="24" t="str">
        <x:v>Other</x:v>
      </x:c>
      <x:c r="D14" s="28" t="str">
        <x:v>No</x:v>
      </x:c>
      <x:c r="E14" s="28" t="str">
        <x:v>No</x:v>
      </x:c>
      <x:c r="F14" s="28" t="str">
        <x:v>No</x:v>
      </x:c>
      <x:c r="G14" s="24" t="str">
        <x:v>Minor ear shape adjustments</x:v>
      </x:c>
      <x:c r="H14" s="24" t="str">
        <x:v>Posterior conchal eminence</x:v>
      </x:c>
      <x:c r="I14" s="24" t="str">
        <x:v>Posterior triangular fossa</x:v>
      </x:c>
      <x:c r="J14" s="24" t="str">
        <x:v>Facial nerve auricular branches</x:v>
      </x:c>
      <x:c r="K14" s="24" t="str">
        <x:v>CN VII; no spinal root</x:v>
      </x:c>
      <x:c r="L14" s="24" t="str">
        <x:v>Short fascicular attachment</x:v>
      </x:c>
      <x:c r="M14" s="24" t="str">
        <x:v>Auricular perichondrium</x:v>
      </x:c>
      <x:c r="N14" s="30" t="str">
        <x:v>Not established</x:v>
      </x:c>
      <x:c r="O14" s="30" t="str">
        <x:v>Not established</x:v>
      </x:c>
      <x:c r="P14" s="30" t="str">
        <x:v>Mixed Type I and Type II; ratio unverified</x:v>
      </x:c>
      <x:c r="Q14" s="24" t="str">
        <x:v>Published biopsies insufficient to state a reliable per-muscle percentage; no inference from function</x:v>
      </x:c>
      <x:c r="R14" s="32" t="str">
        <x:v>https://www.kenhub.com/en/library/anatomy/head-anatomy</x:v>
      </x:c>
      <x:c r="S14" s="32" t="str">
        <x:v>https://pubmed.ncbi.nlm.nih.gov/39359186/</x:v>
      </x:c>
    </x:row>
    <x:row r="15" ht="53" customHeight="1">
      <x:c r="A15" s="24" t="str">
        <x:v>Transverse auricular muscle</x:v>
      </x:c>
      <x:c r="B15" s="24" t="str">
        <x:v>Ear pinna posterior</x:v>
      </x:c>
      <x:c r="C15" s="24" t="str">
        <x:v>Other</x:v>
      </x:c>
      <x:c r="D15" s="28" t="str">
        <x:v>No</x:v>
      </x:c>
      <x:c r="E15" s="28" t="str">
        <x:v>No</x:v>
      </x:c>
      <x:c r="F15" s="28" t="str">
        <x:v>No</x:v>
      </x:c>
      <x:c r="G15" s="24" t="str">
        <x:v>Flattens ear contours</x:v>
      </x:c>
      <x:c r="H15" s="24" t="str">
        <x:v>Convexity of concha posterior surface</x:v>
      </x:c>
      <x:c r="I15" s="24" t="str">
        <x:v>Eminence of scapha</x:v>
      </x:c>
      <x:c r="J15" s="24" t="str">
        <x:v>Facial nerve auricular branches</x:v>
      </x:c>
      <x:c r="K15" s="24" t="str">
        <x:v>CN VII; no spinal root</x:v>
      </x:c>
      <x:c r="L15" s="24" t="str">
        <x:v>Short auricular fascial slips</x:v>
      </x:c>
      <x:c r="M15" s="24" t="str">
        <x:v>Auricular perichondrium</x:v>
      </x:c>
      <x:c r="N15" s="30" t="str">
        <x:v>Not established</x:v>
      </x:c>
      <x:c r="O15" s="30" t="str">
        <x:v>Not established</x:v>
      </x:c>
      <x:c r="P15" s="30" t="str">
        <x:v>Mixed Type I and Type II; ratio unverified</x:v>
      </x:c>
      <x:c r="Q15" s="24" t="str">
        <x:v>Published biopsies insufficient to state a reliable per-muscle percentage; no inference from function</x:v>
      </x:c>
      <x:c r="R15" s="32" t="str">
        <x:v>https://www.kenhub.com/en/library/anatomy/head-anatomy</x:v>
      </x:c>
      <x:c r="S15" s="32" t="str">
        <x:v>https://pubmed.ncbi.nlm.nih.gov/39359186/</x:v>
      </x:c>
    </x:row>
    <x:row r="16" ht="53" customHeight="1">
      <x:c r="A16" s="24" t="str">
        <x:v>Auricularis anterior</x:v>
      </x:c>
      <x:c r="B16" s="24" t="str">
        <x:v>External auricle</x:v>
      </x:c>
      <x:c r="C16" s="24" t="str">
        <x:v>Other</x:v>
      </x:c>
      <x:c r="D16" s="28" t="str">
        <x:v>No</x:v>
      </x:c>
      <x:c r="E16" s="28" t="str">
        <x:v>No</x:v>
      </x:c>
      <x:c r="F16" s="28" t="str">
        <x:v>No</x:v>
      </x:c>
      <x:c r="G16" s="24" t="str">
        <x:v>Draws ear forward</x:v>
      </x:c>
      <x:c r="H16" s="24" t="str">
        <x:v>Temporal fascia</x:v>
      </x:c>
      <x:c r="I16" s="24" t="str">
        <x:v>Anterior helix of auricle</x:v>
      </x:c>
      <x:c r="J16" s="24" t="str">
        <x:v>Temporal facial nerve</x:v>
      </x:c>
      <x:c r="K16" s="24" t="str">
        <x:v>CN VII; no spinal root</x:v>
      </x:c>
      <x:c r="L16" s="24" t="str">
        <x:v>Fibrous auricular insertion</x:v>
      </x:c>
      <x:c r="M16" s="24" t="str">
        <x:v>Auricular cartilage perichondrium</x:v>
      </x:c>
      <x:c r="N16" s="30" t="str">
        <x:v>Not established</x:v>
      </x:c>
      <x:c r="O16" s="30" t="str">
        <x:v>Not established</x:v>
      </x:c>
      <x:c r="P16" s="30" t="str">
        <x:v>Mixed Type I and Type II; ratio unverified</x:v>
      </x:c>
      <x:c r="Q16" s="24" t="str">
        <x:v>Published biopsies insufficient to state a reliable per-muscle percentage; no inference from function</x:v>
      </x:c>
      <x:c r="R16" s="32" t="str">
        <x:v>https://www.kenhub.com/en/library/anatomy/head-anatomy</x:v>
      </x:c>
      <x:c r="S16" s="32" t="str">
        <x:v>https://pubmed.ncbi.nlm.nih.gov/39359186/</x:v>
      </x:c>
    </x:row>
    <x:row r="17" ht="53" customHeight="1">
      <x:c r="A17" s="24" t="str">
        <x:v>Auricularis posterior</x:v>
      </x:c>
      <x:c r="B17" s="24" t="str">
        <x:v>External auricle</x:v>
      </x:c>
      <x:c r="C17" s="24" t="str">
        <x:v>Other</x:v>
      </x:c>
      <x:c r="D17" s="28" t="str">
        <x:v>No</x:v>
      </x:c>
      <x:c r="E17" s="28" t="str">
        <x:v>No</x:v>
      </x:c>
      <x:c r="F17" s="28" t="str">
        <x:v>No</x:v>
      </x:c>
      <x:c r="G17" s="24" t="str">
        <x:v>Retracts ear</x:v>
      </x:c>
      <x:c r="H17" s="24" t="str">
        <x:v>Mastoid region temporal bone</x:v>
      </x:c>
      <x:c r="I17" s="24" t="str">
        <x:v>Posterior auricular cartilage</x:v>
      </x:c>
      <x:c r="J17" s="24" t="str">
        <x:v>Posterior auricular facial nerve</x:v>
      </x:c>
      <x:c r="K17" s="24" t="str">
        <x:v>CN VII; no spinal root</x:v>
      </x:c>
      <x:c r="L17" s="24" t="str">
        <x:v>Small auricular tendons</x:v>
      </x:c>
      <x:c r="M17" s="24" t="str">
        <x:v>Auricular cartilage fibrous tissues</x:v>
      </x:c>
      <x:c r="N17" s="30" t="str">
        <x:v>Not established</x:v>
      </x:c>
      <x:c r="O17" s="30" t="str">
        <x:v>Not established</x:v>
      </x:c>
      <x:c r="P17" s="30" t="str">
        <x:v>Mixed Type I and Type II; ratio unverified</x:v>
      </x:c>
      <x:c r="Q17" s="24" t="str">
        <x:v>Published biopsies insufficient to state a reliable per-muscle percentage; no inference from function</x:v>
      </x:c>
      <x:c r="R17" s="32" t="str">
        <x:v>https://www.kenhub.com/en/library/anatomy/head-anatomy</x:v>
      </x:c>
      <x:c r="S17" s="32" t="str">
        <x:v>https://pubmed.ncbi.nlm.nih.gov/39359186/</x:v>
      </x:c>
    </x:row>
    <x:row r="18" ht="53" customHeight="1">
      <x:c r="A18" s="24" t="str">
        <x:v>Auricularis superior</x:v>
      </x:c>
      <x:c r="B18" s="24" t="str">
        <x:v>External auricle</x:v>
      </x:c>
      <x:c r="C18" s="24" t="str">
        <x:v>Other</x:v>
      </x:c>
      <x:c r="D18" s="28" t="str">
        <x:v>No</x:v>
      </x:c>
      <x:c r="E18" s="28" t="str">
        <x:v>No</x:v>
      </x:c>
      <x:c r="F18" s="28" t="str">
        <x:v>No</x:v>
      </x:c>
      <x:c r="G18" s="24" t="str">
        <x:v>Elevates ear</x:v>
      </x:c>
      <x:c r="H18" s="24" t="str">
        <x:v>Epicranial aponeurosis</x:v>
      </x:c>
      <x:c r="I18" s="24" t="str">
        <x:v>Upper auricular cartilage</x:v>
      </x:c>
      <x:c r="J18" s="24" t="str">
        <x:v>Temporal facial nerve</x:v>
      </x:c>
      <x:c r="K18" s="24" t="str">
        <x:v>CN VII; no spinal root</x:v>
      </x:c>
      <x:c r="L18" s="24" t="str">
        <x:v>Epicranial aponeurosis</x:v>
      </x:c>
      <x:c r="M18" s="24" t="str">
        <x:v>Auricular perichondrium, not ligament</x:v>
      </x:c>
      <x:c r="N18" s="30" t="str">
        <x:v>Not established</x:v>
      </x:c>
      <x:c r="O18" s="30" t="str">
        <x:v>Not established</x:v>
      </x:c>
      <x:c r="P18" s="30" t="str">
        <x:v>Mixed Type I and Type II; ratio unverified</x:v>
      </x:c>
      <x:c r="Q18" s="24" t="str">
        <x:v>Published biopsies insufficient to state a reliable per-muscle percentage; no inference from function</x:v>
      </x:c>
      <x:c r="R18" s="32" t="str">
        <x:v>https://www.kenhub.com/en/library/anatomy/head-anatomy</x:v>
      </x:c>
      <x:c r="S18" s="32" t="str">
        <x:v>https://pubmed.ncbi.nlm.nih.gov/39359186/</x:v>
      </x:c>
    </x:row>
    <x:row r="19" ht="53" customHeight="1">
      <x:c r="A19" s="24" t="str">
        <x:v>Genioglossus</x:v>
      </x:c>
      <x:c r="B19" s="24" t="str">
        <x:v>Extrinsic tongue</x:v>
      </x:c>
      <x:c r="C19" s="24" t="str">
        <x:v>Stabilizer</x:v>
      </x:c>
      <x:c r="D19" s="28" t="str">
        <x:v>No</x:v>
      </x:c>
      <x:c r="E19" s="28" t="str">
        <x:v>No</x:v>
      </x:c>
      <x:c r="F19" s="28" t="str">
        <x:v>Yes</x:v>
      </x:c>
      <x:c r="G19" s="24" t="str">
        <x:v>Protrudes tongue; prevents posterior airway collapse</x:v>
      </x:c>
      <x:c r="H19" s="24" t="str">
        <x:v>Superior mental spine mandible</x:v>
      </x:c>
      <x:c r="I19" s="24" t="str">
        <x:v>Throughout tongue dorsum; some to hyoid</x:v>
      </x:c>
      <x:c r="J19" s="24" t="str">
        <x:v>Hypoglossal nerve</x:v>
      </x:c>
      <x:c r="K19" s="24" t="str">
        <x:v>CN XII; no spinal root</x:v>
      </x:c>
      <x:c r="L19" s="24" t="str">
        <x:v>Muscular insertion fibers to tongue/hyoid</x:v>
      </x:c>
      <x:c r="M19" s="24" t="str">
        <x:v>Lingual septum as fibrous scaffold</x:v>
      </x:c>
      <x:c r="N19" s="30" t="str">
        <x:v>Not established</x:v>
      </x:c>
      <x:c r="O19" s="30" t="str">
        <x:v>Not established</x:v>
      </x:c>
      <x:c r="P19" s="30" t="str">
        <x:v>Mixed Type I and Type II; ratio unverified</x:v>
      </x:c>
      <x:c r="Q19" s="24" t="str">
        <x:v>Published biopsies insufficient to state a reliable per-muscle percentage; no inference from function</x:v>
      </x:c>
      <x:c r="R19" s="32" t="str">
        <x:v>https://www.kenhub.com/en/library/anatomy/head-anatomy</x:v>
      </x:c>
      <x:c r="S19" s="32" t="str">
        <x:v>https://pubmed.ncbi.nlm.nih.gov/39359186/</x:v>
      </x:c>
    </x:row>
    <x:row r="20" ht="53" customHeight="1">
      <x:c r="A20" s="24" t="str">
        <x:v>Hyoglossus</x:v>
      </x:c>
      <x:c r="B20" s="24" t="str">
        <x:v>Extrinsic tongue</x:v>
      </x:c>
      <x:c r="C20" s="24" t="str">
        <x:v>Other</x:v>
      </x:c>
      <x:c r="D20" s="28" t="str">
        <x:v>No</x:v>
      </x:c>
      <x:c r="E20" s="28" t="str">
        <x:v>No</x:v>
      </x:c>
      <x:c r="F20" s="28" t="str">
        <x:v>No</x:v>
      </x:c>
      <x:c r="G20" s="24" t="str">
        <x:v>Depresses and retracts tongue</x:v>
      </x:c>
      <x:c r="H20" s="24" t="str">
        <x:v>Greater horn and body hyoid</x:v>
      </x:c>
      <x:c r="I20" s="24" t="str">
        <x:v>Side of tongue</x:v>
      </x:c>
      <x:c r="J20" s="24" t="str">
        <x:v>Hypoglossal nerve</x:v>
      </x:c>
      <x:c r="K20" s="24" t="str">
        <x:v>CN XII; no spinal root</x:v>
      </x:c>
      <x:c r="L20" s="24" t="str">
        <x:v>Hyoid origin tendon</x:v>
      </x:c>
      <x:c r="M20" s="24" t="str">
        <x:v>Stylohyoid ligament near greater horn, not direct insertion</x:v>
      </x:c>
      <x:c r="N20" s="30" t="str">
        <x:v>Not established</x:v>
      </x:c>
      <x:c r="O20" s="30" t="str">
        <x:v>Not established</x:v>
      </x:c>
      <x:c r="P20" s="30" t="str">
        <x:v>Mixed Type I and Type II; ratio unverified</x:v>
      </x:c>
      <x:c r="Q20" s="24" t="str">
        <x:v>Published biopsies insufficient to state a reliable per-muscle percentage; no inference from function</x:v>
      </x:c>
      <x:c r="R20" s="32" t="str">
        <x:v>https://www.kenhub.com/en/library/anatomy/head-anatomy</x:v>
      </x:c>
      <x:c r="S20" s="32" t="str">
        <x:v>https://pubmed.ncbi.nlm.nih.gov/39359186/</x:v>
      </x:c>
    </x:row>
    <x:row r="21" ht="53" customHeight="1">
      <x:c r="A21" s="24" t="str">
        <x:v>Styloglossus</x:v>
      </x:c>
      <x:c r="B21" s="24" t="str">
        <x:v>Extrinsic tongue</x:v>
      </x:c>
      <x:c r="C21" s="24" t="str">
        <x:v>Other</x:v>
      </x:c>
      <x:c r="D21" s="28" t="str">
        <x:v>No</x:v>
      </x:c>
      <x:c r="E21" s="28" t="str">
        <x:v>No</x:v>
      </x:c>
      <x:c r="F21" s="28" t="str">
        <x:v>No</x:v>
      </x:c>
      <x:c r="G21" s="24" t="str">
        <x:v>Retracts/elevates sides of tongue</x:v>
      </x:c>
      <x:c r="H21" s="24" t="str">
        <x:v>Styloid process and stylohyoid ligament</x:v>
      </x:c>
      <x:c r="I21" s="24" t="str">
        <x:v>Side and inferior tongue</x:v>
      </x:c>
      <x:c r="J21" s="24" t="str">
        <x:v>Hypoglossal nerve</x:v>
      </x:c>
      <x:c r="K21" s="24" t="str">
        <x:v>CN XII; no spinal root</x:v>
      </x:c>
      <x:c r="L21" s="24" t="str">
        <x:v>Styloid origin tendon</x:v>
      </x:c>
      <x:c r="M21" s="24" t="str">
        <x:v>Stylohyoid ligament direct origin fibers</x:v>
      </x:c>
      <x:c r="N21" s="30" t="str">
        <x:v>Not established</x:v>
      </x:c>
      <x:c r="O21" s="30" t="str">
        <x:v>Not established</x:v>
      </x:c>
      <x:c r="P21" s="30" t="str">
        <x:v>Mixed Type I and Type II; ratio unverified</x:v>
      </x:c>
      <x:c r="Q21" s="24" t="str">
        <x:v>Published biopsies insufficient to state a reliable per-muscle percentage; no inference from function</x:v>
      </x:c>
      <x:c r="R21" s="32" t="str">
        <x:v>https://www.kenhub.com/en/library/anatomy/head-anatomy</x:v>
      </x:c>
      <x:c r="S21" s="32" t="str">
        <x:v>https://pubmed.ncbi.nlm.nih.gov/39359186/</x:v>
      </x:c>
    </x:row>
    <x:row r="22" ht="53" customHeight="1">
      <x:c r="A22" s="24" t="str">
        <x:v>Palatoglossus</x:v>
      </x:c>
      <x:c r="B22" s="24" t="str">
        <x:v>Extrinsic tongue / soft palate</x:v>
      </x:c>
      <x:c r="C22" s="24" t="str">
        <x:v>Stabilizer</x:v>
      </x:c>
      <x:c r="D22" s="28" t="str">
        <x:v>No</x:v>
      </x:c>
      <x:c r="E22" s="28" t="str">
        <x:v>No</x:v>
      </x:c>
      <x:c r="F22" s="28" t="str">
        <x:v>Yes</x:v>
      </x:c>
      <x:c r="G22" s="24" t="str">
        <x:v>Elevates posterior tongue; closes oropharyngeal isthmus</x:v>
      </x:c>
      <x:c r="H22" s="24" t="str">
        <x:v>Palatine aponeurosis</x:v>
      </x:c>
      <x:c r="I22" s="24" t="str">
        <x:v>Side of posterior tongue</x:v>
      </x:c>
      <x:c r="J22" s="24" t="str">
        <x:v>Pharyngeal plexus via vagus nerve</x:v>
      </x:c>
      <x:c r="K22" s="24" t="str">
        <x:v>CN X; no spinal root</x:v>
      </x:c>
      <x:c r="L22" s="24" t="str">
        <x:v>Palatine aponeurosis</x:v>
      </x:c>
      <x:c r="M22" s="24" t="str">
        <x:v>Palatine aponeurosis fibrous origin</x:v>
      </x:c>
      <x:c r="N22" s="30" t="str">
        <x:v>Not established</x:v>
      </x:c>
      <x:c r="O22" s="30" t="str">
        <x:v>Not established</x:v>
      </x:c>
      <x:c r="P22" s="30" t="str">
        <x:v>Mixed Type I and Type II; ratio unverified</x:v>
      </x:c>
      <x:c r="Q22" s="24" t="str">
        <x:v>Published biopsies insufficient to state a reliable per-muscle percentage; no inference from function</x:v>
      </x:c>
      <x:c r="R22" s="32" t="str">
        <x:v>https://www.kenhub.com/en/library/anatomy/head-anatomy</x:v>
      </x:c>
      <x:c r="S22" s="32" t="str">
        <x:v>https://pubmed.ncbi.nlm.nih.gov/39359186/</x:v>
      </x:c>
    </x:row>
    <x:row r="23" ht="53" customHeight="1">
      <x:c r="A23" s="24" t="str">
        <x:v>Orbicularis oculi palpebral part</x:v>
      </x:c>
      <x:c r="B23" s="24" t="str">
        <x:v>Eyelids</x:v>
      </x:c>
      <x:c r="C23" s="24" t="str">
        <x:v>Stabilizer</x:v>
      </x:c>
      <x:c r="D23" s="28" t="str">
        <x:v>No</x:v>
      </x:c>
      <x:c r="E23" s="28" t="str">
        <x:v>No</x:v>
      </x:c>
      <x:c r="F23" s="28" t="str">
        <x:v>Yes</x:v>
      </x:c>
      <x:c r="G23" s="24" t="str">
        <x:v>Gentle eyelid closure; blink</x:v>
      </x:c>
      <x:c r="H23" s="24" t="str">
        <x:v>Medial palpebral ligament</x:v>
      </x:c>
      <x:c r="I23" s="24" t="str">
        <x:v>Lateral palpebral raphe</x:v>
      </x:c>
      <x:c r="J23" s="24" t="str">
        <x:v>Temporal and zygomatic facial branches</x:v>
      </x:c>
      <x:c r="K23" s="24" t="str">
        <x:v>CN VII; no spinal root</x:v>
      </x:c>
      <x:c r="L23" s="24" t="str">
        <x:v>Palpebral raphe fibrous attachment</x:v>
      </x:c>
      <x:c r="M23" s="24" t="str">
        <x:v>Medial palpebral ligament direct origin</x:v>
      </x:c>
      <x:c r="N23" s="30" t="str">
        <x:v>Not established</x:v>
      </x:c>
      <x:c r="O23" s="30" t="str">
        <x:v>Not established</x:v>
      </x:c>
      <x:c r="P23" s="30" t="str">
        <x:v>Mixed Type I and Type II; ratio unverified</x:v>
      </x:c>
      <x:c r="Q23" s="24" t="str">
        <x:v>Published biopsies insufficient to state a reliable per-muscle percentage; no inference from function</x:v>
      </x:c>
      <x:c r="R23" s="32" t="str">
        <x:v>https://www.kenhub.com/en/library/anatomy/head-anatomy</x:v>
      </x:c>
      <x:c r="S23" s="32" t="str">
        <x:v>https://pubmed.ncbi.nlm.nih.gov/39359186/</x:v>
      </x:c>
    </x:row>
    <x:row r="24" ht="53" customHeight="1">
      <x:c r="A24" s="24" t="str">
        <x:v>Inferior longitudinal tongue muscle</x:v>
      </x:c>
      <x:c r="B24" s="24" t="str">
        <x:v>Intrinsic tongue</x:v>
      </x:c>
      <x:c r="C24" s="24" t="str">
        <x:v>Other</x:v>
      </x:c>
      <x:c r="D24" s="28" t="str">
        <x:v>No</x:v>
      </x:c>
      <x:c r="E24" s="28" t="str">
        <x:v>No</x:v>
      </x:c>
      <x:c r="F24" s="28" t="str">
        <x:v>No</x:v>
      </x:c>
      <x:c r="G24" s="24" t="str">
        <x:v>Shortens tongue; curls tip downward</x:v>
      </x:c>
      <x:c r="H24" s="24" t="str">
        <x:v>Root of tongue and hyoid vicinity</x:v>
      </x:c>
      <x:c r="I24" s="24" t="str">
        <x:v>Tongue apex</x:v>
      </x:c>
      <x:c r="J24" s="24" t="str">
        <x:v>Hypoglossal nerve</x:v>
      </x:c>
      <x:c r="K24" s="24" t="str">
        <x:v>CN XII; no spinal root</x:v>
      </x:c>
      <x:c r="L24" s="24" t="str">
        <x:v>Intralingual fascicles</x:v>
      </x:c>
      <x:c r="M24" s="24" t="str">
        <x:v>Lingual septum</x:v>
      </x:c>
      <x:c r="N24" s="30" t="str">
        <x:v>Not established</x:v>
      </x:c>
      <x:c r="O24" s="30" t="str">
        <x:v>Not established</x:v>
      </x:c>
      <x:c r="P24" s="30" t="str">
        <x:v>Mixed Type I and Type II; ratio unverified</x:v>
      </x:c>
      <x:c r="Q24" s="24" t="str">
        <x:v>Published biopsies insufficient to state a reliable per-muscle percentage; no inference from function</x:v>
      </x:c>
      <x:c r="R24" s="32" t="str">
        <x:v>https://www.kenhub.com/en/library/anatomy/head-anatomy</x:v>
      </x:c>
      <x:c r="S24" s="32" t="str">
        <x:v>https://pubmed.ncbi.nlm.nih.gov/39359186/</x:v>
      </x:c>
    </x:row>
    <x:row r="25" ht="53" customHeight="1">
      <x:c r="A25" s="24" t="str">
        <x:v>Superior longitudinal tongue muscle</x:v>
      </x:c>
      <x:c r="B25" s="24" t="str">
        <x:v>Intrinsic tongue</x:v>
      </x:c>
      <x:c r="C25" s="24" t="str">
        <x:v>Other</x:v>
      </x:c>
      <x:c r="D25" s="28" t="str">
        <x:v>No</x:v>
      </x:c>
      <x:c r="E25" s="28" t="str">
        <x:v>No</x:v>
      </x:c>
      <x:c r="F25" s="28" t="str">
        <x:v>No</x:v>
      </x:c>
      <x:c r="G25" s="24" t="str">
        <x:v>Shortens tongue; curls tip/sides upward</x:v>
      </x:c>
      <x:c r="H25" s="24" t="str">
        <x:v>Submucosal tissue and posterior tongue fibrous septum</x:v>
      </x:c>
      <x:c r="I25" s="24" t="str">
        <x:v>Tip and margins of tongue</x:v>
      </x:c>
      <x:c r="J25" s="24" t="str">
        <x:v>Hypoglossal nerve</x:v>
      </x:c>
      <x:c r="K25" s="24" t="str">
        <x:v>CN XII; no spinal root</x:v>
      </x:c>
      <x:c r="L25" s="24" t="str">
        <x:v>Intralingual fibrous septa, no long tendon</x:v>
      </x:c>
      <x:c r="M25" s="24" t="str">
        <x:v>Lingual septum, not ligament</x:v>
      </x:c>
      <x:c r="N25" s="30" t="str">
        <x:v>Not established</x:v>
      </x:c>
      <x:c r="O25" s="30" t="str">
        <x:v>Not established</x:v>
      </x:c>
      <x:c r="P25" s="30" t="str">
        <x:v>Mixed Type I and Type II; ratio unverified</x:v>
      </x:c>
      <x:c r="Q25" s="24" t="str">
        <x:v>Published biopsies insufficient to state a reliable per-muscle percentage; no inference from function</x:v>
      </x:c>
      <x:c r="R25" s="32" t="str">
        <x:v>https://www.kenhub.com/en/library/anatomy/head-anatomy</x:v>
      </x:c>
      <x:c r="S25" s="32" t="str">
        <x:v>https://pubmed.ncbi.nlm.nih.gov/39359186/</x:v>
      </x:c>
    </x:row>
    <x:row r="26" ht="53" customHeight="1">
      <x:c r="A26" s="24" t="str">
        <x:v>Transverse tongue muscle</x:v>
      </x:c>
      <x:c r="B26" s="24" t="str">
        <x:v>Intrinsic tongue</x:v>
      </x:c>
      <x:c r="C26" s="24" t="str">
        <x:v>Stabilizer</x:v>
      </x:c>
      <x:c r="D26" s="28" t="str">
        <x:v>No</x:v>
      </x:c>
      <x:c r="E26" s="28" t="str">
        <x:v>No</x:v>
      </x:c>
      <x:c r="F26" s="28" t="str">
        <x:v>Yes</x:v>
      </x:c>
      <x:c r="G26" s="24" t="str">
        <x:v>Narrows/elongates tongue</x:v>
      </x:c>
      <x:c r="H26" s="24" t="str">
        <x:v>Median fibrous lingual septum</x:v>
      </x:c>
      <x:c r="I26" s="24" t="str">
        <x:v>Lateral tongue margins</x:v>
      </x:c>
      <x:c r="J26" s="24" t="str">
        <x:v>Hypoglossal nerve</x:v>
      </x:c>
      <x:c r="K26" s="24" t="str">
        <x:v>CN XII; no spinal root</x:v>
      </x:c>
      <x:c r="L26" s="24" t="str">
        <x:v>Fibrous lingual septum direct origin</x:v>
      </x:c>
      <x:c r="M26" s="24" t="str">
        <x:v>Lingual septum fibrous tissue</x:v>
      </x:c>
      <x:c r="N26" s="30" t="str">
        <x:v>Not established</x:v>
      </x:c>
      <x:c r="O26" s="30" t="str">
        <x:v>Not established</x:v>
      </x:c>
      <x:c r="P26" s="30" t="str">
        <x:v>Mixed Type I and Type II; ratio unverified</x:v>
      </x:c>
      <x:c r="Q26" s="24" t="str">
        <x:v>Published biopsies insufficient to state a reliable per-muscle percentage; no inference from function</x:v>
      </x:c>
      <x:c r="R26" s="32" t="str">
        <x:v>https://www.kenhub.com/en/library/anatomy/head-anatomy</x:v>
      </x:c>
      <x:c r="S26" s="32" t="str">
        <x:v>https://pubmed.ncbi.nlm.nih.gov/39359186/</x:v>
      </x:c>
    </x:row>
    <x:row r="27" ht="53" customHeight="1">
      <x:c r="A27" s="24" t="str">
        <x:v>Vertical tongue muscle</x:v>
      </x:c>
      <x:c r="B27" s="24" t="str">
        <x:v>Intrinsic tongue</x:v>
      </x:c>
      <x:c r="C27" s="24" t="str">
        <x:v>Other</x:v>
      </x:c>
      <x:c r="D27" s="28" t="str">
        <x:v>No</x:v>
      </x:c>
      <x:c r="E27" s="28" t="str">
        <x:v>No</x:v>
      </x:c>
      <x:c r="F27" s="28" t="str">
        <x:v>No</x:v>
      </x:c>
      <x:c r="G27" s="24" t="str">
        <x:v>Flattens/broadens tongue</x:v>
      </x:c>
      <x:c r="H27" s="24" t="str">
        <x:v>Dorsal tongue aponeurosis</x:v>
      </x:c>
      <x:c r="I27" s="24" t="str">
        <x:v>Inferior tongue surface</x:v>
      </x:c>
      <x:c r="J27" s="24" t="str">
        <x:v>Hypoglossal nerve</x:v>
      </x:c>
      <x:c r="K27" s="24" t="str">
        <x:v>CN XII; no spinal root</x:v>
      </x:c>
      <x:c r="L27" s="24" t="str">
        <x:v>Lingual aponeurosis</x:v>
      </x:c>
      <x:c r="M27" s="24" t="str">
        <x:v>Fibrous aponeurosis (not ligament)</x:v>
      </x:c>
      <x:c r="N27" s="30" t="str">
        <x:v>Not established</x:v>
      </x:c>
      <x:c r="O27" s="30" t="str">
        <x:v>Not established</x:v>
      </x:c>
      <x:c r="P27" s="30" t="str">
        <x:v>Mixed Type I and Type II; ratio unverified</x:v>
      </x:c>
      <x:c r="Q27" s="24" t="str">
        <x:v>Published biopsies insufficient to state a reliable per-muscle percentage; no inference from function</x:v>
      </x:c>
      <x:c r="R27" s="32" t="str">
        <x:v>https://www.kenhub.com/en/library/anatomy/head-anatomy</x:v>
      </x:c>
      <x:c r="S27" s="32" t="str">
        <x:v>https://pubmed.ncbi.nlm.nih.gov/39359186/</x:v>
      </x:c>
    </x:row>
    <x:row r="28" ht="53" customHeight="1">
      <x:c r="A28" s="24" t="str">
        <x:v>Orbicularis oris marginal part</x:v>
      </x:c>
      <x:c r="B28" s="24" t="str">
        <x:v>Lips</x:v>
      </x:c>
      <x:c r="C28" s="24" t="str">
        <x:v>Stabilizer</x:v>
      </x:c>
      <x:c r="D28" s="28" t="str">
        <x:v>No</x:v>
      </x:c>
      <x:c r="E28" s="28" t="str">
        <x:v>No</x:v>
      </x:c>
      <x:c r="F28" s="28" t="str">
        <x:v>Yes</x:v>
      </x:c>
      <x:c r="G28" s="24" t="str">
        <x:v>Purses/protrudes lips</x:v>
      </x:c>
      <x:c r="H28" s="24" t="str">
        <x:v>Modiolus and surrounding perioral muscle fibers</x:v>
      </x:c>
      <x:c r="I28" s="24" t="str">
        <x:v>Skin and mucosa of lip vermilion</x:v>
      </x:c>
      <x:c r="J28" s="24" t="str">
        <x:v>Buccal and marginal mandibular facial branches</x:v>
      </x:c>
      <x:c r="K28" s="24" t="str">
        <x:v>CN VII; no spinal root</x:v>
      </x:c>
      <x:c r="L28" s="24" t="str">
        <x:v>Musculofascial modiolus attachments</x:v>
      </x:c>
      <x:c r="M28" s="24" t="str">
        <x:v>No independent ligament attachment</x:v>
      </x:c>
      <x:c r="N28" s="30" t="str">
        <x:v>Not established</x:v>
      </x:c>
      <x:c r="O28" s="30" t="str">
        <x:v>Not established</x:v>
      </x:c>
      <x:c r="P28" s="30" t="str">
        <x:v>Mixed Type I and Type II; ratio unverified</x:v>
      </x:c>
      <x:c r="Q28" s="24" t="str">
        <x:v>Published biopsies insufficient to state a reliable per-muscle percentage; no inference from function</x:v>
      </x:c>
      <x:c r="R28" s="32" t="str">
        <x:v>https://www.kenhub.com/en/library/anatomy/head-anatomy</x:v>
      </x:c>
      <x:c r="S28" s="32" t="str">
        <x:v>https://pubmed.ncbi.nlm.nih.gov/39359186/</x:v>
      </x:c>
    </x:row>
    <x:row r="29" ht="53" customHeight="1">
      <x:c r="A29" s="24" t="str">
        <x:v>Orbicularis oris peripheral part</x:v>
      </x:c>
      <x:c r="B29" s="24" t="str">
        <x:v>Lips</x:v>
      </x:c>
      <x:c r="C29" s="24" t="str">
        <x:v>Stabilizer</x:v>
      </x:c>
      <x:c r="D29" s="28" t="str">
        <x:v>No</x:v>
      </x:c>
      <x:c r="E29" s="28" t="str">
        <x:v>No</x:v>
      </x:c>
      <x:c r="F29" s="28" t="str">
        <x:v>Yes</x:v>
      </x:c>
      <x:c r="G29" s="24" t="str">
        <x:v>Closes and compresses lips</x:v>
      </x:c>
      <x:c r="H29" s="24" t="str">
        <x:v>Maxillary/mandibular perioral fascicles and modiolus</x:v>
      </x:c>
      <x:c r="I29" s="24" t="str">
        <x:v>Dermis upper/lower lips</x:v>
      </x:c>
      <x:c r="J29" s="24" t="str">
        <x:v>Buccal/marginal mandibular facial branches</x:v>
      </x:c>
      <x:c r="K29" s="24" t="str">
        <x:v>CN VII; no spinal root</x:v>
      </x:c>
      <x:c r="L29" s="24" t="str">
        <x:v>Modiolus/fascial fiber attachments</x:v>
      </x:c>
      <x:c r="M29" s="24" t="str">
        <x:v>No independent ligament attachment</x:v>
      </x:c>
      <x:c r="N29" s="30" t="str">
        <x:v>Not established</x:v>
      </x:c>
      <x:c r="O29" s="30" t="str">
        <x:v>Not established</x:v>
      </x:c>
      <x:c r="P29" s="30" t="str">
        <x:v>Mixed Type I and Type II; ratio unverified</x:v>
      </x:c>
      <x:c r="Q29" s="24" t="str">
        <x:v>Published biopsies insufficient to state a reliable per-muscle percentage; no inference from function</x:v>
      </x:c>
      <x:c r="R29" s="32" t="str">
        <x:v>https://www.kenhub.com/en/library/anatomy/head-anatomy</x:v>
      </x:c>
      <x:c r="S29" s="32" t="str">
        <x:v>https://pubmed.ncbi.nlm.nih.gov/39359186/</x:v>
      </x:c>
    </x:row>
    <x:row r="30" ht="53" customHeight="1">
      <x:c r="A30" s="24" t="str">
        <x:v>Depressor anguli oris</x:v>
      </x:c>
      <x:c r="B30" s="24" t="str">
        <x:v>Lower face</x:v>
      </x:c>
      <x:c r="C30" s="24" t="str">
        <x:v>Other</x:v>
      </x:c>
      <x:c r="D30" s="28" t="str">
        <x:v>No</x:v>
      </x:c>
      <x:c r="E30" s="28" t="str">
        <x:v>No</x:v>
      </x:c>
      <x:c r="F30" s="28" t="str">
        <x:v>No</x:v>
      </x:c>
      <x:c r="G30" s="24" t="str">
        <x:v>Depresses angle of mouth</x:v>
      </x:c>
      <x:c r="H30" s="24" t="str">
        <x:v>Oblique line mandible</x:v>
      </x:c>
      <x:c r="I30" s="24" t="str">
        <x:v>Modiolus at mouth angle</x:v>
      </x:c>
      <x:c r="J30" s="24" t="str">
        <x:v>Marginal mandibular facial branch</x:v>
      </x:c>
      <x:c r="K30" s="24" t="str">
        <x:v>CN VII; no spinal root</x:v>
      </x:c>
      <x:c r="L30" s="24" t="str">
        <x:v>Modiolus insertion</x:v>
      </x:c>
      <x:c r="M30" s="24" t="str">
        <x:v>No direct ligament attachment</x:v>
      </x:c>
      <x:c r="N30" s="30" t="str">
        <x:v>Not established</x:v>
      </x:c>
      <x:c r="O30" s="30" t="str">
        <x:v>Not established</x:v>
      </x:c>
      <x:c r="P30" s="30" t="str">
        <x:v>Mixed Type I and Type II; ratio unverified</x:v>
      </x:c>
      <x:c r="Q30" s="24" t="str">
        <x:v>Published biopsies insufficient to state a reliable per-muscle percentage; no inference from function</x:v>
      </x:c>
      <x:c r="R30" s="32" t="str">
        <x:v>https://www.kenhub.com/en/library/anatomy/head-anatomy</x:v>
      </x:c>
      <x:c r="S30" s="32" t="str">
        <x:v>https://pubmed.ncbi.nlm.nih.gov/39359186/</x:v>
      </x:c>
    </x:row>
    <x:row r="31" ht="53" customHeight="1">
      <x:c r="A31" s="24" t="str">
        <x:v>Depressor labii inferioris</x:v>
      </x:c>
      <x:c r="B31" s="24" t="str">
        <x:v>Lower face</x:v>
      </x:c>
      <x:c r="C31" s="24" t="str">
        <x:v>Other</x:v>
      </x:c>
      <x:c r="D31" s="28" t="str">
        <x:v>No</x:v>
      </x:c>
      <x:c r="E31" s="28" t="str">
        <x:v>No</x:v>
      </x:c>
      <x:c r="F31" s="28" t="str">
        <x:v>No</x:v>
      </x:c>
      <x:c r="G31" s="24" t="str">
        <x:v>Depresses/everts lower lip</x:v>
      </x:c>
      <x:c r="H31" s="24" t="str">
        <x:v>Oblique line mandible</x:v>
      </x:c>
      <x:c r="I31" s="24" t="str">
        <x:v>Skin lower lip</x:v>
      </x:c>
      <x:c r="J31" s="24" t="str">
        <x:v>Marginal mandibular facial branch</x:v>
      </x:c>
      <x:c r="K31" s="24" t="str">
        <x:v>CN VII; no spinal root</x:v>
      </x:c>
      <x:c r="L31" s="24" t="str">
        <x:v>Dermal fascicles</x:v>
      </x:c>
      <x:c r="M31" s="24" t="str">
        <x:v>No direct ligament attachment</x:v>
      </x:c>
      <x:c r="N31" s="30" t="str">
        <x:v>Not established</x:v>
      </x:c>
      <x:c r="O31" s="30" t="str">
        <x:v>Not established</x:v>
      </x:c>
      <x:c r="P31" s="30" t="str">
        <x:v>Mixed Type I and Type II; ratio unverified</x:v>
      </x:c>
      <x:c r="Q31" s="24" t="str">
        <x:v>Published biopsies insufficient to state a reliable per-muscle percentage; no inference from function</x:v>
      </x:c>
      <x:c r="R31" s="32" t="str">
        <x:v>https://www.kenhub.com/en/library/anatomy/head-anatomy</x:v>
      </x:c>
      <x:c r="S31" s="32" t="str">
        <x:v>https://pubmed.ncbi.nlm.nih.gov/39359186/</x:v>
      </x:c>
    </x:row>
    <x:row r="32" ht="53" customHeight="1">
      <x:c r="A32" s="24" t="str">
        <x:v>Masseter deep portion</x:v>
      </x:c>
      <x:c r="B32" s="24" t="str">
        <x:v>Mastication</x:v>
      </x:c>
      <x:c r="C32" s="24" t="str">
        <x:v>Stabilizer</x:v>
      </x:c>
      <x:c r="D32" s="28" t="str">
        <x:v>No</x:v>
      </x:c>
      <x:c r="E32" s="28" t="str">
        <x:v>No</x:v>
      </x:c>
      <x:c r="F32" s="28" t="str">
        <x:v>Yes</x:v>
      </x:c>
      <x:c r="G32" s="24" t="str">
        <x:v>Elevates/retracts mandible</x:v>
      </x:c>
      <x:c r="H32" s="24" t="str">
        <x:v>Posterior zygomatic arch</x:v>
      </x:c>
      <x:c r="I32" s="24" t="str">
        <x:v>Lateral ramus and coronoid process mandible</x:v>
      </x:c>
      <x:c r="J32" s="24" t="str">
        <x:v>Masseteric nerve (V3)</x:v>
      </x:c>
      <x:c r="K32" s="24" t="str">
        <x:v>CN V3; no spinal motor root</x:v>
      </x:c>
      <x:c r="L32" s="24" t="str">
        <x:v>Deep masseter insertion tendon</x:v>
      </x:c>
      <x:c r="M32" s="24" t="str">
        <x:v>TMJ lateral ligament nearby, no direct insertion</x:v>
      </x:c>
      <x:c r="N32" s="30" t="str">
        <x:v>Not established</x:v>
      </x:c>
      <x:c r="O32" s="30" t="str">
        <x:v>Not established</x:v>
      </x:c>
      <x:c r="P32" s="30" t="str">
        <x:v>Mixed Type I and Type II; ratio unverified</x:v>
      </x:c>
      <x:c r="Q32" s="24" t="str">
        <x:v>Published biopsies insufficient to state a reliable per-muscle percentage; no inference from function</x:v>
      </x:c>
      <x:c r="R32" s="32" t="str">
        <x:v>https://www.kenhub.com/en/library/anatomy/head-anatomy</x:v>
      </x:c>
      <x:c r="S32" s="32" t="str">
        <x:v>https://pubmed.ncbi.nlm.nih.gov/39359186/</x:v>
      </x:c>
    </x:row>
    <x:row r="33" ht="53" customHeight="1">
      <x:c r="A33" s="24" t="str">
        <x:v>Masseter superficial portion</x:v>
      </x:c>
      <x:c r="B33" s="24" t="str">
        <x:v>Mastication</x:v>
      </x:c>
      <x:c r="C33" s="24" t="str">
        <x:v>Stabilizer</x:v>
      </x:c>
      <x:c r="D33" s="28" t="str">
        <x:v>No</x:v>
      </x:c>
      <x:c r="E33" s="28" t="str">
        <x:v>No</x:v>
      </x:c>
      <x:c r="F33" s="28" t="str">
        <x:v>Yes</x:v>
      </x:c>
      <x:c r="G33" s="24" t="str">
        <x:v>Elevates and protrudes mandible</x:v>
      </x:c>
      <x:c r="H33" s="24" t="str">
        <x:v>Zygomatic process maxilla; anterior zygomatic arch</x:v>
      </x:c>
      <x:c r="I33" s="24" t="str">
        <x:v>Lateral angle and inferior ramus mandible</x:v>
      </x:c>
      <x:c r="J33" s="24" t="str">
        <x:v>Masseteric nerve (V3)</x:v>
      </x:c>
      <x:c r="K33" s="24" t="str">
        <x:v>CN V3; no spinal motor root</x:v>
      </x:c>
      <x:c r="L33" s="24" t="str">
        <x:v>Masseteric aponeurosis</x:v>
      </x:c>
      <x:c r="M33" s="24" t="str">
        <x:v>Sphenomandibular ligament medial to ramus, not direct muscle attachment</x:v>
      </x:c>
      <x:c r="N33" s="30" t="str">
        <x:v>Not established</x:v>
      </x:c>
      <x:c r="O33" s="30" t="str">
        <x:v>Not established</x:v>
      </x:c>
      <x:c r="P33" s="30" t="str">
        <x:v>Mixed Type I and Type II; ratio unverified</x:v>
      </x:c>
      <x:c r="Q33" s="24" t="str">
        <x:v>Published biopsies insufficient to state a reliable per-muscle percentage; no inference from function</x:v>
      </x:c>
      <x:c r="R33" s="32" t="str">
        <x:v>https://www.kenhub.com/en/library/anatomy/head-anatomy</x:v>
      </x:c>
      <x:c r="S33" s="32" t="str">
        <x:v>https://pubmed.ncbi.nlm.nih.gov/39359186/</x:v>
      </x:c>
    </x:row>
    <x:row r="34" ht="53" customHeight="1">
      <x:c r="A34" s="24" t="str">
        <x:v>Medial pterygoid deep head</x:v>
      </x:c>
      <x:c r="B34" s="24" t="str">
        <x:v>Mastication</x:v>
      </x:c>
      <x:c r="C34" s="24" t="str">
        <x:v>Stabilizer</x:v>
      </x:c>
      <x:c r="D34" s="28" t="str">
        <x:v>No</x:v>
      </x:c>
      <x:c r="E34" s="28" t="str">
        <x:v>No</x:v>
      </x:c>
      <x:c r="F34" s="28" t="str">
        <x:v>Yes</x:v>
      </x:c>
      <x:c r="G34" s="24" t="str">
        <x:v>Elevates/protrudes mandible; grinding movement</x:v>
      </x:c>
      <x:c r="H34" s="24" t="str">
        <x:v>Medial surface lateral pterygoid plate and pyramidal palatine process</x:v>
      </x:c>
      <x:c r="I34" s="24" t="str">
        <x:v>Medial mandibular angle/ramus</x:v>
      </x:c>
      <x:c r="J34" s="24" t="str">
        <x:v>Nerve to medial pterygoid (V3)</x:v>
      </x:c>
      <x:c r="K34" s="24" t="str">
        <x:v>CN V3; no spinal motor root</x:v>
      </x:c>
      <x:c r="L34" s="24" t="str">
        <x:v>Pterygoid insertion tendon</x:v>
      </x:c>
      <x:c r="M34" s="24" t="str">
        <x:v>Sphenomandibular ligament lies nearby</x:v>
      </x:c>
      <x:c r="N34" s="30" t="str">
        <x:v>Not established</x:v>
      </x:c>
      <x:c r="O34" s="30" t="str">
        <x:v>Not established</x:v>
      </x:c>
      <x:c r="P34" s="30" t="str">
        <x:v>Mixed Type I and Type II; ratio unverified</x:v>
      </x:c>
      <x:c r="Q34" s="24" t="str">
        <x:v>Published biopsies insufficient to state a reliable per-muscle percentage; no inference from function</x:v>
      </x:c>
      <x:c r="R34" s="32" t="str">
        <x:v>https://www.kenhub.com/en/library/anatomy/head-anatomy</x:v>
      </x:c>
      <x:c r="S34" s="32" t="str">
        <x:v>https://pubmed.ncbi.nlm.nih.gov/39359186/</x:v>
      </x:c>
    </x:row>
    <x:row r="35" ht="53" customHeight="1">
      <x:c r="A35" s="24" t="str">
        <x:v>Medial pterygoid superficial head</x:v>
      </x:c>
      <x:c r="B35" s="24" t="str">
        <x:v>Mastication</x:v>
      </x:c>
      <x:c r="C35" s="24" t="str">
        <x:v>Stabilizer</x:v>
      </x:c>
      <x:c r="D35" s="28" t="str">
        <x:v>No</x:v>
      </x:c>
      <x:c r="E35" s="28" t="str">
        <x:v>No</x:v>
      </x:c>
      <x:c r="F35" s="28" t="str">
        <x:v>Yes</x:v>
      </x:c>
      <x:c r="G35" s="24" t="str">
        <x:v>Elevates/protrudes mandible</x:v>
      </x:c>
      <x:c r="H35" s="24" t="str">
        <x:v>Maxillary tuberosity</x:v>
      </x:c>
      <x:c r="I35" s="24" t="str">
        <x:v>Medial mandibular angle/ramus</x:v>
      </x:c>
      <x:c r="J35" s="24" t="str">
        <x:v>Nerve to medial pterygoid (V3)</x:v>
      </x:c>
      <x:c r="K35" s="24" t="str">
        <x:v>CN V3; no spinal motor root</x:v>
      </x:c>
      <x:c r="L35" s="24" t="str">
        <x:v>Fibrous insertion tendon</x:v>
      </x:c>
      <x:c r="M35" s="24" t="str">
        <x:v>Sphenomandibular ligament nearby</x:v>
      </x:c>
      <x:c r="N35" s="30" t="str">
        <x:v>Not established</x:v>
      </x:c>
      <x:c r="O35" s="30" t="str">
        <x:v>Not established</x:v>
      </x:c>
      <x:c r="P35" s="30" t="str">
        <x:v>Mixed Type I and Type II; ratio unverified</x:v>
      </x:c>
      <x:c r="Q35" s="24" t="str">
        <x:v>Published biopsies insufficient to state a reliable per-muscle percentage; no inference from function</x:v>
      </x:c>
      <x:c r="R35" s="32" t="str">
        <x:v>https://www.kenhub.com/en/library/anatomy/head-anatomy</x:v>
      </x:c>
      <x:c r="S35" s="32" t="str">
        <x:v>https://pubmed.ncbi.nlm.nih.gov/39359186/</x:v>
      </x:c>
    </x:row>
    <x:row r="36" ht="53" customHeight="1">
      <x:c r="A36" s="24" t="str">
        <x:v>Temporalis anterior fibers</x:v>
      </x:c>
      <x:c r="B36" s="24" t="str">
        <x:v>Mastication</x:v>
      </x:c>
      <x:c r="C36" s="24" t="str">
        <x:v>Stabilizer</x:v>
      </x:c>
      <x:c r="D36" s="28" t="str">
        <x:v>No</x:v>
      </x:c>
      <x:c r="E36" s="28" t="str">
        <x:v>No</x:v>
      </x:c>
      <x:c r="F36" s="28" t="str">
        <x:v>Yes</x:v>
      </x:c>
      <x:c r="G36" s="24" t="str">
        <x:v>Elevates mandible</x:v>
      </x:c>
      <x:c r="H36" s="24" t="str">
        <x:v>Anterior temporal fossa; temporal fascia</x:v>
      </x:c>
      <x:c r="I36" s="24" t="str">
        <x:v>Coronoid process/anterior mandibular ramus</x:v>
      </x:c>
      <x:c r="J36" s="24" t="str">
        <x:v>Deep temporal nerves (V3)</x:v>
      </x:c>
      <x:c r="K36" s="24" t="str">
        <x:v>CN V3; no spinal motor root</x:v>
      </x:c>
      <x:c r="L36" s="24" t="str">
        <x:v>Temporalis tendon</x:v>
      </x:c>
      <x:c r="M36" s="24" t="str">
        <x:v>Temporal fascia direct origin; TMJ ligament nearby</x:v>
      </x:c>
      <x:c r="N36" s="30" t="str">
        <x:v>Not established</x:v>
      </x:c>
      <x:c r="O36" s="30" t="str">
        <x:v>Not established</x:v>
      </x:c>
      <x:c r="P36" s="30" t="str">
        <x:v>Mixed Type I and Type II; ratio unverified</x:v>
      </x:c>
      <x:c r="Q36" s="24" t="str">
        <x:v>Published biopsies insufficient to state a reliable per-muscle percentage; no inference from function</x:v>
      </x:c>
      <x:c r="R36" s="32" t="str">
        <x:v>https://www.kenhub.com/en/library/anatomy/head-anatomy</x:v>
      </x:c>
      <x:c r="S36" s="32" t="str">
        <x:v>https://pubmed.ncbi.nlm.nih.gov/39359186/</x:v>
      </x:c>
    </x:row>
    <x:row r="37" ht="53" customHeight="1">
      <x:c r="A37" s="24" t="str">
        <x:v>Temporalis posterior fibers</x:v>
      </x:c>
      <x:c r="B37" s="24" t="str">
        <x:v>Mastication</x:v>
      </x:c>
      <x:c r="C37" s="24" t="str">
        <x:v>Stabilizer</x:v>
      </x:c>
      <x:c r="D37" s="28" t="str">
        <x:v>No</x:v>
      </x:c>
      <x:c r="E37" s="28" t="str">
        <x:v>No</x:v>
      </x:c>
      <x:c r="F37" s="28" t="str">
        <x:v>Yes</x:v>
      </x:c>
      <x:c r="G37" s="24" t="str">
        <x:v>Retracts and elevates mandible</x:v>
      </x:c>
      <x:c r="H37" s="24" t="str">
        <x:v>Posterior temporal fossa; temporal fascia</x:v>
      </x:c>
      <x:c r="I37" s="24" t="str">
        <x:v>Coronoid process of mandible</x:v>
      </x:c>
      <x:c r="J37" s="24" t="str">
        <x:v>Deep temporal nerves (V3)</x:v>
      </x:c>
      <x:c r="K37" s="24" t="str">
        <x:v>CN V3; no spinal motor root</x:v>
      </x:c>
      <x:c r="L37" s="24" t="str">
        <x:v>Temporalis tendon</x:v>
      </x:c>
      <x:c r="M37" s="24" t="str">
        <x:v>Temporal fascia origin</x:v>
      </x:c>
      <x:c r="N37" s="30" t="str">
        <x:v>Not established</x:v>
      </x:c>
      <x:c r="O37" s="30" t="str">
        <x:v>Not established</x:v>
      </x:c>
      <x:c r="P37" s="30" t="str">
        <x:v>Mixed Type I and Type II; ratio unverified</x:v>
      </x:c>
      <x:c r="Q37" s="24" t="str">
        <x:v>Published biopsies insufficient to state a reliable per-muscle percentage; no inference from function</x:v>
      </x:c>
      <x:c r="R37" s="32" t="str">
        <x:v>https://www.kenhub.com/en/library/anatomy/head-anatomy</x:v>
      </x:c>
      <x:c r="S37" s="32" t="str">
        <x:v>https://pubmed.ncbi.nlm.nih.gov/39359186/</x:v>
      </x:c>
    </x:row>
    <x:row r="38" ht="53" customHeight="1">
      <x:c r="A38" s="24" t="str">
        <x:v>Lateral pterygoid inferior head</x:v>
      </x:c>
      <x:c r="B38" s="24" t="str">
        <x:v>Mastication / TMJ</x:v>
      </x:c>
      <x:c r="C38" s="24" t="str">
        <x:v>Other</x:v>
      </x:c>
      <x:c r="D38" s="28" t="str">
        <x:v>No</x:v>
      </x:c>
      <x:c r="E38" s="28" t="str">
        <x:v>No</x:v>
      </x:c>
      <x:c r="F38" s="28" t="str">
        <x:v>No</x:v>
      </x:c>
      <x:c r="G38" s="24" t="str">
        <x:v>Protrudes/depresses mandible; side-to-side chewing</x:v>
      </x:c>
      <x:c r="H38" s="24" t="str">
        <x:v>Lateral surface lateral pterygoid plate</x:v>
      </x:c>
      <x:c r="I38" s="24" t="str">
        <x:v>Pterygoid fovea of mandibular neck</x:v>
      </x:c>
      <x:c r="J38" s="24" t="str">
        <x:v>Nerve to lateral pterygoid (V3)</x:v>
      </x:c>
      <x:c r="K38" s="24" t="str">
        <x:v>CN V3; no spinal motor root</x:v>
      </x:c>
      <x:c r="L38" s="24" t="str">
        <x:v>Pterygoid fovea insertion tendon</x:v>
      </x:c>
      <x:c r="M38" s="24" t="str">
        <x:v>TMJ capsular ligament complex nearby</x:v>
      </x:c>
      <x:c r="N38" s="30" t="str">
        <x:v>Not established</x:v>
      </x:c>
      <x:c r="O38" s="30" t="str">
        <x:v>Not established</x:v>
      </x:c>
      <x:c r="P38" s="30" t="str">
        <x:v>Mixed Type I and Type II; ratio unverified</x:v>
      </x:c>
      <x:c r="Q38" s="24" t="str">
        <x:v>Published biopsies insufficient to state a reliable per-muscle percentage; no inference from function</x:v>
      </x:c>
      <x:c r="R38" s="32" t="str">
        <x:v>https://www.kenhub.com/en/library/anatomy/head-anatomy</x:v>
      </x:c>
      <x:c r="S38" s="32" t="str">
        <x:v>https://pubmed.ncbi.nlm.nih.gov/39359186/</x:v>
      </x:c>
    </x:row>
    <x:row r="39" ht="53" customHeight="1">
      <x:c r="A39" s="24" t="str">
        <x:v>Lateral pterygoid superior head</x:v>
      </x:c>
      <x:c r="B39" s="24" t="str">
        <x:v>Mastication / TMJ</x:v>
      </x:c>
      <x:c r="C39" s="24" t="str">
        <x:v>Stabilizer</x:v>
      </x:c>
      <x:c r="D39" s="28" t="str">
        <x:v>No</x:v>
      </x:c>
      <x:c r="E39" s="28" t="str">
        <x:v>No</x:v>
      </x:c>
      <x:c r="F39" s="28" t="str">
        <x:v>Yes</x:v>
      </x:c>
      <x:c r="G39" s="24" t="str">
        <x:v>Stabilizes articular disc and jaw during closing</x:v>
      </x:c>
      <x:c r="H39" s="24" t="str">
        <x:v>Infratemporal surface/crest greater wing sphenoid</x:v>
      </x:c>
      <x:c r="I39" s="24" t="str">
        <x:v>TMJ articular disc/capsule and pterygoid fovea mandibular neck</x:v>
      </x:c>
      <x:c r="J39" s="24" t="str">
        <x:v>Nerve to lateral pterygoid (V3)</x:v>
      </x:c>
      <x:c r="K39" s="24" t="str">
        <x:v>CN V3; no spinal motor root</x:v>
      </x:c>
      <x:c r="L39" s="24" t="str">
        <x:v>Capsulodiscal fibrous attachment</x:v>
      </x:c>
      <x:c r="M39" s="24" t="str">
        <x:v>TMJ capsule and lateral ligament adjacent</x:v>
      </x:c>
      <x:c r="N39" s="30" t="str">
        <x:v>Not established</x:v>
      </x:c>
      <x:c r="O39" s="30" t="str">
        <x:v>Not established</x:v>
      </x:c>
      <x:c r="P39" s="30" t="str">
        <x:v>Mixed Type I and Type II; ratio unverified</x:v>
      </x:c>
      <x:c r="Q39" s="24" t="str">
        <x:v>Published biopsies insufficient to state a reliable per-muscle percentage; no inference from function</x:v>
      </x:c>
      <x:c r="R39" s="32" t="str">
        <x:v>https://www.kenhub.com/en/library/anatomy/head-anatomy</x:v>
      </x:c>
      <x:c r="S39" s="32" t="str">
        <x:v>https://pubmed.ncbi.nlm.nih.gov/39359186/</x:v>
      </x:c>
    </x:row>
    <x:row r="40" ht="53" customHeight="1">
      <x:c r="A40" s="24" t="str">
        <x:v>Orbicularis oculi lacrimal part (Horner muscle)</x:v>
      </x:c>
      <x:c r="B40" s="24" t="str">
        <x:v>Medial eyelid</x:v>
      </x:c>
      <x:c r="C40" s="24" t="str">
        <x:v>Stabilizer</x:v>
      </x:c>
      <x:c r="D40" s="28" t="str">
        <x:v>No</x:v>
      </x:c>
      <x:c r="E40" s="28" t="str">
        <x:v>No</x:v>
      </x:c>
      <x:c r="F40" s="28" t="str">
        <x:v>Yes</x:v>
      </x:c>
      <x:c r="G40" s="24" t="str">
        <x:v>Drains tears via lacrimal pump; eyelid closure</x:v>
      </x:c>
      <x:c r="H40" s="24" t="str">
        <x:v>Posterior lacrimal crest/lacrimal fascia</x:v>
      </x:c>
      <x:c r="I40" s="24" t="str">
        <x:v>Medial tarsal plates</x:v>
      </x:c>
      <x:c r="J40" s="24" t="str">
        <x:v>Zygomatic branch facial nerve</x:v>
      </x:c>
      <x:c r="K40" s="24" t="str">
        <x:v>CN VII; no spinal root</x:v>
      </x:c>
      <x:c r="L40" s="24" t="str">
        <x:v>Tarsal tendon/fibrous slips</x:v>
      </x:c>
      <x:c r="M40" s="24" t="str">
        <x:v>Medial canthal tendon/lacrimal fascia</x:v>
      </x:c>
      <x:c r="N40" s="30" t="str">
        <x:v>Not established</x:v>
      </x:c>
      <x:c r="O40" s="30" t="str">
        <x:v>Not established</x:v>
      </x:c>
      <x:c r="P40" s="30" t="str">
        <x:v>Mixed Type I and Type II; ratio unverified</x:v>
      </x:c>
      <x:c r="Q40" s="24" t="str">
        <x:v>Published biopsies insufficient to state a reliable per-muscle percentage; no inference from function</x:v>
      </x:c>
      <x:c r="R40" s="32" t="str">
        <x:v>https://www.kenhub.com/en/library/anatomy/head-anatomy</x:v>
      </x:c>
      <x:c r="S40" s="32" t="str">
        <x:v>https://pubmed.ncbi.nlm.nih.gov/39359186/</x:v>
      </x:c>
    </x:row>
    <x:row r="41" ht="53" customHeight="1">
      <x:c r="A41" s="24" t="str">
        <x:v>Procerus</x:v>
      </x:c>
      <x:c r="B41" s="24" t="str">
        <x:v>Nasal bridge</x:v>
      </x:c>
      <x:c r="C41" s="24" t="str">
        <x:v>Other</x:v>
      </x:c>
      <x:c r="D41" s="28" t="str">
        <x:v>No</x:v>
      </x:c>
      <x:c r="E41" s="28" t="str">
        <x:v>No</x:v>
      </x:c>
      <x:c r="F41" s="28" t="str">
        <x:v>No</x:v>
      </x:c>
      <x:c r="G41" s="24" t="str">
        <x:v>Depresses medial brow; transverse nasal wrinkles</x:v>
      </x:c>
      <x:c r="H41" s="24" t="str">
        <x:v>Nasal bone and upper lateral nasal cartilage</x:v>
      </x:c>
      <x:c r="I41" s="24" t="str">
        <x:v>Skin between eyebrows</x:v>
      </x:c>
      <x:c r="J41" s="24" t="str">
        <x:v>Temporal/buccal facial branches</x:v>
      </x:c>
      <x:c r="K41" s="24" t="str">
        <x:v>CN VII; no spinal root</x:v>
      </x:c>
      <x:c r="L41" s="24" t="str">
        <x:v>Fibrous dermal insertion</x:v>
      </x:c>
      <x:c r="M41" s="24" t="str">
        <x:v>No specific direct ligament attachment</x:v>
      </x:c>
      <x:c r="N41" s="30" t="str">
        <x:v>Not established</x:v>
      </x:c>
      <x:c r="O41" s="30" t="str">
        <x:v>Not established</x:v>
      </x:c>
      <x:c r="P41" s="30" t="str">
        <x:v>Mixed Type I and Type II; ratio unverified</x:v>
      </x:c>
      <x:c r="Q41" s="24" t="str">
        <x:v>Published biopsies insufficient to state a reliable per-muscle percentage; no inference from function</x:v>
      </x:c>
      <x:c r="R41" s="32" t="str">
        <x:v>https://www.kenhub.com/en/library/anatomy/head-anatomy</x:v>
      </x:c>
      <x:c r="S41" s="32" t="str">
        <x:v>https://pubmed.ncbi.nlm.nih.gov/39359186/</x:v>
      </x:c>
    </x:row>
    <x:row r="42" ht="53" customHeight="1">
      <x:c r="A42" s="24" t="str">
        <x:v>Depressor septi nasi</x:v>
      </x:c>
      <x:c r="B42" s="24" t="str">
        <x:v>Nose</x:v>
      </x:c>
      <x:c r="C42" s="24" t="str">
        <x:v>Other</x:v>
      </x:c>
      <x:c r="D42" s="28" t="str">
        <x:v>No</x:v>
      </x:c>
      <x:c r="E42" s="28" t="str">
        <x:v>No</x:v>
      </x:c>
      <x:c r="F42" s="28" t="str">
        <x:v>No</x:v>
      </x:c>
      <x:c r="G42" s="24" t="str">
        <x:v>Draws septum downward, narrows nostrils</x:v>
      </x:c>
      <x:c r="H42" s="24" t="str">
        <x:v>Incisive fossa of maxilla</x:v>
      </x:c>
      <x:c r="I42" s="24" t="str">
        <x:v>Mobile nasal septum/columella</x:v>
      </x:c>
      <x:c r="J42" s="24" t="str">
        <x:v>Buccal facial branches</x:v>
      </x:c>
      <x:c r="K42" s="24" t="str">
        <x:v>CN VII; no spinal root</x:v>
      </x:c>
      <x:c r="L42" s="24" t="str">
        <x:v>Fibrous septal insertion</x:v>
      </x:c>
      <x:c r="M42" s="24" t="str">
        <x:v>Nasal septal cartilage connective tissue</x:v>
      </x:c>
      <x:c r="N42" s="30" t="str">
        <x:v>Not established</x:v>
      </x:c>
      <x:c r="O42" s="30" t="str">
        <x:v>Not established</x:v>
      </x:c>
      <x:c r="P42" s="30" t="str">
        <x:v>Mixed Type I and Type II; ratio unverified</x:v>
      </x:c>
      <x:c r="Q42" s="24" t="str">
        <x:v>Published biopsies insufficient to state a reliable per-muscle percentage; no inference from function</x:v>
      </x:c>
      <x:c r="R42" s="32" t="str">
        <x:v>https://www.kenhub.com/en/library/anatomy/head-anatomy</x:v>
      </x:c>
      <x:c r="S42" s="32" t="str">
        <x:v>https://pubmed.ncbi.nlm.nih.gov/39359186/</x:v>
      </x:c>
    </x:row>
    <x:row r="43" ht="53" customHeight="1">
      <x:c r="A43" s="24" t="str">
        <x:v>Nasalis alar part (dilator naris)</x:v>
      </x:c>
      <x:c r="B43" s="24" t="str">
        <x:v>Nose</x:v>
      </x:c>
      <x:c r="C43" s="24" t="str">
        <x:v>Other</x:v>
      </x:c>
      <x:c r="D43" s="28" t="str">
        <x:v>No</x:v>
      </x:c>
      <x:c r="E43" s="28" t="str">
        <x:v>No</x:v>
      </x:c>
      <x:c r="F43" s="28" t="str">
        <x:v>No</x:v>
      </x:c>
      <x:c r="G43" s="24" t="str">
        <x:v>Dilates nostril</x:v>
      </x:c>
      <x:c r="H43" s="24" t="str">
        <x:v>Maxilla near lateral incisor</x:v>
      </x:c>
      <x:c r="I43" s="24" t="str">
        <x:v>Greater alar cartilage/skin of nostril</x:v>
      </x:c>
      <x:c r="J43" s="24" t="str">
        <x:v>Buccal facial branches</x:v>
      </x:c>
      <x:c r="K43" s="24" t="str">
        <x:v>CN VII; no spinal root</x:v>
      </x:c>
      <x:c r="L43" s="24" t="str">
        <x:v>Dermal/cartilage fascicles</x:v>
      </x:c>
      <x:c r="M43" s="24" t="str">
        <x:v>Alar cartilaginous connective tissue</x:v>
      </x:c>
      <x:c r="N43" s="30" t="str">
        <x:v>Not established</x:v>
      </x:c>
      <x:c r="O43" s="30" t="str">
        <x:v>Not established</x:v>
      </x:c>
      <x:c r="P43" s="30" t="str">
        <x:v>Mixed Type I and Type II; ratio unverified</x:v>
      </x:c>
      <x:c r="Q43" s="24" t="str">
        <x:v>Published biopsies insufficient to state a reliable per-muscle percentage; no inference from function</x:v>
      </x:c>
      <x:c r="R43" s="32" t="str">
        <x:v>https://www.kenhub.com/en/library/anatomy/head-anatomy</x:v>
      </x:c>
      <x:c r="S43" s="32" t="str">
        <x:v>https://pubmed.ncbi.nlm.nih.gov/39359186/</x:v>
      </x:c>
    </x:row>
    <x:row r="44" ht="53" customHeight="1">
      <x:c r="A44" s="24" t="str">
        <x:v>Nasalis transverse part (compressor naris)</x:v>
      </x:c>
      <x:c r="B44" s="24" t="str">
        <x:v>Nose</x:v>
      </x:c>
      <x:c r="C44" s="24" t="str">
        <x:v>Other</x:v>
      </x:c>
      <x:c r="D44" s="28" t="str">
        <x:v>No</x:v>
      </x:c>
      <x:c r="E44" s="28" t="str">
        <x:v>No</x:v>
      </x:c>
      <x:c r="F44" s="28" t="str">
        <x:v>No</x:v>
      </x:c>
      <x:c r="G44" s="24" t="str">
        <x:v>Compresses nasal opening</x:v>
      </x:c>
      <x:c r="H44" s="24" t="str">
        <x:v>Maxilla lateral to nose</x:v>
      </x:c>
      <x:c r="I44" s="24" t="str">
        <x:v>Aponeurosis bridge of nose</x:v>
      </x:c>
      <x:c r="J44" s="24" t="str">
        <x:v>Buccal facial branches</x:v>
      </x:c>
      <x:c r="K44" s="24" t="str">
        <x:v>CN VII; no spinal root</x:v>
      </x:c>
      <x:c r="L44" s="24" t="str">
        <x:v>Dorsal nasal aponeurosis</x:v>
      </x:c>
      <x:c r="M44" s="24" t="str">
        <x:v>Nasal cartilage fibrous attachments</x:v>
      </x:c>
      <x:c r="N44" s="30" t="str">
        <x:v>Not established</x:v>
      </x:c>
      <x:c r="O44" s="30" t="str">
        <x:v>Not established</x:v>
      </x:c>
      <x:c r="P44" s="30" t="str">
        <x:v>Mixed Type I and Type II; ratio unverified</x:v>
      </x:c>
      <x:c r="Q44" s="24" t="str">
        <x:v>Published biopsies insufficient to state a reliable per-muscle percentage; no inference from function</x:v>
      </x:c>
      <x:c r="R44" s="32" t="str">
        <x:v>https://www.kenhub.com/en/library/anatomy/head-anatomy</x:v>
      </x:c>
      <x:c r="S44" s="32" t="str">
        <x:v>https://pubmed.ncbi.nlm.nih.gov/39359186/</x:v>
      </x:c>
    </x:row>
    <x:row r="45" ht="53" customHeight="1">
      <x:c r="A45" s="24" t="str">
        <x:v>Levator labii superioris alaeque nasi</x:v>
      </x:c>
      <x:c r="B45" s="24" t="str">
        <x:v>Nose upper lip</x:v>
      </x:c>
      <x:c r="C45" s="24" t="str">
        <x:v>Other</x:v>
      </x:c>
      <x:c r="D45" s="28" t="str">
        <x:v>No</x:v>
      </x:c>
      <x:c r="E45" s="28" t="str">
        <x:v>No</x:v>
      </x:c>
      <x:c r="F45" s="28" t="str">
        <x:v>No</x:v>
      </x:c>
      <x:c r="G45" s="24" t="str">
        <x:v>Raises upper lip/dilates nostril</x:v>
      </x:c>
      <x:c r="H45" s="24" t="str">
        <x:v>Frontal process of maxilla</x:v>
      </x:c>
      <x:c r="I45" s="24" t="str">
        <x:v>Alar cartilage and upper lip skin</x:v>
      </x:c>
      <x:c r="J45" s="24" t="str">
        <x:v>Buccal facial branches</x:v>
      </x:c>
      <x:c r="K45" s="24" t="str">
        <x:v>CN VII; no spinal root</x:v>
      </x:c>
      <x:c r="L45" s="24" t="str">
        <x:v>Dermal insertions</x:v>
      </x:c>
      <x:c r="M45" s="24" t="str">
        <x:v>No specific ligament attachment</x:v>
      </x:c>
      <x:c r="N45" s="30" t="str">
        <x:v>Not established</x:v>
      </x:c>
      <x:c r="O45" s="30" t="str">
        <x:v>Not established</x:v>
      </x:c>
      <x:c r="P45" s="30" t="str">
        <x:v>Mixed Type I and Type II; ratio unverified</x:v>
      </x:c>
      <x:c r="Q45" s="24" t="str">
        <x:v>Published biopsies insufficient to state a reliable per-muscle percentage; no inference from function</x:v>
      </x:c>
      <x:c r="R45" s="32" t="str">
        <x:v>https://www.kenhub.com/en/library/anatomy/head-anatomy</x:v>
      </x:c>
      <x:c r="S45" s="32" t="str">
        <x:v>https://pubmed.ncbi.nlm.nih.gov/39359186/</x:v>
      </x:c>
    </x:row>
    <x:row r="46" ht="53" customHeight="1">
      <x:c r="A46" s="24" t="str">
        <x:v>Orbicularis oculi orbital part</x:v>
      </x:c>
      <x:c r="B46" s="24" t="str">
        <x:v>Periorbital</x:v>
      </x:c>
      <x:c r="C46" s="24" t="str">
        <x:v>Stabilizer</x:v>
      </x:c>
      <x:c r="D46" s="28" t="str">
        <x:v>No</x:v>
      </x:c>
      <x:c r="E46" s="28" t="str">
        <x:v>No</x:v>
      </x:c>
      <x:c r="F46" s="28" t="str">
        <x:v>Yes</x:v>
      </x:c>
      <x:c r="G46" s="24" t="str">
        <x:v>Forceful eyelid closure</x:v>
      </x:c>
      <x:c r="H46" s="24" t="str">
        <x:v>Medial orbital margin; medial palpebral ligament</x:v>
      </x:c>
      <x:c r="I46" s="24" t="str">
        <x:v>Skin around orbital rim</x:v>
      </x:c>
      <x:c r="J46" s="24" t="str">
        <x:v>Temporal and zygomatic branches facial nerve</x:v>
      </x:c>
      <x:c r="K46" s="24" t="str">
        <x:v>CN VII; no spinal root</x:v>
      </x:c>
      <x:c r="L46" s="24" t="str">
        <x:v>Medial canthal tendon/medial palpebral ligament</x:v>
      </x:c>
      <x:c r="M46" s="24" t="str">
        <x:v>Medial palpebral ligament direct origin</x:v>
      </x:c>
      <x:c r="N46" s="30" t="str">
        <x:v>Not established</x:v>
      </x:c>
      <x:c r="O46" s="30" t="str">
        <x:v>Not established</x:v>
      </x:c>
      <x:c r="P46" s="30" t="str">
        <x:v>Mixed Type I and Type II; ratio unverified</x:v>
      </x:c>
      <x:c r="Q46" s="24" t="str">
        <x:v>Published biopsies insufficient to state a reliable per-muscle percentage; no inference from function</x:v>
      </x:c>
      <x:c r="R46" s="32" t="str">
        <x:v>https://www.kenhub.com/en/library/anatomy/head-anatomy</x:v>
      </x:c>
      <x:c r="S46" s="32" t="str">
        <x:v>https://pubmed.ncbi.nlm.nih.gov/39359186/</x:v>
      </x:c>
    </x:row>
    <x:row r="47" ht="53" customHeight="1">
      <x:c r="A47" s="24" t="str">
        <x:v>Frontalis (occipitofrontalis frontal belly)</x:v>
      </x:c>
      <x:c r="B47" s="24" t="str">
        <x:v>Scalp</x:v>
      </x:c>
      <x:c r="C47" s="24" t="str">
        <x:v>Other</x:v>
      </x:c>
      <x:c r="D47" s="28" t="str">
        <x:v>No</x:v>
      </x:c>
      <x:c r="E47" s="28" t="str">
        <x:v>No</x:v>
      </x:c>
      <x:c r="F47" s="28" t="str">
        <x:v>No</x:v>
      </x:c>
      <x:c r="G47" s="24" t="str">
        <x:v>Raises eyebrows; wrinkles forehead</x:v>
      </x:c>
      <x:c r="H47" s="24" t="str">
        <x:v>Epicranial aponeurosis</x:v>
      </x:c>
      <x:c r="I47" s="24" t="str">
        <x:v>Skin eyebrows/root nose</x:v>
      </x:c>
      <x:c r="J47" s="24" t="str">
        <x:v>Temporal branches facial nerve</x:v>
      </x:c>
      <x:c r="K47" s="24" t="str">
        <x:v>CN VII; no spinal root</x:v>
      </x:c>
      <x:c r="L47" s="24" t="str">
        <x:v>Epicranial aponeurosis</x:v>
      </x:c>
      <x:c r="M47" s="24" t="str">
        <x:v>No direct ligament attachment</x:v>
      </x:c>
      <x:c r="N47" s="30" t="str">
        <x:v>Not established</x:v>
      </x:c>
      <x:c r="O47" s="30" t="str">
        <x:v>Not established</x:v>
      </x:c>
      <x:c r="P47" s="30" t="str">
        <x:v>Mixed Type I and Type II; ratio unverified</x:v>
      </x:c>
      <x:c r="Q47" s="24" t="str">
        <x:v>Published biopsies insufficient to state a reliable per-muscle percentage; no inference from function</x:v>
      </x:c>
      <x:c r="R47" s="32" t="str">
        <x:v>https://www.kenhub.com/en/library/anatomy/head-anatomy</x:v>
      </x:c>
      <x:c r="S47" s="32" t="str">
        <x:v>https://pubmed.ncbi.nlm.nih.gov/39359186/</x:v>
      </x:c>
    </x:row>
    <x:row r="48" ht="53" customHeight="1">
      <x:c r="A48" s="24" t="str">
        <x:v>Occipitalis (occipitofrontalis occipital belly)</x:v>
      </x:c>
      <x:c r="B48" s="24" t="str">
        <x:v>Scalp</x:v>
      </x:c>
      <x:c r="C48" s="24" t="str">
        <x:v>Other</x:v>
      </x:c>
      <x:c r="D48" s="28" t="str">
        <x:v>No</x:v>
      </x:c>
      <x:c r="E48" s="28" t="str">
        <x:v>No</x:v>
      </x:c>
      <x:c r="F48" s="28" t="str">
        <x:v>No</x:v>
      </x:c>
      <x:c r="G48" s="24" t="str">
        <x:v>Retracts scalp</x:v>
      </x:c>
      <x:c r="H48" s="24" t="str">
        <x:v>Lateral superior nuchal line; mastoid part temporal bone</x:v>
      </x:c>
      <x:c r="I48" s="24" t="str">
        <x:v>Epicranial aponeurosis</x:v>
      </x:c>
      <x:c r="J48" s="24" t="str">
        <x:v>Posterior auricular branch facial nerve</x:v>
      </x:c>
      <x:c r="K48" s="24" t="str">
        <x:v>CN VII; no spinal root</x:v>
      </x:c>
      <x:c r="L48" s="24" t="str">
        <x:v>Galea aponeurotica (epicranial aponeurosis)</x:v>
      </x:c>
      <x:c r="M48" s="24" t="str">
        <x:v>Nuchal ligament nearby, no direct attachment</x:v>
      </x:c>
      <x:c r="N48" s="30" t="str">
        <x:v>Not established</x:v>
      </x:c>
      <x:c r="O48" s="30" t="str">
        <x:v>Not established</x:v>
      </x:c>
      <x:c r="P48" s="30" t="str">
        <x:v>Mixed Type I and Type II; ratio unverified</x:v>
      </x:c>
      <x:c r="Q48" s="24" t="str">
        <x:v>Published biopsies insufficient to state a reliable per-muscle percentage; no inference from function</x:v>
      </x:c>
      <x:c r="R48" s="32" t="str">
        <x:v>https://www.kenhub.com/en/library/anatomy/head-anatomy</x:v>
      </x:c>
      <x:c r="S48" s="32" t="str">
        <x:v>https://pubmed.ncbi.nlm.nih.gov/39359186/</x:v>
      </x:c>
    </x:row>
    <x:row r="49" ht="53" customHeight="1">
      <x:c r="A49" s="24" t="str">
        <x:v>Temporoparietalis</x:v>
      </x:c>
      <x:c r="B49" s="24" t="str">
        <x:v>Scalp</x:v>
      </x:c>
      <x:c r="C49" s="24" t="str">
        <x:v>Other</x:v>
      </x:c>
      <x:c r="D49" s="28" t="str">
        <x:v>No</x:v>
      </x:c>
      <x:c r="E49" s="28" t="str">
        <x:v>No</x:v>
      </x:c>
      <x:c r="F49" s="28" t="str">
        <x:v>No</x:v>
      </x:c>
      <x:c r="G49" s="24" t="str">
        <x:v>Tenses scalp; moves auricle slightly</x:v>
      </x:c>
      <x:c r="H49" s="24" t="str">
        <x:v>Fascia above auricle</x:v>
      </x:c>
      <x:c r="I49" s="24" t="str">
        <x:v>Epicranial aponeurosis</x:v>
      </x:c>
      <x:c r="J49" s="24" t="str">
        <x:v>Temporal branches facial nerve</x:v>
      </x:c>
      <x:c r="K49" s="24" t="str">
        <x:v>CN VII; no spinal root</x:v>
      </x:c>
      <x:c r="L49" s="24" t="str">
        <x:v>Epicranial aponeurosis</x:v>
      </x:c>
      <x:c r="M49" s="24" t="str">
        <x:v>Auricular fascia, no known direct ligament</x:v>
      </x:c>
      <x:c r="N49" s="30" t="str">
        <x:v>Not established</x:v>
      </x:c>
      <x:c r="O49" s="30" t="str">
        <x:v>Not established</x:v>
      </x:c>
      <x:c r="P49" s="30" t="str">
        <x:v>Mixed Type I and Type II; ratio unverified</x:v>
      </x:c>
      <x:c r="Q49" s="24" t="str">
        <x:v>Published biopsies insufficient to state a reliable per-muscle percentage; no inference from function</x:v>
      </x:c>
      <x:c r="R49" s="32" t="str">
        <x:v>https://www.kenhub.com/en/library/anatomy/head-anatomy</x:v>
      </x:c>
      <x:c r="S49" s="32" t="str">
        <x:v>https://pubmed.ncbi.nlm.nih.gov/39359186/</x:v>
      </x:c>
    </x:row>
    <x:row r="50" ht="53" customHeight="1">
      <x:c r="A50" s="24" t="str">
        <x:v>Levator labii superioris</x:v>
      </x:c>
      <x:c r="B50" s="24" t="str">
        <x:v>Upper lip</x:v>
      </x:c>
      <x:c r="C50" s="24" t="str">
        <x:v>Other</x:v>
      </x:c>
      <x:c r="D50" s="28" t="str">
        <x:v>No</x:v>
      </x:c>
      <x:c r="E50" s="28" t="str">
        <x:v>No</x:v>
      </x:c>
      <x:c r="F50" s="28" t="str">
        <x:v>No</x:v>
      </x:c>
      <x:c r="G50" s="24" t="str">
        <x:v>Raises upper lip</x:v>
      </x:c>
      <x:c r="H50" s="24" t="str">
        <x:v>Infraorbital margin maxilla</x:v>
      </x:c>
      <x:c r="I50" s="24" t="str">
        <x:v>Skin/muscle upper lip</x:v>
      </x:c>
      <x:c r="J50" s="24" t="str">
        <x:v>Zygomatic/buccal facial branches</x:v>
      </x:c>
      <x:c r="K50" s="24" t="str">
        <x:v>CN VII; no spinal root</x:v>
      </x:c>
      <x:c r="L50" s="24" t="str">
        <x:v>Dermal fibers</x:v>
      </x:c>
      <x:c r="M50" s="24" t="str">
        <x:v>No specific ligament attachment</x:v>
      </x:c>
      <x:c r="N50" s="30" t="str">
        <x:v>Not established</x:v>
      </x:c>
      <x:c r="O50" s="30" t="str">
        <x:v>Not established</x:v>
      </x:c>
      <x:c r="P50" s="30" t="str">
        <x:v>Mixed Type I and Type II; ratio unverified</x:v>
      </x:c>
      <x:c r="Q50" s="24" t="str">
        <x:v>Published biopsies insufficient to state a reliable per-muscle percentage; no inference from function</x:v>
      </x:c>
      <x:c r="R50" s="32" t="str">
        <x:v>https://www.kenhub.com/en/library/anatomy/head-anatomy</x:v>
      </x:c>
      <x:c r="S50" s="32" t="str">
        <x:v>https://pubmed.ncbi.nlm.nih.gov/39359186/</x:v>
      </x:c>
    </x:row>
    <x:row r="51" ht="53" customHeight="1">
      <x:c r="A51" s="24" t="str">
        <x:v>Zygomaticus minor</x:v>
      </x:c>
      <x:c r="B51" s="24" t="str">
        <x:v>Upper lip</x:v>
      </x:c>
      <x:c r="C51" s="24" t="str">
        <x:v>Other</x:v>
      </x:c>
      <x:c r="D51" s="28" t="str">
        <x:v>No</x:v>
      </x:c>
      <x:c r="E51" s="28" t="str">
        <x:v>No</x:v>
      </x:c>
      <x:c r="F51" s="28" t="str">
        <x:v>No</x:v>
      </x:c>
      <x:c r="G51" s="24" t="str">
        <x:v>Elevates upper lip</x:v>
      </x:c>
      <x:c r="H51" s="24" t="str">
        <x:v>Zygomatic bone lateral malar region</x:v>
      </x:c>
      <x:c r="I51" s="24" t="str">
        <x:v>Upper lip skin/orbicularis oris</x:v>
      </x:c>
      <x:c r="J51" s="24" t="str">
        <x:v>Zygomatic/buccal facial branches</x:v>
      </x:c>
      <x:c r="K51" s="24" t="str">
        <x:v>CN VII; no spinal root</x:v>
      </x:c>
      <x:c r="L51" s="24" t="str">
        <x:v>Dermal musculofascial insertion</x:v>
      </x:c>
      <x:c r="M51" s="24" t="str">
        <x:v>No specific ligament attachment</x:v>
      </x:c>
      <x:c r="N51" s="30" t="str">
        <x:v>Not established</x:v>
      </x:c>
      <x:c r="O51" s="30" t="str">
        <x:v>Not established</x:v>
      </x:c>
      <x:c r="P51" s="30" t="str">
        <x:v>Mixed Type I and Type II; ratio unverified</x:v>
      </x:c>
      <x:c r="Q51" s="24" t="str">
        <x:v>Published biopsies insufficient to state a reliable per-muscle percentage; no inference from function</x:v>
      </x:c>
      <x:c r="R51" s="32" t="str">
        <x:v>https://www.kenhub.com/en/library/anatomy/head-anatomy</x:v>
      </x:c>
      <x:c r="S51" s="32" t="str">
        <x:v>https://pubmed.ncbi.nlm.nih.gov/39359186/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c0f3a9fafaae4869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PHARYNX &amp; LARYNX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20 detailed entries | attachments and motor innervation | nearby versus direct ligament relationships explicitly indicated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Aryepiglottic muscle</x:v>
      </x:c>
      <x:c r="B4" s="24" t="str">
        <x:v>Intrinsic laryngeal</x:v>
      </x:c>
      <x:c r="C4" s="24" t="str">
        <x:v>Stabilizer</x:v>
      </x:c>
      <x:c r="D4" s="28" t="str">
        <x:v>No</x:v>
      </x:c>
      <x:c r="E4" s="28" t="str">
        <x:v>No</x:v>
      </x:c>
      <x:c r="F4" s="28" t="str">
        <x:v>Yes</x:v>
      </x:c>
      <x:c r="G4" s="24" t="str">
        <x:v>Narrows laryngeal inlet during swallow</x:v>
      </x:c>
      <x:c r="H4" s="24" t="str">
        <x:v>Apex arytenoid via oblique arytenoid continuation</x:v>
      </x:c>
      <x:c r="I4" s="24" t="str">
        <x:v>Lateral edge epiglottis</x:v>
      </x:c>
      <x:c r="J4" s="24" t="str">
        <x:v>Recurrent laryngeal nerve</x:v>
      </x:c>
      <x:c r="K4" s="24" t="str">
        <x:v>CN X; no spinal root</x:v>
      </x:c>
      <x:c r="L4" s="24" t="str">
        <x:v>Aryepiglottic fold fibrous insertion</x:v>
      </x:c>
      <x:c r="M4" s="24" t="str">
        <x:v>Quadrangular membrane under aryepiglottic fold</x:v>
      </x:c>
      <x:c r="N4" s="30" t="str">
        <x:v>Not established for this specific muscle</x:v>
      </x:c>
      <x:c r="O4" s="30" t="str">
        <x:v>Not established for this specific muscle</x:v>
      </x:c>
      <x:c r="P4" s="30" t="str">
        <x:v>Mixed/specialized; not quantified</x:v>
      </x:c>
      <x:c r="Q4" s="24" t="str">
        <x:v>Laryngeal and swallowing muscles vary in specialized fiber isoforms; no defensible per-muscle percentage provided</x:v>
      </x:c>
      <x:c r="R4" s="32" t="str">
        <x:v>https://www.kenhub.com/en/library/anatomy/muscles-and-walls-of-the-pharynx</x:v>
      </x:c>
      <x:c r="S4" s="32" t="str">
        <x:v>https://pmc.ncbi.nlm.nih.gov/articles/PMC11212792/</x:v>
      </x:c>
    </x:row>
    <x:row r="5" ht="53" customHeight="1">
      <x:c r="A5" s="24" t="str">
        <x:v>Cricothyroid oblique part</x:v>
      </x:c>
      <x:c r="B5" s="24" t="str">
        <x:v>Intrinsic laryngeal</x:v>
      </x:c>
      <x:c r="C5" s="24" t="str">
        <x:v>Stabilizer</x:v>
      </x:c>
      <x:c r="D5" s="28" t="str">
        <x:v>No</x:v>
      </x:c>
      <x:c r="E5" s="28" t="str">
        <x:v>No</x:v>
      </x:c>
      <x:c r="F5" s="28" t="str">
        <x:v>Yes</x:v>
      </x:c>
      <x:c r="G5" s="24" t="str">
        <x:v>Lengthens/tenses vocal folds</x:v>
      </x:c>
      <x:c r="H5" s="24" t="str">
        <x:v>Cricoid cartilage lateral arch</x:v>
      </x:c>
      <x:c r="I5" s="24" t="str">
        <x:v>Inferior horn thyroid cartilage</x:v>
      </x:c>
      <x:c r="J5" s="24" t="str">
        <x:v>External branch superior laryngeal nerve</x:v>
      </x:c>
      <x:c r="K5" s="24" t="str">
        <x:v>CN X; no spinal root</x:v>
      </x:c>
      <x:c r="L5" s="24" t="str">
        <x:v>Short oblique tendon</x:v>
      </x:c>
      <x:c r="M5" s="24" t="str">
        <x:v>Cricothyroid joint ligament complex adjacent</x:v>
      </x:c>
      <x:c r="N5" s="30" t="str">
        <x:v>Not established for this specific muscle</x:v>
      </x:c>
      <x:c r="O5" s="30" t="str">
        <x:v>Not established for this specific muscle</x:v>
      </x:c>
      <x:c r="P5" s="30" t="str">
        <x:v>Mixed/specialized; not quantified</x:v>
      </x:c>
      <x:c r="Q5" s="24" t="str">
        <x:v>Laryngeal and swallowing muscles vary in specialized fiber isoforms; no defensible per-muscle percentage provided</x:v>
      </x:c>
      <x:c r="R5" s="32" t="str">
        <x:v>https://www.kenhub.com/en/library/anatomy/muscles-and-walls-of-the-pharynx</x:v>
      </x:c>
      <x:c r="S5" s="32" t="str">
        <x:v>https://pmc.ncbi.nlm.nih.gov/articles/PMC11212792/</x:v>
      </x:c>
    </x:row>
    <x:row r="6" ht="53" customHeight="1">
      <x:c r="A6" s="24" t="str">
        <x:v>Cricothyroid straight part</x:v>
      </x:c>
      <x:c r="B6" s="24" t="str">
        <x:v>Intrinsic laryngeal</x:v>
      </x:c>
      <x:c r="C6" s="24" t="str">
        <x:v>Stabilizer</x:v>
      </x:c>
      <x:c r="D6" s="28" t="str">
        <x:v>No</x:v>
      </x:c>
      <x:c r="E6" s="28" t="str">
        <x:v>No</x:v>
      </x:c>
      <x:c r="F6" s="28" t="str">
        <x:v>Yes</x:v>
      </x:c>
      <x:c r="G6" s="24" t="str">
        <x:v>Tilts thyroid cartilage forward to tense vocal folds</x:v>
      </x:c>
      <x:c r="H6" s="24" t="str">
        <x:v>Anterolateral arch cricoid cartilage</x:v>
      </x:c>
      <x:c r="I6" s="24" t="str">
        <x:v>Inferior border lamina thyroid cartilage</x:v>
      </x:c>
      <x:c r="J6" s="24" t="str">
        <x:v>External branch superior laryngeal nerve</x:v>
      </x:c>
      <x:c r="K6" s="24" t="str">
        <x:v>CN X; no spinal root</x:v>
      </x:c>
      <x:c r="L6" s="24" t="str">
        <x:v>Short cartilage-to-cartilage tendon</x:v>
      </x:c>
      <x:c r="M6" s="24" t="str">
        <x:v>Cricothyroid ligament/membrane adjacent</x:v>
      </x:c>
      <x:c r="N6" s="30" t="str">
        <x:v>Not established for this specific muscle</x:v>
      </x:c>
      <x:c r="O6" s="30" t="str">
        <x:v>Not established for this specific muscle</x:v>
      </x:c>
      <x:c r="P6" s="30" t="str">
        <x:v>Mixed/specialized; not quantified</x:v>
      </x:c>
      <x:c r="Q6" s="24" t="str">
        <x:v>Laryngeal and swallowing muscles vary in specialized fiber isoforms; no defensible per-muscle percentage provided</x:v>
      </x:c>
      <x:c r="R6" s="32" t="str">
        <x:v>https://www.kenhub.com/en/library/anatomy/muscles-and-walls-of-the-pharynx</x:v>
      </x:c>
      <x:c r="S6" s="32" t="str">
        <x:v>https://pmc.ncbi.nlm.nih.gov/articles/PMC11212792/</x:v>
      </x:c>
    </x:row>
    <x:row r="7" ht="53" customHeight="1">
      <x:c r="A7" s="24" t="str">
        <x:v>Lateral cricoarytenoid</x:v>
      </x:c>
      <x:c r="B7" s="24" t="str">
        <x:v>Intrinsic laryngeal</x:v>
      </x:c>
      <x:c r="C7" s="24" t="str">
        <x:v>Stabilizer</x:v>
      </x:c>
      <x:c r="D7" s="28" t="str">
        <x:v>No</x:v>
      </x:c>
      <x:c r="E7" s="28" t="str">
        <x:v>No</x:v>
      </x:c>
      <x:c r="F7" s="28" t="str">
        <x:v>Yes</x:v>
      </x:c>
      <x:c r="G7" s="24" t="str">
        <x:v>Adducts vocal processes; closes glottis</x:v>
      </x:c>
      <x:c r="H7" s="24" t="str">
        <x:v>Superior/lateral arch cricoid cartilage</x:v>
      </x:c>
      <x:c r="I7" s="24" t="str">
        <x:v>Muscular process arytenoid cartilage</x:v>
      </x:c>
      <x:c r="J7" s="24" t="str">
        <x:v>Recurrent laryngeal nerve</x:v>
      </x:c>
      <x:c r="K7" s="24" t="str">
        <x:v>CN X; no spinal root</x:v>
      </x:c>
      <x:c r="L7" s="24" t="str">
        <x:v>Arytenoid muscular process tendon</x:v>
      </x:c>
      <x:c r="M7" s="24" t="str">
        <x:v>Cricoarytenoid capsule nearby</x:v>
      </x:c>
      <x:c r="N7" s="30" t="str">
        <x:v>Not established for this specific muscle</x:v>
      </x:c>
      <x:c r="O7" s="30" t="str">
        <x:v>Not established for this specific muscle</x:v>
      </x:c>
      <x:c r="P7" s="30" t="str">
        <x:v>Mixed/specialized; not quantified</x:v>
      </x:c>
      <x:c r="Q7" s="24" t="str">
        <x:v>Laryngeal and swallowing muscles vary in specialized fiber isoforms; no defensible per-muscle percentage provided</x:v>
      </x:c>
      <x:c r="R7" s="32" t="str">
        <x:v>https://www.kenhub.com/en/library/anatomy/muscles-and-walls-of-the-pharynx</x:v>
      </x:c>
      <x:c r="S7" s="32" t="str">
        <x:v>https://pmc.ncbi.nlm.nih.gov/articles/PMC11212792/</x:v>
      </x:c>
    </x:row>
    <x:row r="8" ht="53" customHeight="1">
      <x:c r="A8" s="24" t="str">
        <x:v>Oblique arytenoid</x:v>
      </x:c>
      <x:c r="B8" s="24" t="str">
        <x:v>Intrinsic laryngeal</x:v>
      </x:c>
      <x:c r="C8" s="24" t="str">
        <x:v>Stabilizer</x:v>
      </x:c>
      <x:c r="D8" s="28" t="str">
        <x:v>No</x:v>
      </x:c>
      <x:c r="E8" s="28" t="str">
        <x:v>No</x:v>
      </x:c>
      <x:c r="F8" s="28" t="str">
        <x:v>Yes</x:v>
      </x:c>
      <x:c r="G8" s="24" t="str">
        <x:v>Closes laryngeal inlet, assists adduction</x:v>
      </x:c>
      <x:c r="H8" s="24" t="str">
        <x:v>Muscular process of one arytenoid</x:v>
      </x:c>
      <x:c r="I8" s="24" t="str">
        <x:v>Apex of opposite arytenoid</x:v>
      </x:c>
      <x:c r="J8" s="24" t="str">
        <x:v>Recurrent laryngeal nerve</x:v>
      </x:c>
      <x:c r="K8" s="24" t="str">
        <x:v>CN X; no spinal root</x:v>
      </x:c>
      <x:c r="L8" s="24" t="str">
        <x:v>Short arytenoid aponeurosis</x:v>
      </x:c>
      <x:c r="M8" s="24" t="str">
        <x:v>Quadrangular membrane continuation near apex</x:v>
      </x:c>
      <x:c r="N8" s="30" t="str">
        <x:v>Not established for this specific muscle</x:v>
      </x:c>
      <x:c r="O8" s="30" t="str">
        <x:v>Not established for this specific muscle</x:v>
      </x:c>
      <x:c r="P8" s="30" t="str">
        <x:v>Mixed/specialized; not quantified</x:v>
      </x:c>
      <x:c r="Q8" s="24" t="str">
        <x:v>Laryngeal and swallowing muscles vary in specialized fiber isoforms; no defensible per-muscle percentage provided</x:v>
      </x:c>
      <x:c r="R8" s="32" t="str">
        <x:v>https://www.kenhub.com/en/library/anatomy/muscles-and-walls-of-the-pharynx</x:v>
      </x:c>
      <x:c r="S8" s="32" t="str">
        <x:v>https://pmc.ncbi.nlm.nih.gov/articles/PMC11212792/</x:v>
      </x:c>
    </x:row>
    <x:row r="9" ht="53" customHeight="1">
      <x:c r="A9" s="24" t="str">
        <x:v>Posterior cricoarytenoid</x:v>
      </x:c>
      <x:c r="B9" s="24" t="str">
        <x:v>Intrinsic laryngeal</x:v>
      </x:c>
      <x:c r="C9" s="24" t="str">
        <x:v>Stabilizer</x:v>
      </x:c>
      <x:c r="D9" s="28" t="str">
        <x:v>No</x:v>
      </x:c>
      <x:c r="E9" s="28" t="str">
        <x:v>No</x:v>
      </x:c>
      <x:c r="F9" s="28" t="str">
        <x:v>Yes</x:v>
      </x:c>
      <x:c r="G9" s="24" t="str">
        <x:v>Abducts vocal folds; opens rima glottidis</x:v>
      </x:c>
      <x:c r="H9" s="24" t="str">
        <x:v>Posterior lamina of cricoid cartilage</x:v>
      </x:c>
      <x:c r="I9" s="24" t="str">
        <x:v>Muscular process arytenoid cartilage</x:v>
      </x:c>
      <x:c r="J9" s="24" t="str">
        <x:v>Recurrent laryngeal nerve</x:v>
      </x:c>
      <x:c r="K9" s="24" t="str">
        <x:v>CN X; no spinal root</x:v>
      </x:c>
      <x:c r="L9" s="24" t="str">
        <x:v>Short arytenoid tendon</x:v>
      </x:c>
      <x:c r="M9" s="24" t="str">
        <x:v>Cricoarytenoid joint capsule/ligaments adjacent</x:v>
      </x:c>
      <x:c r="N9" s="30" t="str">
        <x:v>Not established for this specific muscle</x:v>
      </x:c>
      <x:c r="O9" s="30" t="str">
        <x:v>Not established for this specific muscle</x:v>
      </x:c>
      <x:c r="P9" s="30" t="str">
        <x:v>Mixed/specialized; not quantified</x:v>
      </x:c>
      <x:c r="Q9" s="24" t="str">
        <x:v>Laryngeal and swallowing muscles vary in specialized fiber isoforms; no defensible per-muscle percentage provided</x:v>
      </x:c>
      <x:c r="R9" s="32" t="str">
        <x:v>https://www.kenhub.com/en/library/anatomy/muscles-and-walls-of-the-pharynx</x:v>
      </x:c>
      <x:c r="S9" s="32" t="str">
        <x:v>https://pmc.ncbi.nlm.nih.gov/articles/PMC11212792/</x:v>
      </x:c>
    </x:row>
    <x:row r="10" ht="53" customHeight="1">
      <x:c r="A10" s="24" t="str">
        <x:v>Thyroarytenoid</x:v>
      </x:c>
      <x:c r="B10" s="24" t="str">
        <x:v>Intrinsic laryngeal</x:v>
      </x:c>
      <x:c r="C10" s="24" t="str">
        <x:v>Stabilizer</x:v>
      </x:c>
      <x:c r="D10" s="28" t="str">
        <x:v>No</x:v>
      </x:c>
      <x:c r="E10" s="28" t="str">
        <x:v>No</x:v>
      </x:c>
      <x:c r="F10" s="28" t="str">
        <x:v>Yes</x:v>
      </x:c>
      <x:c r="G10" s="24" t="str">
        <x:v>Shortens/relaxes vocal folds; sphincter action</x:v>
      </x:c>
      <x:c r="H10" s="24" t="str">
        <x:v>Inner thyroid angle anteriorly</x:v>
      </x:c>
      <x:c r="I10" s="24" t="str">
        <x:v>Anterolateral arytenoid cartilage</x:v>
      </x:c>
      <x:c r="J10" s="24" t="str">
        <x:v>Recurrent laryngeal nerve</x:v>
      </x:c>
      <x:c r="K10" s="24" t="str">
        <x:v>CN X; no spinal root</x:v>
      </x:c>
      <x:c r="L10" s="24" t="str">
        <x:v>Vocal ligament-connected muscle fibers</x:v>
      </x:c>
      <x:c r="M10" s="24" t="str">
        <x:v>Vocal ligament lies medial to thyroarytenoid</x:v>
      </x:c>
      <x:c r="N10" s="30" t="str">
        <x:v>Not established for this specific muscle</x:v>
      </x:c>
      <x:c r="O10" s="30" t="str">
        <x:v>Not established for this specific muscle</x:v>
      </x:c>
      <x:c r="P10" s="30" t="str">
        <x:v>Mixed/specialized; not quantified</x:v>
      </x:c>
      <x:c r="Q10" s="24" t="str">
        <x:v>Laryngeal and swallowing muscles vary in specialized fiber isoforms; no defensible per-muscle percentage provided</x:v>
      </x:c>
      <x:c r="R10" s="32" t="str">
        <x:v>https://www.kenhub.com/en/library/anatomy/muscles-and-walls-of-the-pharynx</x:v>
      </x:c>
      <x:c r="S10" s="32" t="str">
        <x:v>https://pmc.ncbi.nlm.nih.gov/articles/PMC11212792/</x:v>
      </x:c>
    </x:row>
    <x:row r="11" ht="53" customHeight="1">
      <x:c r="A11" s="24" t="str">
        <x:v>Thyroepiglottic muscle</x:v>
      </x:c>
      <x:c r="B11" s="24" t="str">
        <x:v>Intrinsic laryngeal</x:v>
      </x:c>
      <x:c r="C11" s="24" t="str">
        <x:v>Other</x:v>
      </x:c>
      <x:c r="D11" s="28" t="str">
        <x:v>No</x:v>
      </x:c>
      <x:c r="E11" s="28" t="str">
        <x:v>No</x:v>
      </x:c>
      <x:c r="F11" s="28" t="str">
        <x:v>No</x:v>
      </x:c>
      <x:c r="G11" s="24" t="str">
        <x:v>Widens laryngeal inlet</x:v>
      </x:c>
      <x:c r="H11" s="24" t="str">
        <x:v>Inner thyroid angle, continuation thyroarytenoid</x:v>
      </x:c>
      <x:c r="I11" s="24" t="str">
        <x:v>Lateral edge epiglottis</x:v>
      </x:c>
      <x:c r="J11" s="24" t="str">
        <x:v>Recurrent laryngeal nerve</x:v>
      </x:c>
      <x:c r="K11" s="24" t="str">
        <x:v>CN X; no spinal root</x:v>
      </x:c>
      <x:c r="L11" s="24" t="str">
        <x:v>Aryepiglottic fold fibers</x:v>
      </x:c>
      <x:c r="M11" s="24" t="str">
        <x:v>Quadrangular membrane adjacent</x:v>
      </x:c>
      <x:c r="N11" s="30" t="str">
        <x:v>Not established for this specific muscle</x:v>
      </x:c>
      <x:c r="O11" s="30" t="str">
        <x:v>Not established for this specific muscle</x:v>
      </x:c>
      <x:c r="P11" s="30" t="str">
        <x:v>Mixed/specialized; not quantified</x:v>
      </x:c>
      <x:c r="Q11" s="24" t="str">
        <x:v>Laryngeal and swallowing muscles vary in specialized fiber isoforms; no defensible per-muscle percentage provided</x:v>
      </x:c>
      <x:c r="R11" s="32" t="str">
        <x:v>https://www.kenhub.com/en/library/anatomy/muscles-and-walls-of-the-pharynx</x:v>
      </x:c>
      <x:c r="S11" s="32" t="str">
        <x:v>https://pmc.ncbi.nlm.nih.gov/articles/PMC11212792/</x:v>
      </x:c>
    </x:row>
    <x:row r="12" ht="53" customHeight="1">
      <x:c r="A12" s="24" t="str">
        <x:v>Transverse arytenoid</x:v>
      </x:c>
      <x:c r="B12" s="24" t="str">
        <x:v>Intrinsic laryngeal</x:v>
      </x:c>
      <x:c r="C12" s="24" t="str">
        <x:v>Stabilizer</x:v>
      </x:c>
      <x:c r="D12" s="28" t="str">
        <x:v>No</x:v>
      </x:c>
      <x:c r="E12" s="28" t="str">
        <x:v>No</x:v>
      </x:c>
      <x:c r="F12" s="28" t="str">
        <x:v>Yes</x:v>
      </x:c>
      <x:c r="G12" s="24" t="str">
        <x:v>Adducts arytenoids; closes posterior glottis</x:v>
      </x:c>
      <x:c r="H12" s="24" t="str">
        <x:v>Posterior surface one arytenoid cartilage</x:v>
      </x:c>
      <x:c r="I12" s="24" t="str">
        <x:v>Posterior surface opposite arytenoid</x:v>
      </x:c>
      <x:c r="J12" s="24" t="str">
        <x:v>Recurrent laryngeal nerve</x:v>
      </x:c>
      <x:c r="K12" s="24" t="str">
        <x:v>CN X; no spinal root</x:v>
      </x:c>
      <x:c r="L12" s="24" t="str">
        <x:v>Transverse interarytenoid fibers</x:v>
      </x:c>
      <x:c r="M12" s="24" t="str">
        <x:v>Cricoarytenoid ligament complex nearby</x:v>
      </x:c>
      <x:c r="N12" s="30" t="str">
        <x:v>Not established for this specific muscle</x:v>
      </x:c>
      <x:c r="O12" s="30" t="str">
        <x:v>Not established for this specific muscle</x:v>
      </x:c>
      <x:c r="P12" s="30" t="str">
        <x:v>Mixed/specialized; not quantified</x:v>
      </x:c>
      <x:c r="Q12" s="24" t="str">
        <x:v>Laryngeal and swallowing muscles vary in specialized fiber isoforms; no defensible per-muscle percentage provided</x:v>
      </x:c>
      <x:c r="R12" s="32" t="str">
        <x:v>https://www.kenhub.com/en/library/anatomy/muscles-and-walls-of-the-pharynx</x:v>
      </x:c>
      <x:c r="S12" s="32" t="str">
        <x:v>https://pmc.ncbi.nlm.nih.gov/articles/PMC11212792/</x:v>
      </x:c>
    </x:row>
    <x:row r="13" ht="53" customHeight="1">
      <x:c r="A13" s="24" t="str">
        <x:v>Vocalis</x:v>
      </x:c>
      <x:c r="B13" s="24" t="str">
        <x:v>Intrinsic laryngeal</x:v>
      </x:c>
      <x:c r="C13" s="24" t="str">
        <x:v>Stabilizer</x:v>
      </x:c>
      <x:c r="D13" s="28" t="str">
        <x:v>No</x:v>
      </x:c>
      <x:c r="E13" s="28" t="str">
        <x:v>No</x:v>
      </x:c>
      <x:c r="F13" s="28" t="str">
        <x:v>Yes</x:v>
      </x:c>
      <x:c r="G13" s="24" t="str">
        <x:v>Fine-tunes vocal fold tension</x:v>
      </x:c>
      <x:c r="H13" s="24" t="str">
        <x:v>Anterior thyroid cartilage and vocal ligament</x:v>
      </x:c>
      <x:c r="I13" s="24" t="str">
        <x:v>Vocal process arytenoid and vocal ligament</x:v>
      </x:c>
      <x:c r="J13" s="24" t="str">
        <x:v>Recurrent laryngeal nerve</x:v>
      </x:c>
      <x:c r="K13" s="24" t="str">
        <x:v>CN X; no spinal root</x:v>
      </x:c>
      <x:c r="L13" s="24" t="str">
        <x:v>Fibers directly adjacent/attach vocal ligament</x:v>
      </x:c>
      <x:c r="M13" s="24" t="str">
        <x:v>Vocal ligament direct intimate muscular relationship</x:v>
      </x:c>
      <x:c r="N13" s="30" t="str">
        <x:v>Not established for this specific muscle</x:v>
      </x:c>
      <x:c r="O13" s="30" t="str">
        <x:v>Not established for this specific muscle</x:v>
      </x:c>
      <x:c r="P13" s="30" t="str">
        <x:v>Mixed/specialized; not quantified</x:v>
      </x:c>
      <x:c r="Q13" s="24" t="str">
        <x:v>Laryngeal and swallowing muscles vary in specialized fiber isoforms; no defensible per-muscle percentage provided</x:v>
      </x:c>
      <x:c r="R13" s="32" t="str">
        <x:v>https://www.kenhub.com/en/library/anatomy/muscles-and-walls-of-the-pharynx</x:v>
      </x:c>
      <x:c r="S13" s="32" t="str">
        <x:v>https://pmc.ncbi.nlm.nih.gov/articles/PMC11212792/</x:v>
      </x:c>
    </x:row>
    <x:row r="14" ht="53" customHeight="1">
      <x:c r="A14" s="24" t="str">
        <x:v>Inferior pharyngeal constrictor thyropharyngeus</x:v>
      </x:c>
      <x:c r="B14" s="24" t="str">
        <x:v>Pharyngeal circular</x:v>
      </x:c>
      <x:c r="C14" s="24" t="str">
        <x:v>Stabilizer</x:v>
      </x:c>
      <x:c r="D14" s="28" t="str">
        <x:v>No</x:v>
      </x:c>
      <x:c r="E14" s="28" t="str">
        <x:v>No</x:v>
      </x:c>
      <x:c r="F14" s="28" t="str">
        <x:v>Yes</x:v>
      </x:c>
      <x:c r="G14" s="24" t="str">
        <x:v>Pharyngeal constriction during swallow</x:v>
      </x:c>
      <x:c r="H14" s="24" t="str">
        <x:v>Oblique line thyroid cartilage</x:v>
      </x:c>
      <x:c r="I14" s="24" t="str">
        <x:v>Median pharyngeal raphe</x:v>
      </x:c>
      <x:c r="J14" s="24" t="str">
        <x:v>Pharyngeal plexus via vagus nerve</x:v>
      </x:c>
      <x:c r="K14" s="24" t="str">
        <x:v>CN X; no spinal root</x:v>
      </x:c>
      <x:c r="L14" s="24" t="str">
        <x:v>Pharyngeal raphe</x:v>
      </x:c>
      <x:c r="M14" s="24" t="str">
        <x:v>Thyrohyoid membrane adjacent</x:v>
      </x:c>
      <x:c r="N14" s="30" t="str">
        <x:v>Not established for this specific muscle</x:v>
      </x:c>
      <x:c r="O14" s="30" t="str">
        <x:v>Not established for this specific muscle</x:v>
      </x:c>
      <x:c r="P14" s="30" t="str">
        <x:v>Mixed/specialized; not quantified</x:v>
      </x:c>
      <x:c r="Q14" s="24" t="str">
        <x:v>Laryngeal and swallowing muscles vary in specialized fiber isoforms; no defensible per-muscle percentage provided</x:v>
      </x:c>
      <x:c r="R14" s="32" t="str">
        <x:v>https://www.kenhub.com/en/library/anatomy/muscles-and-walls-of-the-pharynx</x:v>
      </x:c>
      <x:c r="S14" s="32" t="str">
        <x:v>https://pmc.ncbi.nlm.nih.gov/articles/PMC11212792/</x:v>
      </x:c>
    </x:row>
    <x:row r="15" ht="53" customHeight="1">
      <x:c r="A15" s="24" t="str">
        <x:v>Middle pharyngeal constrictor</x:v>
      </x:c>
      <x:c r="B15" s="24" t="str">
        <x:v>Pharyngeal circular</x:v>
      </x:c>
      <x:c r="C15" s="24" t="str">
        <x:v>Stabilizer</x:v>
      </x:c>
      <x:c r="D15" s="28" t="str">
        <x:v>No</x:v>
      </x:c>
      <x:c r="E15" s="28" t="str">
        <x:v>No</x:v>
      </x:c>
      <x:c r="F15" s="28" t="str">
        <x:v>Yes</x:v>
      </x:c>
      <x:c r="G15" s="24" t="str">
        <x:v>Constricts mid pharynx in swallow</x:v>
      </x:c>
      <x:c r="H15" s="24" t="str">
        <x:v>Greater and lesser hyoid horns; stylohyoid ligament</x:v>
      </x:c>
      <x:c r="I15" s="24" t="str">
        <x:v>Median pharyngeal raphe</x:v>
      </x:c>
      <x:c r="J15" s="24" t="str">
        <x:v>Pharyngeal plexus via vagus nerve</x:v>
      </x:c>
      <x:c r="K15" s="24" t="str">
        <x:v>CN X; no spinal root</x:v>
      </x:c>
      <x:c r="L15" s="24" t="str">
        <x:v>Pharyngeal raphe</x:v>
      </x:c>
      <x:c r="M15" s="24" t="str">
        <x:v>Stylohyoid ligament direct origin</x:v>
      </x:c>
      <x:c r="N15" s="30" t="str">
        <x:v>Not established for this specific muscle</x:v>
      </x:c>
      <x:c r="O15" s="30" t="str">
        <x:v>Not established for this specific muscle</x:v>
      </x:c>
      <x:c r="P15" s="30" t="str">
        <x:v>Mixed/specialized; not quantified</x:v>
      </x:c>
      <x:c r="Q15" s="24" t="str">
        <x:v>Laryngeal and swallowing muscles vary in specialized fiber isoforms; no defensible per-muscle percentage provided</x:v>
      </x:c>
      <x:c r="R15" s="32" t="str">
        <x:v>https://www.kenhub.com/en/library/anatomy/muscles-and-walls-of-the-pharynx</x:v>
      </x:c>
      <x:c r="S15" s="32" t="str">
        <x:v>https://pmc.ncbi.nlm.nih.gov/articles/PMC11212792/</x:v>
      </x:c>
    </x:row>
    <x:row r="16" ht="53" customHeight="1">
      <x:c r="A16" s="24" t="str">
        <x:v>Superior pharyngeal constrictor</x:v>
      </x:c>
      <x:c r="B16" s="24" t="str">
        <x:v>Pharyngeal circular</x:v>
      </x:c>
      <x:c r="C16" s="24" t="str">
        <x:v>Stabilizer</x:v>
      </x:c>
      <x:c r="D16" s="28" t="str">
        <x:v>No</x:v>
      </x:c>
      <x:c r="E16" s="28" t="str">
        <x:v>No</x:v>
      </x:c>
      <x:c r="F16" s="28" t="str">
        <x:v>Yes</x:v>
      </x:c>
      <x:c r="G16" s="24" t="str">
        <x:v>Constricts superior pharynx during swallow</x:v>
      </x:c>
      <x:c r="H16" s="24" t="str">
        <x:v>Pterygoid hamulus; pterygomandibular raphe; mylohyoid line; tongue</x:v>
      </x:c>
      <x:c r="I16" s="24" t="str">
        <x:v>Median pharyngeal raphe and pharyngeal tubercle</x:v>
      </x:c>
      <x:c r="J16" s="24" t="str">
        <x:v>Pharyngeal plexus via vagus nerve</x:v>
      </x:c>
      <x:c r="K16" s="24" t="str">
        <x:v>CN X; no spinal root</x:v>
      </x:c>
      <x:c r="L16" s="24" t="str">
        <x:v>Pharyngeal raphe fibrous insertion</x:v>
      </x:c>
      <x:c r="M16" s="24" t="str">
        <x:v>Pterygomandibular raphe direct origin</x:v>
      </x:c>
      <x:c r="N16" s="30" t="str">
        <x:v>Not established for this specific muscle</x:v>
      </x:c>
      <x:c r="O16" s="30" t="str">
        <x:v>Not established for this specific muscle</x:v>
      </x:c>
      <x:c r="P16" s="30" t="str">
        <x:v>Mixed/specialized; not quantified</x:v>
      </x:c>
      <x:c r="Q16" s="24" t="str">
        <x:v>Laryngeal and swallowing muscles vary in specialized fiber isoforms; no defensible per-muscle percentage provided</x:v>
      </x:c>
      <x:c r="R16" s="32" t="str">
        <x:v>https://www.kenhub.com/en/library/anatomy/muscles-and-walls-of-the-pharynx</x:v>
      </x:c>
      <x:c r="S16" s="32" t="str">
        <x:v>https://pmc.ncbi.nlm.nih.gov/articles/PMC11212792/</x:v>
      </x:c>
    </x:row>
    <x:row r="17" ht="53" customHeight="1">
      <x:c r="A17" s="24" t="str">
        <x:v>Salpingopharyngeus</x:v>
      </x:c>
      <x:c r="B17" s="24" t="str">
        <x:v>Pharyngeal longitudinal</x:v>
      </x:c>
      <x:c r="C17" s="24" t="str">
        <x:v>Stabilizer</x:v>
      </x:c>
      <x:c r="D17" s="28" t="str">
        <x:v>No</x:v>
      </x:c>
      <x:c r="E17" s="28" t="str">
        <x:v>No</x:v>
      </x:c>
      <x:c r="F17" s="28" t="str">
        <x:v>Yes</x:v>
      </x:c>
      <x:c r="G17" s="24" t="str">
        <x:v>Elevates pharynx; assists opening auditory tube</x:v>
      </x:c>
      <x:c r="H17" s="24" t="str">
        <x:v>Cartilage auditory tube</x:v>
      </x:c>
      <x:c r="I17" s="24" t="str">
        <x:v>Blends into palatopharyngeus and pharyngeal wall</x:v>
      </x:c>
      <x:c r="J17" s="24" t="str">
        <x:v>Pharyngeal plexus via vagus nerve</x:v>
      </x:c>
      <x:c r="K17" s="24" t="str">
        <x:v>CN X; no spinal root</x:v>
      </x:c>
      <x:c r="L17" s="24" t="str">
        <x:v>Pharyngeal fascial insertion</x:v>
      </x:c>
      <x:c r="M17" s="24" t="str">
        <x:v>Pharyngobasilar fascia adjacent</x:v>
      </x:c>
      <x:c r="N17" s="30" t="str">
        <x:v>Not established for this specific muscle</x:v>
      </x:c>
      <x:c r="O17" s="30" t="str">
        <x:v>Not established for this specific muscle</x:v>
      </x:c>
      <x:c r="P17" s="30" t="str">
        <x:v>Mixed/specialized; not quantified</x:v>
      </x:c>
      <x:c r="Q17" s="24" t="str">
        <x:v>Laryngeal and swallowing muscles vary in specialized fiber isoforms; no defensible per-muscle percentage provided</x:v>
      </x:c>
      <x:c r="R17" s="32" t="str">
        <x:v>https://www.kenhub.com/en/library/anatomy/muscles-and-walls-of-the-pharynx</x:v>
      </x:c>
      <x:c r="S17" s="32" t="str">
        <x:v>https://pmc.ncbi.nlm.nih.gov/articles/PMC11212792/</x:v>
      </x:c>
    </x:row>
    <x:row r="18" ht="53" customHeight="1">
      <x:c r="A18" s="24" t="str">
        <x:v>Stylopharyngeus</x:v>
      </x:c>
      <x:c r="B18" s="24" t="str">
        <x:v>Pharyngeal longitudinal</x:v>
      </x:c>
      <x:c r="C18" s="24" t="str">
        <x:v>Stabilizer</x:v>
      </x:c>
      <x:c r="D18" s="28" t="str">
        <x:v>No</x:v>
      </x:c>
      <x:c r="E18" s="28" t="str">
        <x:v>No</x:v>
      </x:c>
      <x:c r="F18" s="28" t="str">
        <x:v>Yes</x:v>
      </x:c>
      <x:c r="G18" s="24" t="str">
        <x:v>Elevates pharynx/larynx during swallowing</x:v>
      </x:c>
      <x:c r="H18" s="24" t="str">
        <x:v>Medial side of styloid process</x:v>
      </x:c>
      <x:c r="I18" s="24" t="str">
        <x:v>Pharyngeal wall and superior thyroid cartilage</x:v>
      </x:c>
      <x:c r="J18" s="24" t="str">
        <x:v>Glossopharyngeal nerve</x:v>
      </x:c>
      <x:c r="K18" s="24" t="str">
        <x:v>CN IX; no spinal root</x:v>
      </x:c>
      <x:c r="L18" s="24" t="str">
        <x:v>Fibers into pharyngeal wall</x:v>
      </x:c>
      <x:c r="M18" s="24" t="str">
        <x:v>Stylohyoid ligament nearby</x:v>
      </x:c>
      <x:c r="N18" s="30" t="str">
        <x:v>Not established for this specific muscle</x:v>
      </x:c>
      <x:c r="O18" s="30" t="str">
        <x:v>Not established for this specific muscle</x:v>
      </x:c>
      <x:c r="P18" s="30" t="str">
        <x:v>Mixed/specialized; not quantified</x:v>
      </x:c>
      <x:c r="Q18" s="24" t="str">
        <x:v>Laryngeal and swallowing muscles vary in specialized fiber isoforms; no defensible per-muscle percentage provided</x:v>
      </x:c>
      <x:c r="R18" s="32" t="str">
        <x:v>https://www.kenhub.com/en/library/anatomy/muscles-and-walls-of-the-pharynx</x:v>
      </x:c>
      <x:c r="S18" s="32" t="str">
        <x:v>https://pmc.ncbi.nlm.nih.gov/articles/PMC11212792/</x:v>
      </x:c>
    </x:row>
    <x:row r="19" ht="53" customHeight="1">
      <x:c r="A19" s="24" t="str">
        <x:v>Levator veli palatini</x:v>
      </x:c>
      <x:c r="B19" s="24" t="str">
        <x:v>Soft palate</x:v>
      </x:c>
      <x:c r="C19" s="24" t="str">
        <x:v>Stabilizer</x:v>
      </x:c>
      <x:c r="D19" s="28" t="str">
        <x:v>No</x:v>
      </x:c>
      <x:c r="E19" s="28" t="str">
        <x:v>No</x:v>
      </x:c>
      <x:c r="F19" s="28" t="str">
        <x:v>Yes</x:v>
      </x:c>
      <x:c r="G19" s="24" t="str">
        <x:v>Elevates palate during swallowing; seals nasopharynx</x:v>
      </x:c>
      <x:c r="H19" s="24" t="str">
        <x:v>Petrous temporal bone; cartilaginous auditory tube</x:v>
      </x:c>
      <x:c r="I19" s="24" t="str">
        <x:v>Palatine aponeurosis</x:v>
      </x:c>
      <x:c r="J19" s="24" t="str">
        <x:v>Pharyngeal plexus via vagus nerve</x:v>
      </x:c>
      <x:c r="K19" s="24" t="str">
        <x:v>CN X; no spinal root</x:v>
      </x:c>
      <x:c r="L19" s="24" t="str">
        <x:v>Fibrous palatal insertion</x:v>
      </x:c>
      <x:c r="M19" s="24" t="str">
        <x:v>Palatine aponeurosis</x:v>
      </x:c>
      <x:c r="N19" s="30" t="str">
        <x:v>Not established for this specific muscle</x:v>
      </x:c>
      <x:c r="O19" s="30" t="str">
        <x:v>Not established for this specific muscle</x:v>
      </x:c>
      <x:c r="P19" s="30" t="str">
        <x:v>Mixed/specialized; not quantified</x:v>
      </x:c>
      <x:c r="Q19" s="24" t="str">
        <x:v>Laryngeal and swallowing muscles vary in specialized fiber isoforms; no defensible per-muscle percentage provided</x:v>
      </x:c>
      <x:c r="R19" s="32" t="str">
        <x:v>https://www.kenhub.com/en/library/anatomy/muscles-and-walls-of-the-pharynx</x:v>
      </x:c>
      <x:c r="S19" s="32" t="str">
        <x:v>https://pmc.ncbi.nlm.nih.gov/articles/PMC11212792/</x:v>
      </x:c>
    </x:row>
    <x:row r="20" ht="53" customHeight="1">
      <x:c r="A20" s="24" t="str">
        <x:v>Musculus uvulae</x:v>
      </x:c>
      <x:c r="B20" s="24" t="str">
        <x:v>Soft palate</x:v>
      </x:c>
      <x:c r="C20" s="24" t="str">
        <x:v>Stabilizer</x:v>
      </x:c>
      <x:c r="D20" s="28" t="str">
        <x:v>No</x:v>
      </x:c>
      <x:c r="E20" s="28" t="str">
        <x:v>No</x:v>
      </x:c>
      <x:c r="F20" s="28" t="str">
        <x:v>Yes</x:v>
      </x:c>
      <x:c r="G20" s="24" t="str">
        <x:v>Shortens/raises uvula; seals nasopharynx</x:v>
      </x:c>
      <x:c r="H20" s="24" t="str">
        <x:v>Posterior nasal spine; palatine aponeurosis</x:v>
      </x:c>
      <x:c r="I20" s="24" t="str">
        <x:v>Mucosa of uvula</x:v>
      </x:c>
      <x:c r="J20" s="24" t="str">
        <x:v>Pharyngeal plexus via vagus nerve</x:v>
      </x:c>
      <x:c r="K20" s="24" t="str">
        <x:v>CN X; no spinal root</x:v>
      </x:c>
      <x:c r="L20" s="24" t="str">
        <x:v>Palatine aponeurotic origin</x:v>
      </x:c>
      <x:c r="M20" s="24" t="str">
        <x:v>Palatine aponeurosis direct origin</x:v>
      </x:c>
      <x:c r="N20" s="30" t="str">
        <x:v>Not established for this specific muscle</x:v>
      </x:c>
      <x:c r="O20" s="30" t="str">
        <x:v>Not established for this specific muscle</x:v>
      </x:c>
      <x:c r="P20" s="30" t="str">
        <x:v>Mixed/specialized; not quantified</x:v>
      </x:c>
      <x:c r="Q20" s="24" t="str">
        <x:v>Laryngeal and swallowing muscles vary in specialized fiber isoforms; no defensible per-muscle percentage provided</x:v>
      </x:c>
      <x:c r="R20" s="32" t="str">
        <x:v>https://www.kenhub.com/en/library/anatomy/muscles-and-walls-of-the-pharynx</x:v>
      </x:c>
      <x:c r="S20" s="32" t="str">
        <x:v>https://pmc.ncbi.nlm.nih.gov/articles/PMC11212792/</x:v>
      </x:c>
    </x:row>
    <x:row r="21" ht="53" customHeight="1">
      <x:c r="A21" s="24" t="str">
        <x:v>Tensor veli palatini</x:v>
      </x:c>
      <x:c r="B21" s="24" t="str">
        <x:v>Soft palate</x:v>
      </x:c>
      <x:c r="C21" s="24" t="str">
        <x:v>Stabilizer</x:v>
      </x:c>
      <x:c r="D21" s="28" t="str">
        <x:v>No</x:v>
      </x:c>
      <x:c r="E21" s="28" t="str">
        <x:v>No</x:v>
      </x:c>
      <x:c r="F21" s="28" t="str">
        <x:v>Yes</x:v>
      </x:c>
      <x:c r="G21" s="24" t="str">
        <x:v>Tenses palate; opens auditory tube</x:v>
      </x:c>
      <x:c r="H21" s="24" t="str">
        <x:v>Scaphoid fossa sphenoid; spine sphenoid; cartilaginous auditory tube</x:v>
      </x:c>
      <x:c r="I21" s="24" t="str">
        <x:v>Palatine aponeurosis after tendon around hamulus</x:v>
      </x:c>
      <x:c r="J21" s="24" t="str">
        <x:v>Nerve to medial pterygoid (V3)</x:v>
      </x:c>
      <x:c r="K21" s="24" t="str">
        <x:v>CN V3; no spinal root</x:v>
      </x:c>
      <x:c r="L21" s="24" t="str">
        <x:v>Tendon loops around pterygoid hamulus</x:v>
      </x:c>
      <x:c r="M21" s="24" t="str">
        <x:v>Palatine aponeurosis insertion</x:v>
      </x:c>
      <x:c r="N21" s="30" t="str">
        <x:v>Not established for this specific muscle</x:v>
      </x:c>
      <x:c r="O21" s="30" t="str">
        <x:v>Not established for this specific muscle</x:v>
      </x:c>
      <x:c r="P21" s="30" t="str">
        <x:v>Mixed/specialized; not quantified</x:v>
      </x:c>
      <x:c r="Q21" s="24" t="str">
        <x:v>Laryngeal and swallowing muscles vary in specialized fiber isoforms; no defensible per-muscle percentage provided</x:v>
      </x:c>
      <x:c r="R21" s="32" t="str">
        <x:v>https://www.kenhub.com/en/library/anatomy/muscles-and-walls-of-the-pharynx</x:v>
      </x:c>
      <x:c r="S21" s="32" t="str">
        <x:v>https://pmc.ncbi.nlm.nih.gov/articles/PMC11212792/</x:v>
      </x:c>
    </x:row>
    <x:row r="22" ht="53" customHeight="1">
      <x:c r="A22" s="24" t="str">
        <x:v>Palatopharyngeus</x:v>
      </x:c>
      <x:c r="B22" s="24" t="str">
        <x:v>Soft palate / pharyngeal longitudinal</x:v>
      </x:c>
      <x:c r="C22" s="24" t="str">
        <x:v>Stabilizer</x:v>
      </x:c>
      <x:c r="D22" s="28" t="str">
        <x:v>No</x:v>
      </x:c>
      <x:c r="E22" s="28" t="str">
        <x:v>No</x:v>
      </x:c>
      <x:c r="F22" s="28" t="str">
        <x:v>Yes</x:v>
      </x:c>
      <x:c r="G22" s="24" t="str">
        <x:v>Elevates pharynx; depresses palate; swallowing</x:v>
      </x:c>
      <x:c r="H22" s="24" t="str">
        <x:v>Hard palate and palatine aponeurosis</x:v>
      </x:c>
      <x:c r="I22" s="24" t="str">
        <x:v>Pharyngeal wall and posterior thyroid cartilage</x:v>
      </x:c>
      <x:c r="J22" s="24" t="str">
        <x:v>Pharyngeal plexus via vagus nerve</x:v>
      </x:c>
      <x:c r="K22" s="24" t="str">
        <x:v>CN X; no spinal root</x:v>
      </x:c>
      <x:c r="L22" s="24" t="str">
        <x:v>Palatine aponeurosis origin</x:v>
      </x:c>
      <x:c r="M22" s="24" t="str">
        <x:v>Palatine aponeurosis direct origin</x:v>
      </x:c>
      <x:c r="N22" s="30" t="str">
        <x:v>Not established for this specific muscle</x:v>
      </x:c>
      <x:c r="O22" s="30" t="str">
        <x:v>Not established for this specific muscle</x:v>
      </x:c>
      <x:c r="P22" s="30" t="str">
        <x:v>Mixed/specialized; not quantified</x:v>
      </x:c>
      <x:c r="Q22" s="24" t="str">
        <x:v>Laryngeal and swallowing muscles vary in specialized fiber isoforms; no defensible per-muscle percentage provided</x:v>
      </x:c>
      <x:c r="R22" s="32" t="str">
        <x:v>https://www.kenhub.com/en/library/anatomy/muscles-and-walls-of-the-pharynx</x:v>
      </x:c>
      <x:c r="S22" s="32" t="str">
        <x:v>https://pmc.ncbi.nlm.nih.gov/articles/PMC11212792/</x:v>
      </x:c>
    </x:row>
    <x:row r="23" ht="53" customHeight="1">
      <x:c r="A23" s="24" t="str">
        <x:v>Inferior pharyngeal constrictor cricopharyngeus</x:v>
      </x:c>
      <x:c r="B23" s="24" t="str">
        <x:v>Upper esophageal sphincter</x:v>
      </x:c>
      <x:c r="C23" s="24" t="str">
        <x:v>Stabilizer</x:v>
      </x:c>
      <x:c r="D23" s="28" t="str">
        <x:v>No</x:v>
      </x:c>
      <x:c r="E23" s="28" t="str">
        <x:v>No</x:v>
      </x:c>
      <x:c r="F23" s="28" t="str">
        <x:v>Yes</x:v>
      </x:c>
      <x:c r="G23" s="24" t="str">
        <x:v>Upper esophageal sphincter closure/relaxation on swallowing</x:v>
      </x:c>
      <x:c r="H23" s="24" t="str">
        <x:v>Lateral cricoid cartilage</x:v>
      </x:c>
      <x:c r="I23" s="24" t="str">
        <x:v>Circumferential sphincter around pharyngoesophageal junction</x:v>
      </x:c>
      <x:c r="J23" s="24" t="str">
        <x:v>Vagus via pharyngeal plexus/recurrent laryngeal contributions</x:v>
      </x:c>
      <x:c r="K23" s="24" t="str">
        <x:v>CN X; no spinal root</x:v>
      </x:c>
      <x:c r="L23" s="24" t="str">
        <x:v>Circular fibromuscular attachment</x:v>
      </x:c>
      <x:c r="M23" s="24" t="str">
        <x:v>Cricopharyngeal region contiguous with pharyngeal fascia</x:v>
      </x:c>
      <x:c r="N23" s="30" t="str">
        <x:v>Not established for this specific muscle</x:v>
      </x:c>
      <x:c r="O23" s="30" t="str">
        <x:v>Not established for this specific muscle</x:v>
      </x:c>
      <x:c r="P23" s="30" t="str">
        <x:v>Mixed/specialized; not quantified</x:v>
      </x:c>
      <x:c r="Q23" s="24" t="str">
        <x:v>Laryngeal and swallowing muscles vary in specialized fiber isoforms; no defensible per-muscle percentage provided</x:v>
      </x:c>
      <x:c r="R23" s="32" t="str">
        <x:v>https://www.kenhub.com/en/library/anatomy/muscles-and-walls-of-the-pharynx</x:v>
      </x:c>
      <x:c r="S23" s="32" t="str">
        <x:v>https://pmc.ncbi.nlm.nih.gov/articles/PMC11212792/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55df4bda73664b20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EYE &amp; EAR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9 detailed entries | attachments and motor innervation | nearby versus direct ligament relationships explicitly indicated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Inferior oblique (eye)</x:v>
      </x:c>
      <x:c r="B4" s="24" t="str">
        <x:v>Extraocular</x:v>
      </x:c>
      <x:c r="C4" s="24" t="str">
        <x:v>Other</x:v>
      </x:c>
      <x:c r="D4" s="28" t="str">
        <x:v>No</x:v>
      </x:c>
      <x:c r="E4" s="28" t="str">
        <x:v>No</x:v>
      </x:c>
      <x:c r="F4" s="28" t="str">
        <x:v>No</x:v>
      </x:c>
      <x:c r="G4" s="24" t="str">
        <x:v>Extorts/elevates adducted eye</x:v>
      </x:c>
      <x:c r="H4" s="24" t="str">
        <x:v>Anteromedial orbital floor maxilla</x:v>
      </x:c>
      <x:c r="I4" s="24" t="str">
        <x:v>Posterolateral inferior sclera</x:v>
      </x:c>
      <x:c r="J4" s="24" t="str">
        <x:v>Oculomotor nerve inferior division</x:v>
      </x:c>
      <x:c r="K4" s="24" t="str">
        <x:v>CN III; no spinal root</x:v>
      </x:c>
      <x:c r="L4" s="24" t="str">
        <x:v>Inferior oblique distal tendon</x:v>
      </x:c>
      <x:c r="M4" s="24" t="str">
        <x:v>Lockwood suspensory fascial complex adjacent</x:v>
      </x:c>
      <x:c r="N4" s="30" t="str">
        <x:v>Specialized eye fibers; % not comparable</x:v>
      </x:c>
      <x:c r="O4" s="30" t="str">
        <x:v>Extraocular-specific myosin isoforms</x:v>
      </x:c>
      <x:c r="P4" s="30" t="str">
        <x:v>Highly specialized fast + tonic fiber populations</x:v>
      </x:c>
      <x:c r="Q4" s="24" t="str">
        <x:v>Conventional two-bin skeletal Type I/II schemes do not capture all extraocular types</x:v>
      </x:c>
      <x:c r="R4" s="32" t="str">
        <x:v>https://www.kenhub.com/en/library/anatomy/extraocular-muscles</x:v>
      </x:c>
      <x:c r="S4" s="32" t="str">
        <x:v>https://pmc.ncbi.nlm.nih.gov/articles/PMC3779741/</x:v>
      </x:c>
    </x:row>
    <x:row r="5" ht="53" customHeight="1">
      <x:c r="A5" s="24" t="str">
        <x:v>Inferior rectus (eye)</x:v>
      </x:c>
      <x:c r="B5" s="24" t="str">
        <x:v>Extraocular</x:v>
      </x:c>
      <x:c r="C5" s="24" t="str">
        <x:v>Other</x:v>
      </x:c>
      <x:c r="D5" s="28" t="str">
        <x:v>No</x:v>
      </x:c>
      <x:c r="E5" s="28" t="str">
        <x:v>No</x:v>
      </x:c>
      <x:c r="F5" s="28" t="str">
        <x:v>No</x:v>
      </x:c>
      <x:c r="G5" s="24" t="str">
        <x:v>Depresses/adducts/extorts globe</x:v>
      </x:c>
      <x:c r="H5" s="24" t="str">
        <x:v>Common tendinous ring at orbital apex</x:v>
      </x:c>
      <x:c r="I5" s="24" t="str">
        <x:v>Inferior anterior sclera</x:v>
      </x:c>
      <x:c r="J5" s="24" t="str">
        <x:v>Oculomotor nerve inferior division</x:v>
      </x:c>
      <x:c r="K5" s="24" t="str">
        <x:v>CN III; no spinal root</x:v>
      </x:c>
      <x:c r="L5" s="24" t="str">
        <x:v>Inferior rectus insertion tendon</x:v>
      </x:c>
      <x:c r="M5" s="24" t="str">
        <x:v>Inferior suspensory ligament of eyeball (Lockwood) fascial relation</x:v>
      </x:c>
      <x:c r="N5" s="30" t="str">
        <x:v>Specialized eye fibers; % not comparable</x:v>
      </x:c>
      <x:c r="O5" s="30" t="str">
        <x:v>Extraocular-specific myosin isoforms</x:v>
      </x:c>
      <x:c r="P5" s="30" t="str">
        <x:v>Highly specialized fast + tonic fiber populations</x:v>
      </x:c>
      <x:c r="Q5" s="24" t="str">
        <x:v>Conventional two-bin skeletal Type I/II schemes do not capture all extraocular types</x:v>
      </x:c>
      <x:c r="R5" s="32" t="str">
        <x:v>https://www.kenhub.com/en/library/anatomy/extraocular-muscles</x:v>
      </x:c>
      <x:c r="S5" s="32" t="str">
        <x:v>https://pmc.ncbi.nlm.nih.gov/articles/PMC3779741/</x:v>
      </x:c>
    </x:row>
    <x:row r="6" ht="53" customHeight="1">
      <x:c r="A6" s="24" t="str">
        <x:v>Lateral rectus (eye)</x:v>
      </x:c>
      <x:c r="B6" s="24" t="str">
        <x:v>Extraocular</x:v>
      </x:c>
      <x:c r="C6" s="24" t="str">
        <x:v>Other</x:v>
      </x:c>
      <x:c r="D6" s="28" t="str">
        <x:v>No</x:v>
      </x:c>
      <x:c r="E6" s="28" t="str">
        <x:v>No</x:v>
      </x:c>
      <x:c r="F6" s="28" t="str">
        <x:v>No</x:v>
      </x:c>
      <x:c r="G6" s="24" t="str">
        <x:v>Abducts globe</x:v>
      </x:c>
      <x:c r="H6" s="24" t="str">
        <x:v>Common tendinous ring at orbital apex</x:v>
      </x:c>
      <x:c r="I6" s="24" t="str">
        <x:v>Lateral anterior sclera</x:v>
      </x:c>
      <x:c r="J6" s="24" t="str">
        <x:v>Abducens nerve</x:v>
      </x:c>
      <x:c r="K6" s="24" t="str">
        <x:v>CN VI; no spinal root</x:v>
      </x:c>
      <x:c r="L6" s="24" t="str">
        <x:v>Lateral rectus insertion tendon</x:v>
      </x:c>
      <x:c r="M6" s="24" t="str">
        <x:v>Lateral check ligament fascial relationship</x:v>
      </x:c>
      <x:c r="N6" s="30" t="str">
        <x:v>Specialized eye fibers; % not comparable</x:v>
      </x:c>
      <x:c r="O6" s="30" t="str">
        <x:v>Extraocular-specific myosin isoforms</x:v>
      </x:c>
      <x:c r="P6" s="30" t="str">
        <x:v>Highly specialized fast + tonic fiber populations</x:v>
      </x:c>
      <x:c r="Q6" s="24" t="str">
        <x:v>Conventional two-bin skeletal Type I/II schemes do not capture all extraocular types</x:v>
      </x:c>
      <x:c r="R6" s="32" t="str">
        <x:v>https://www.kenhub.com/en/library/anatomy/extraocular-muscles</x:v>
      </x:c>
      <x:c r="S6" s="32" t="str">
        <x:v>https://pmc.ncbi.nlm.nih.gov/articles/PMC3779741/</x:v>
      </x:c>
    </x:row>
    <x:row r="7" ht="53" customHeight="1">
      <x:c r="A7" s="24" t="str">
        <x:v>Medial rectus (eye)</x:v>
      </x:c>
      <x:c r="B7" s="24" t="str">
        <x:v>Extraocular</x:v>
      </x:c>
      <x:c r="C7" s="24" t="str">
        <x:v>Other</x:v>
      </x:c>
      <x:c r="D7" s="28" t="str">
        <x:v>No</x:v>
      </x:c>
      <x:c r="E7" s="28" t="str">
        <x:v>No</x:v>
      </x:c>
      <x:c r="F7" s="28" t="str">
        <x:v>No</x:v>
      </x:c>
      <x:c r="G7" s="24" t="str">
        <x:v>Adducts globe</x:v>
      </x:c>
      <x:c r="H7" s="24" t="str">
        <x:v>Common tendinous ring at orbital apex</x:v>
      </x:c>
      <x:c r="I7" s="24" t="str">
        <x:v>Medial anterior sclera</x:v>
      </x:c>
      <x:c r="J7" s="24" t="str">
        <x:v>Oculomotor nerve inferior division</x:v>
      </x:c>
      <x:c r="K7" s="24" t="str">
        <x:v>CN III; no spinal root</x:v>
      </x:c>
      <x:c r="L7" s="24" t="str">
        <x:v>Medial rectus insertion tendon</x:v>
      </x:c>
      <x:c r="M7" s="24" t="str">
        <x:v>Medial check ligament fascial relationship</x:v>
      </x:c>
      <x:c r="N7" s="30" t="str">
        <x:v>Specialized eye fibers; % not comparable</x:v>
      </x:c>
      <x:c r="O7" s="30" t="str">
        <x:v>Extraocular-specific myosin isoforms</x:v>
      </x:c>
      <x:c r="P7" s="30" t="str">
        <x:v>Highly specialized fast + tonic fiber populations</x:v>
      </x:c>
      <x:c r="Q7" s="24" t="str">
        <x:v>Conventional two-bin skeletal Type I/II schemes do not capture all extraocular types</x:v>
      </x:c>
      <x:c r="R7" s="32" t="str">
        <x:v>https://www.kenhub.com/en/library/anatomy/extraocular-muscles</x:v>
      </x:c>
      <x:c r="S7" s="32" t="str">
        <x:v>https://pmc.ncbi.nlm.nih.gov/articles/PMC3779741/</x:v>
      </x:c>
    </x:row>
    <x:row r="8" ht="53" customHeight="1">
      <x:c r="A8" s="24" t="str">
        <x:v>Superior oblique (eye)</x:v>
      </x:c>
      <x:c r="B8" s="24" t="str">
        <x:v>Extraocular</x:v>
      </x:c>
      <x:c r="C8" s="24" t="str">
        <x:v>Other</x:v>
      </x:c>
      <x:c r="D8" s="28" t="str">
        <x:v>No</x:v>
      </x:c>
      <x:c r="E8" s="28" t="str">
        <x:v>No</x:v>
      </x:c>
      <x:c r="F8" s="28" t="str">
        <x:v>No</x:v>
      </x:c>
      <x:c r="G8" s="24" t="str">
        <x:v>Intorts/depresses abducts (depending gaze); depresses adducted eye</x:v>
      </x:c>
      <x:c r="H8" s="24" t="str">
        <x:v>Body sphenoid superomedial to optic canal</x:v>
      </x:c>
      <x:c r="I8" s="24" t="str">
        <x:v>Posterolateral superior sclera after trochlea</x:v>
      </x:c>
      <x:c r="J8" s="24" t="str">
        <x:v>Trochlear nerve</x:v>
      </x:c>
      <x:c r="K8" s="24" t="str">
        <x:v>CN IV; no spinal root</x:v>
      </x:c>
      <x:c r="L8" s="24" t="str">
        <x:v>Superior oblique tendon through trochlea</x:v>
      </x:c>
      <x:c r="M8" s="24" t="str">
        <x:v>Trochlear pulley is fibrocartilaginous ring attached to frontal bone</x:v>
      </x:c>
      <x:c r="N8" s="30" t="str">
        <x:v>Specialized eye fibers; % not comparable</x:v>
      </x:c>
      <x:c r="O8" s="30" t="str">
        <x:v>Extraocular-specific myosin isoforms</x:v>
      </x:c>
      <x:c r="P8" s="30" t="str">
        <x:v>Highly specialized fast + tonic fiber populations</x:v>
      </x:c>
      <x:c r="Q8" s="24" t="str">
        <x:v>Conventional two-bin skeletal Type I/II schemes do not capture all extraocular types</x:v>
      </x:c>
      <x:c r="R8" s="32" t="str">
        <x:v>https://www.kenhub.com/en/library/anatomy/extraocular-muscles</x:v>
      </x:c>
      <x:c r="S8" s="32" t="str">
        <x:v>https://pmc.ncbi.nlm.nih.gov/articles/PMC3779741/</x:v>
      </x:c>
    </x:row>
    <x:row r="9" ht="53" customHeight="1">
      <x:c r="A9" s="24" t="str">
        <x:v>Superior rectus (eye)</x:v>
      </x:c>
      <x:c r="B9" s="24" t="str">
        <x:v>Extraocular</x:v>
      </x:c>
      <x:c r="C9" s="24" t="str">
        <x:v>Other</x:v>
      </x:c>
      <x:c r="D9" s="28" t="str">
        <x:v>No</x:v>
      </x:c>
      <x:c r="E9" s="28" t="str">
        <x:v>No</x:v>
      </x:c>
      <x:c r="F9" s="28" t="str">
        <x:v>No</x:v>
      </x:c>
      <x:c r="G9" s="24" t="str">
        <x:v>Elevates/adducts/intorts globe</x:v>
      </x:c>
      <x:c r="H9" s="24" t="str">
        <x:v>Common tendinous ring at orbital apex</x:v>
      </x:c>
      <x:c r="I9" s="24" t="str">
        <x:v>Superior anterior sclera</x:v>
      </x:c>
      <x:c r="J9" s="24" t="str">
        <x:v>Oculomotor nerve superior division</x:v>
      </x:c>
      <x:c r="K9" s="24" t="str">
        <x:v>CN III; no spinal root</x:v>
      </x:c>
      <x:c r="L9" s="24" t="str">
        <x:v>Superior rectus insertion tendon</x:v>
      </x:c>
      <x:c r="M9" s="24" t="str">
        <x:v>Check ligaments/fascial sheath near globe</x:v>
      </x:c>
      <x:c r="N9" s="30" t="str">
        <x:v>Specialized eye fibers; % not comparable</x:v>
      </x:c>
      <x:c r="O9" s="30" t="str">
        <x:v>Extraocular-specific myosin isoforms</x:v>
      </x:c>
      <x:c r="P9" s="30" t="str">
        <x:v>Highly specialized fast + tonic fiber populations</x:v>
      </x:c>
      <x:c r="Q9" s="24" t="str">
        <x:v>Conventional two-bin skeletal Type I/II schemes do not capture all extraocular types</x:v>
      </x:c>
      <x:c r="R9" s="32" t="str">
        <x:v>https://www.kenhub.com/en/library/anatomy/extraocular-muscles</x:v>
      </x:c>
      <x:c r="S9" s="32" t="str">
        <x:v>https://pmc.ncbi.nlm.nih.gov/articles/PMC3779741/</x:v>
      </x:c>
    </x:row>
    <x:row r="10" ht="53" customHeight="1">
      <x:c r="A10" s="24" t="str">
        <x:v>Levator palpebrae superioris</x:v>
      </x:c>
      <x:c r="B10" s="24" t="str">
        <x:v>Extraocular / upper lid</x:v>
      </x:c>
      <x:c r="C10" s="24" t="str">
        <x:v>Other</x:v>
      </x:c>
      <x:c r="D10" s="28" t="str">
        <x:v>No</x:v>
      </x:c>
      <x:c r="E10" s="28" t="str">
        <x:v>No</x:v>
      </x:c>
      <x:c r="F10" s="28" t="str">
        <x:v>No</x:v>
      </x:c>
      <x:c r="G10" s="24" t="str">
        <x:v>Elevates upper eyelid</x:v>
      </x:c>
      <x:c r="H10" s="24" t="str">
        <x:v>Lesser wing sphenoid above optic canal</x:v>
      </x:c>
      <x:c r="I10" s="24" t="str">
        <x:v>Superior tarsal plate and upper lid skin via aponeurosis</x:v>
      </x:c>
      <x:c r="J10" s="24" t="str">
        <x:v>Oculomotor nerve superior division</x:v>
      </x:c>
      <x:c r="K10" s="24" t="str">
        <x:v>CN III; no spinal root</x:v>
      </x:c>
      <x:c r="L10" s="24" t="str">
        <x:v>Levator palpebrae aponeurosis</x:v>
      </x:c>
      <x:c r="M10" s="24" t="str">
        <x:v>Whitnall superior transverse ligament supports levator tendon</x:v>
      </x:c>
      <x:c r="N10" s="30" t="str">
        <x:v>Specialized eye fibers; % not comparable</x:v>
      </x:c>
      <x:c r="O10" s="30" t="str">
        <x:v>Extraocular-specific myosin isoforms</x:v>
      </x:c>
      <x:c r="P10" s="30" t="str">
        <x:v>Highly specialized fast + tonic fiber populations</x:v>
      </x:c>
      <x:c r="Q10" s="24" t="str">
        <x:v>Conventional two-bin skeletal Type I/II schemes do not capture all extraocular types</x:v>
      </x:c>
      <x:c r="R10" s="32" t="str">
        <x:v>https://www.kenhub.com/en/library/anatomy/extraocular-muscles</x:v>
      </x:c>
      <x:c r="S10" s="32" t="str">
        <x:v>https://pmc.ncbi.nlm.nih.gov/articles/PMC3779741/</x:v>
      </x:c>
    </x:row>
    <x:row r="11" ht="53" customHeight="1">
      <x:c r="A11" s="24" t="str">
        <x:v>Stapedius</x:v>
      </x:c>
      <x:c r="B11" s="24" t="str">
        <x:v>Middle ear</x:v>
      </x:c>
      <x:c r="C11" s="24" t="str">
        <x:v>Stabilizer</x:v>
      </x:c>
      <x:c r="D11" s="28" t="str">
        <x:v>No</x:v>
      </x:c>
      <x:c r="E11" s="28" t="str">
        <x:v>No</x:v>
      </x:c>
      <x:c r="F11" s="28" t="str">
        <x:v>Yes</x:v>
      </x:c>
      <x:c r="G11" s="24" t="str">
        <x:v>Dampens stapes movement/acoustic reflex</x:v>
      </x:c>
      <x:c r="H11" s="24" t="str">
        <x:v>Pyramidal eminence of posterior tympanic cavity</x:v>
      </x:c>
      <x:c r="I11" s="24" t="str">
        <x:v>Neck of stapes</x:v>
      </x:c>
      <x:c r="J11" s="24" t="str">
        <x:v>Nerve to stapedius from facial nerve</x:v>
      </x:c>
      <x:c r="K11" s="24" t="str">
        <x:v>CN VII; no spinal root</x:v>
      </x:c>
      <x:c r="L11" s="24" t="str">
        <x:v>Stapedius tiny tendon</x:v>
      </x:c>
      <x:c r="M11" s="24" t="str">
        <x:v>Annular ligament of stapes adjacent but not attachment</x:v>
      </x:c>
      <x:c r="N11" s="30" t="str">
        <x:v>Not established</x:v>
      </x:c>
      <x:c r="O11" s="30" t="str">
        <x:v>Not established</x:v>
      </x:c>
      <x:c r="P11" s="30" t="str">
        <x:v>Mixed Type I and Type II; ratio unverified</x:v>
      </x:c>
      <x:c r="Q11" s="24" t="str">
        <x:v>Published biopsies insufficient to state a reliable per-muscle percentage; no inference from function</x:v>
      </x:c>
      <x:c r="R11" s="32" t="str">
        <x:v>https://www.kenhub.com/en/library/anatomy/extraocular-muscles</x:v>
      </x:c>
      <x:c r="S11" s="32" t="str">
        <x:v>https://pubmed.ncbi.nlm.nih.gov/39359186/</x:v>
      </x:c>
    </x:row>
    <x:row r="12" ht="53" customHeight="1">
      <x:c r="A12" s="24" t="str">
        <x:v>Tensor tympani</x:v>
      </x:c>
      <x:c r="B12" s="24" t="str">
        <x:v>Middle ear</x:v>
      </x:c>
      <x:c r="C12" s="24" t="str">
        <x:v>Stabilizer</x:v>
      </x:c>
      <x:c r="D12" s="28" t="str">
        <x:v>No</x:v>
      </x:c>
      <x:c r="E12" s="28" t="str">
        <x:v>No</x:v>
      </x:c>
      <x:c r="F12" s="28" t="str">
        <x:v>Yes</x:v>
      </x:c>
      <x:c r="G12" s="24" t="str">
        <x:v>Dampens tympanic membrane vibrations</x:v>
      </x:c>
      <x:c r="H12" s="24" t="str">
        <x:v>Cartilaginous auditory tube and adjacent sphenoid canal</x:v>
      </x:c>
      <x:c r="I12" s="24" t="str">
        <x:v>Manubrium of malleus</x:v>
      </x:c>
      <x:c r="J12" s="24" t="str">
        <x:v>Mandibular division trigeminal nerve (nerve to medial pterygoid)</x:v>
      </x:c>
      <x:c r="K12" s="24" t="str">
        <x:v>CN V3; no spinal root</x:v>
      </x:c>
      <x:c r="L12" s="24" t="str">
        <x:v>Tensor tympani tendon bends around processus cochleariformis</x:v>
      </x:c>
      <x:c r="M12" s="24" t="str">
        <x:v>Ossicular suspensory ligaments nearby, not direct tendon attachment</x:v>
      </x:c>
      <x:c r="N12" s="30" t="str">
        <x:v>Not established</x:v>
      </x:c>
      <x:c r="O12" s="30" t="str">
        <x:v>Not established</x:v>
      </x:c>
      <x:c r="P12" s="30" t="str">
        <x:v>Mixed Type I and Type II; ratio unverified</x:v>
      </x:c>
      <x:c r="Q12" s="24" t="str">
        <x:v>Published biopsies insufficient to state a reliable per-muscle percentage; no inference from function</x:v>
      </x:c>
      <x:c r="R12" s="32" t="str">
        <x:v>https://www.kenhub.com/en/library/anatomy/extraocular-muscles</x:v>
      </x:c>
      <x:c r="S12" s="32" t="str">
        <x:v>https://pubmed.ncbi.nlm.nih.gov/39359186/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e226259dcc3443ff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32" hidden="0" customWidth="1"/>
    <x:col min="4" max="4" width="11" hidden="0" customWidth="1"/>
    <x:col min="5" max="5" width="11" hidden="0" customWidth="1"/>
    <x:col min="6" max="6" width="13" hidden="0" customWidth="1"/>
    <x:col min="7" max="7" width="45" hidden="0" customWidth="1"/>
    <x:col min="8" max="8" width="46" hidden="0" customWidth="1"/>
    <x:col min="9" max="9" width="43" hidden="0" customWidth="1"/>
    <x:col min="10" max="10" width="42" hidden="0" customWidth="1"/>
    <x:col min="11" max="11" width="37" hidden="0" customWidth="1"/>
    <x:col min="12" max="12" width="45" hidden="0" customWidth="1"/>
    <x:col min="13" max="13" width="47" hidden="0" customWidth="1"/>
    <x:col min="14" max="14" width="36" hidden="0" customWidth="1"/>
    <x:col min="15" max="15" width="36" hidden="0" customWidth="1"/>
    <x:col min="16" max="16" width="39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9" customHeight="1">
      <x:c r="A1" s="4" t="str">
        <x:v>PELVIS &amp; PERINEUM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2" customHeight="1">
      <x:c r="A2" s="10" t="str">
        <x:v>18 detailed entries | attachments and motor innervation | nearby versus direct ligament relationships explicitly indicated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 ht="43" customHeight="1">
      <x:c r="A3" s="17" t="str">
        <x:v>Muscle / distinct part</x:v>
      </x:c>
      <x:c r="B3" s="17" t="str">
        <x:v>Anatomical compartment</x:v>
      </x:c>
      <x:c r="C3" s="17" t="str">
        <x:v>Functional roles</x:v>
      </x:c>
      <x:c r="D3" s="17" t="str">
        <x:v>Flexor?</x:v>
      </x:c>
      <x:c r="E3" s="17" t="str">
        <x:v>Extensor?</x:v>
      </x:c>
      <x:c r="F3" s="17" t="str">
        <x:v>Stabilizer?</x:v>
      </x:c>
      <x:c r="G3" s="17" t="str">
        <x:v>Actions (including others)</x:v>
      </x:c>
      <x:c r="H3" s="17" t="str">
        <x:v>Origin (proximal attachment)</x:v>
      </x:c>
      <x:c r="I3" s="17" t="str">
        <x:v>Insertion (distal attachment)</x:v>
      </x:c>
      <x:c r="J3" s="17" t="str">
        <x:v>Motor nerve / branch</x:v>
      </x:c>
      <x:c r="K3" s="17" t="str">
        <x:v>Spinal roots or cranial nerve</x:v>
      </x:c>
      <x:c r="L3" s="17" t="str">
        <x:v>Tendon / aponeurosis connection</x:v>
      </x:c>
      <x:c r="M3" s="17" t="str">
        <x:v>Ligament / retinaculum relationship</x:v>
      </x:c>
      <x:c r="N3" s="17" t="str">
        <x:v>Type I (slow) composition</x:v>
      </x:c>
      <x:c r="O3" s="17" t="str">
        <x:v>Type II (fast) composition</x:v>
      </x:c>
      <x:c r="P3" s="17" t="str">
        <x:v>Fiber profile</x:v>
      </x:c>
      <x:c r="Q3" s="17" t="str">
        <x:v>Fiber data caveat</x:v>
      </x:c>
      <x:c r="R3" s="17" t="str">
        <x:v>Regional anatomy source URL</x:v>
      </x:c>
      <x:c r="S3" s="17" t="str">
        <x:v>Fiber-type source URL</x:v>
      </x:c>
    </x:row>
    <x:row r="4" ht="53" customHeight="1">
      <x:c r="A4" s="24" t="str">
        <x:v>Compressor urethrae (female)</x:v>
      </x:c>
      <x:c r="B4" s="24" t="str">
        <x:v>Deep perineal pouch female</x:v>
      </x:c>
      <x:c r="C4" s="24" t="str">
        <x:v>Stabilizer</x:v>
      </x:c>
      <x:c r="D4" s="28" t="str">
        <x:v>No</x:v>
      </x:c>
      <x:c r="E4" s="28" t="str">
        <x:v>No</x:v>
      </x:c>
      <x:c r="F4" s="28" t="str">
        <x:v>Yes</x:v>
      </x:c>
      <x:c r="G4" s="24" t="str">
        <x:v>Compresses urethra</x:v>
      </x:c>
      <x:c r="H4" s="24" t="str">
        <x:v>Ischiopubic rami</x:v>
      </x:c>
      <x:c r="I4" s="24" t="str">
        <x:v>Crosses anterior urethra to opposite side</x:v>
      </x:c>
      <x:c r="J4" s="24" t="str">
        <x:v>Deep perineal branch pudendal nerve</x:v>
      </x:c>
      <x:c r="K4" s="24" t="str">
        <x:v>S2-S4</x:v>
      </x:c>
      <x:c r="L4" s="24" t="str">
        <x:v>Transverse muscular/fascial attachment</x:v>
      </x:c>
      <x:c r="M4" s="24" t="str">
        <x:v>Perineal membrane adjacent</x:v>
      </x:c>
      <x:c r="N4" s="30" t="str">
        <x:v>Not established</x:v>
      </x:c>
      <x:c r="O4" s="30" t="str">
        <x:v>Not established</x:v>
      </x:c>
      <x:c r="P4" s="30" t="str">
        <x:v>Mixed Type I and Type II; ratio unverified</x:v>
      </x:c>
      <x:c r="Q4" s="24" t="str">
        <x:v>Published biopsies insufficient to state a reliable per-muscle percentage; no inference from function</x:v>
      </x:c>
      <x:c r="R4" s="32" t="str">
        <x:v>https://www.kenhub.com/en/library/anatomy/muscles-of-the-pelvic-floor</x:v>
      </x:c>
      <x:c r="S4" s="32" t="str">
        <x:v>https://pubmed.ncbi.nlm.nih.gov/39359186/</x:v>
      </x:c>
    </x:row>
    <x:row r="5" ht="53" customHeight="1">
      <x:c r="A5" s="24" t="str">
        <x:v>Urethrovaginal sphincter (female)</x:v>
      </x:c>
      <x:c r="B5" s="24" t="str">
        <x:v>Deep perineal pouch female</x:v>
      </x:c>
      <x:c r="C5" s="24" t="str">
        <x:v>Stabilizer</x:v>
      </x:c>
      <x:c r="D5" s="28" t="str">
        <x:v>No</x:v>
      </x:c>
      <x:c r="E5" s="28" t="str">
        <x:v>No</x:v>
      </x:c>
      <x:c r="F5" s="28" t="str">
        <x:v>Yes</x:v>
      </x:c>
      <x:c r="G5" s="24" t="str">
        <x:v>Compresses urethra/vagina</x:v>
      </x:c>
      <x:c r="H5" s="24" t="str">
        <x:v>Fibers around urethra/vaginal wall</x:v>
      </x:c>
      <x:c r="I5" s="24" t="str">
        <x:v>Loop encircling urethra/vagina</x:v>
      </x:c>
      <x:c r="J5" s="24" t="str">
        <x:v>Deep perineal branch pudendal nerve</x:v>
      </x:c>
      <x:c r="K5" s="24" t="str">
        <x:v>S2-S4</x:v>
      </x:c>
      <x:c r="L5" s="24" t="str">
        <x:v>Fibromuscular vaginal insertions</x:v>
      </x:c>
      <x:c r="M5" s="24" t="str">
        <x:v>Perineal membrane nearby</x:v>
      </x:c>
      <x:c r="N5" s="30" t="str">
        <x:v>Not established</x:v>
      </x:c>
      <x:c r="O5" s="30" t="str">
        <x:v>Not established</x:v>
      </x:c>
      <x:c r="P5" s="30" t="str">
        <x:v>Mixed Type I and Type II; ratio unverified</x:v>
      </x:c>
      <x:c r="Q5" s="24" t="str">
        <x:v>Published biopsies insufficient to state a reliable per-muscle percentage; no inference from function</x:v>
      </x:c>
      <x:c r="R5" s="32" t="str">
        <x:v>https://www.kenhub.com/en/library/anatomy/muscles-of-the-pelvic-floor</x:v>
      </x:c>
      <x:c r="S5" s="32" t="str">
        <x:v>https://pubmed.ncbi.nlm.nih.gov/39359186/</x:v>
      </x:c>
    </x:row>
    <x:row r="6" ht="53" customHeight="1">
      <x:c r="A6" s="24" t="str">
        <x:v>Deep transverse perineal muscle</x:v>
      </x:c>
      <x:c r="B6" s="24" t="str">
        <x:v>Deep perineal pouch variable</x:v>
      </x:c>
      <x:c r="C6" s="24" t="str">
        <x:v>Stabilizer</x:v>
      </x:c>
      <x:c r="D6" s="28" t="str">
        <x:v>No</x:v>
      </x:c>
      <x:c r="E6" s="28" t="str">
        <x:v>No</x:v>
      </x:c>
      <x:c r="F6" s="28" t="str">
        <x:v>Yes</x:v>
      </x:c>
      <x:c r="G6" s="24" t="str">
        <x:v>Supports perineal body and urogenital floor</x:v>
      </x:c>
      <x:c r="H6" s="24" t="str">
        <x:v>Ischiopubic ramus and perineal membrane</x:v>
      </x:c>
      <x:c r="I6" s="24" t="str">
        <x:v>Perineal body / midline</x:v>
      </x:c>
      <x:c r="J6" s="24" t="str">
        <x:v>Deep perineal branch pudendal nerve</x:v>
      </x:c>
      <x:c r="K6" s="24" t="str">
        <x:v>S2-S4</x:v>
      </x:c>
      <x:c r="L6" s="24" t="str">
        <x:v>Perineal body fibrous insertion</x:v>
      </x:c>
      <x:c r="M6" s="24" t="str">
        <x:v>Perineal membrane and transverse perineal ligament complex nearby</x:v>
      </x:c>
      <x:c r="N6" s="30" t="str">
        <x:v>Not established</x:v>
      </x:c>
      <x:c r="O6" s="30" t="str">
        <x:v>Not established</x:v>
      </x:c>
      <x:c r="P6" s="30" t="str">
        <x:v>Mixed Type I and Type II; ratio unverified</x:v>
      </x:c>
      <x:c r="Q6" s="24" t="str">
        <x:v>Published biopsies insufficient to state a reliable per-muscle percentage; no inference from function</x:v>
      </x:c>
      <x:c r="R6" s="32" t="str">
        <x:v>https://www.kenhub.com/en/library/anatomy/muscles-of-the-pelvic-floor</x:v>
      </x:c>
      <x:c r="S6" s="32" t="str">
        <x:v>https://pubmed.ncbi.nlm.nih.gov/39359186/</x:v>
      </x:c>
    </x:row>
    <x:row r="7" ht="53" customHeight="1">
      <x:c r="A7" s="24" t="str">
        <x:v>Puboprostaticus (male-specific subdivision)</x:v>
      </x:c>
      <x:c r="B7" s="24" t="str">
        <x:v>Levator ani sex-specific</x:v>
      </x:c>
      <x:c r="C7" s="24" t="str">
        <x:v>Stabilizer</x:v>
      </x:c>
      <x:c r="D7" s="28" t="str">
        <x:v>No</x:v>
      </x:c>
      <x:c r="E7" s="28" t="str">
        <x:v>No</x:v>
      </x:c>
      <x:c r="F7" s="28" t="str">
        <x:v>Yes</x:v>
      </x:c>
      <x:c r="G7" s="24" t="str">
        <x:v>Supports prostate and pelvic floor</x:v>
      </x:c>
      <x:c r="H7" s="24" t="str">
        <x:v>Posterior pubic body</x:v>
      </x:c>
      <x:c r="I7" s="24" t="str">
        <x:v>Prostatic capsule and perineal body</x:v>
      </x:c>
      <x:c r="J7" s="24" t="str">
        <x:v>Nerve to levator ani; pudendal variable</x:v>
      </x:c>
      <x:c r="K7" s="24" t="str">
        <x:v>S3-S4</x:v>
      </x:c>
      <x:c r="L7" s="24" t="str">
        <x:v>Prostatic fascial attachments</x:v>
      </x:c>
      <x:c r="M7" s="24" t="str">
        <x:v>Puboprostatic fascial complex (not a single tendon)</x:v>
      </x:c>
      <x:c r="N7" s="30" t="str">
        <x:v>Majority Type I (qualitative)</x:v>
      </x:c>
      <x:c r="O7" s="30" t="str">
        <x:v>Also contains Type II; % unestablished</x:v>
      </x:c>
      <x:c r="P7" s="30" t="str">
        <x:v>Type I-rich / tonic pelvic support</x:v>
      </x:c>
      <x:c r="Q7" s="24" t="str">
        <x:v>Pelvic floor overview reports type I predominance; does not validate a per-muscle percentage</x:v>
      </x:c>
      <x:c r="R7" s="32" t="str">
        <x:v>https://www.kenhub.com/en/library/anatomy/muscles-of-the-pelvic-floor</x:v>
      </x:c>
      <x:c r="S7" s="32" t="str">
        <x:v>https://www.kenhub.com/en/library/anatomy/muscles-of-the-pelvic-floor</x:v>
      </x:c>
    </x:row>
    <x:row r="8" ht="53" customHeight="1">
      <x:c r="A8" s="24" t="str">
        <x:v>Pubovaginalis (female-specific subdivision)</x:v>
      </x:c>
      <x:c r="B8" s="24" t="str">
        <x:v>Levator ani sex-specific</x:v>
      </x:c>
      <x:c r="C8" s="24" t="str">
        <x:v>Stabilizer</x:v>
      </x:c>
      <x:c r="D8" s="28" t="str">
        <x:v>No</x:v>
      </x:c>
      <x:c r="E8" s="28" t="str">
        <x:v>No</x:v>
      </x:c>
      <x:c r="F8" s="28" t="str">
        <x:v>Yes</x:v>
      </x:c>
      <x:c r="G8" s="24" t="str">
        <x:v>Supports vagina and pelvic floor</x:v>
      </x:c>
      <x:c r="H8" s="24" t="str">
        <x:v>Posterior pubic body</x:v>
      </x:c>
      <x:c r="I8" s="24" t="str">
        <x:v>Vaginal wall and perineal body</x:v>
      </x:c>
      <x:c r="J8" s="24" t="str">
        <x:v>Nerve to levator ani; pudendal variable</x:v>
      </x:c>
      <x:c r="K8" s="24" t="str">
        <x:v>S3-S4</x:v>
      </x:c>
      <x:c r="L8" s="24" t="str">
        <x:v>Pelvic fascial slips</x:v>
      </x:c>
      <x:c r="M8" s="24" t="str">
        <x:v>Perineal body connective complex</x:v>
      </x:c>
      <x:c r="N8" s="30" t="str">
        <x:v>Majority Type I (qualitative)</x:v>
      </x:c>
      <x:c r="O8" s="30" t="str">
        <x:v>Also contains Type II; % unestablished</x:v>
      </x:c>
      <x:c r="P8" s="30" t="str">
        <x:v>Type I-rich / tonic pelvic support</x:v>
      </x:c>
      <x:c r="Q8" s="24" t="str">
        <x:v>Pelvic floor overview reports type I predominance; does not validate a per-muscle percentage</x:v>
      </x:c>
      <x:c r="R8" s="32" t="str">
        <x:v>https://www.kenhub.com/en/library/anatomy/muscles-of-the-pelvic-floor</x:v>
      </x:c>
      <x:c r="S8" s="32" t="str">
        <x:v>https://www.kenhub.com/en/library/anatomy/muscles-of-the-pelvic-floor</x:v>
      </x:c>
    </x:row>
    <x:row r="9" ht="53" customHeight="1">
      <x:c r="A9" s="24" t="str">
        <x:v>Iliococcygeus</x:v>
      </x:c>
      <x:c r="B9" s="24" t="str">
        <x:v>Pelvic diaphragm levator ani</x:v>
      </x:c>
      <x:c r="C9" s="24" t="str">
        <x:v>Stabilizer</x:v>
      </x:c>
      <x:c r="D9" s="28" t="str">
        <x:v>No</x:v>
      </x:c>
      <x:c r="E9" s="28" t="str">
        <x:v>No</x:v>
      </x:c>
      <x:c r="F9" s="28" t="str">
        <x:v>Yes</x:v>
      </x:c>
      <x:c r="G9" s="24" t="str">
        <x:v>Supports pelvic organs; elevates pelvic floor</x:v>
      </x:c>
      <x:c r="H9" s="24" t="str">
        <x:v>Ischial spine and tendinous arch of levator ani</x:v>
      </x:c>
      <x:c r="I9" s="24" t="str">
        <x:v>Anococcygeal body and coccyx</x:v>
      </x:c>
      <x:c r="J9" s="24" t="str">
        <x:v>Nerve to levator ani</x:v>
      </x:c>
      <x:c r="K9" s="24" t="str">
        <x:v>S3-S4</x:v>
      </x:c>
      <x:c r="L9" s="24" t="str">
        <x:v>Fibrous sheet into anococcygeal raphe</x:v>
      </x:c>
      <x:c r="M9" s="24" t="str">
        <x:v>Tendinous arch levator ani direct origin</x:v>
      </x:c>
      <x:c r="N9" s="30" t="str">
        <x:v>Majority Type I (qualitative)</x:v>
      </x:c>
      <x:c r="O9" s="30" t="str">
        <x:v>Also contains Type II; % unestablished</x:v>
      </x:c>
      <x:c r="P9" s="30" t="str">
        <x:v>Type I-rich / tonic pelvic support</x:v>
      </x:c>
      <x:c r="Q9" s="24" t="str">
        <x:v>Pelvic floor overview reports type I predominance; does not validate a per-muscle percentage</x:v>
      </x:c>
      <x:c r="R9" s="32" t="str">
        <x:v>https://www.kenhub.com/en/library/anatomy/muscles-of-the-pelvic-floor</x:v>
      </x:c>
      <x:c r="S9" s="32" t="str">
        <x:v>https://www.kenhub.com/en/library/anatomy/muscles-of-the-pelvic-floor</x:v>
      </x:c>
    </x:row>
    <x:row r="10" ht="53" customHeight="1">
      <x:c r="A10" s="24" t="str">
        <x:v>Pubococcygeus</x:v>
      </x:c>
      <x:c r="B10" s="24" t="str">
        <x:v>Pelvic diaphragm levator ani</x:v>
      </x:c>
      <x:c r="C10" s="24" t="str">
        <x:v>Stabilizer</x:v>
      </x:c>
      <x:c r="D10" s="28" t="str">
        <x:v>No</x:v>
      </x:c>
      <x:c r="E10" s="28" t="str">
        <x:v>No</x:v>
      </x:c>
      <x:c r="F10" s="28" t="str">
        <x:v>Yes</x:v>
      </x:c>
      <x:c r="G10" s="24" t="str">
        <x:v>Supports pelvic viscera; maintains continence</x:v>
      </x:c>
      <x:c r="H10" s="24" t="str">
        <x:v>Posterior pubis and tendinous arch levator ani</x:v>
      </x:c>
      <x:c r="I10" s="24" t="str">
        <x:v>Anococcygeal body; coccyx; perineal body</x:v>
      </x:c>
      <x:c r="J10" s="24" t="str">
        <x:v>Nerve to levator ani; pudendal variable</x:v>
      </x:c>
      <x:c r="K10" s="24" t="str">
        <x:v>S3-S4 (sometimes S2)</x:v>
      </x:c>
      <x:c r="L10" s="24" t="str">
        <x:v>Fibrous insertions to anococcygeal body</x:v>
      </x:c>
      <x:c r="M10" s="24" t="str">
        <x:v>Tendinous arch of levator ani direct origin (fascial condensation)</x:v>
      </x:c>
      <x:c r="N10" s="30" t="str">
        <x:v>Majority Type I (qualitative)</x:v>
      </x:c>
      <x:c r="O10" s="30" t="str">
        <x:v>Also contains Type II; % unestablished</x:v>
      </x:c>
      <x:c r="P10" s="30" t="str">
        <x:v>Type I-rich / tonic pelvic support</x:v>
      </x:c>
      <x:c r="Q10" s="24" t="str">
        <x:v>Pelvic floor overview reports type I predominance; does not validate a per-muscle percentage</x:v>
      </x:c>
      <x:c r="R10" s="32" t="str">
        <x:v>https://www.kenhub.com/en/library/anatomy/muscles-of-the-pelvic-floor</x:v>
      </x:c>
      <x:c r="S10" s="32" t="str">
        <x:v>https://www.kenhub.com/en/library/anatomy/muscles-of-the-pelvic-floor</x:v>
      </x:c>
    </x:row>
    <x:row r="11" ht="53" customHeight="1">
      <x:c r="A11" s="24" t="str">
        <x:v>Puborectalis</x:v>
      </x:c>
      <x:c r="B11" s="24" t="str">
        <x:v>Pelvic diaphragm levator ani</x:v>
      </x:c>
      <x:c r="C11" s="24" t="str">
        <x:v>Stabilizer</x:v>
      </x:c>
      <x:c r="D11" s="28" t="str">
        <x:v>No</x:v>
      </x:c>
      <x:c r="E11" s="28" t="str">
        <x:v>No</x:v>
      </x:c>
      <x:c r="F11" s="28" t="str">
        <x:v>Yes</x:v>
      </x:c>
      <x:c r="G11" s="24" t="str">
        <x:v>Maintains anorectal angle; fecal continence</x:v>
      </x:c>
      <x:c r="H11" s="24" t="str">
        <x:v>Posterior body pubis bilaterally</x:v>
      </x:c>
      <x:c r="I11" s="24" t="str">
        <x:v>Muscle sling around anorectal junction</x:v>
      </x:c>
      <x:c r="J11" s="24" t="str">
        <x:v>Nerve to levator ani; pudendal contributions variable</x:v>
      </x:c>
      <x:c r="K11" s="24" t="str">
        <x:v>S3-S4 (often S2-S4)</x:v>
      </x:c>
      <x:c r="L11" s="24" t="str">
        <x:v>Muscular sling no separate tendon</x:v>
      </x:c>
      <x:c r="M11" s="24" t="str">
        <x:v>Perineal body/fascial support near pubic region</x:v>
      </x:c>
      <x:c r="N11" s="30" t="str">
        <x:v>Majority Type I (qualitative)</x:v>
      </x:c>
      <x:c r="O11" s="30" t="str">
        <x:v>Also contains Type II; % unestablished</x:v>
      </x:c>
      <x:c r="P11" s="30" t="str">
        <x:v>Type I-rich / tonic pelvic support</x:v>
      </x:c>
      <x:c r="Q11" s="24" t="str">
        <x:v>Pelvic floor overview reports type I predominance; does not validate a per-muscle percentage</x:v>
      </x:c>
      <x:c r="R11" s="32" t="str">
        <x:v>https://www.kenhub.com/en/library/anatomy/muscles-of-the-pelvic-floor</x:v>
      </x:c>
      <x:c r="S11" s="32" t="str">
        <x:v>https://www.kenhub.com/en/library/anatomy/muscles-of-the-pelvic-floor</x:v>
      </x:c>
    </x:row>
    <x:row r="12" ht="53" customHeight="1">
      <x:c r="A12" s="24" t="str">
        <x:v>Coccygeus (ischiococcygeus)</x:v>
      </x:c>
      <x:c r="B12" s="24" t="str">
        <x:v>Pelvic diaphragm posterior</x:v>
      </x:c>
      <x:c r="C12" s="24" t="str">
        <x:v>Stabilizer</x:v>
      </x:c>
      <x:c r="D12" s="28" t="str">
        <x:v>No</x:v>
      </x:c>
      <x:c r="E12" s="28" t="str">
        <x:v>No</x:v>
      </x:c>
      <x:c r="F12" s="28" t="str">
        <x:v>Yes</x:v>
      </x:c>
      <x:c r="G12" s="24" t="str">
        <x:v>Supports pelvic floor; flexes coccyx</x:v>
      </x:c>
      <x:c r="H12" s="24" t="str">
        <x:v>Ischial spine</x:v>
      </x:c>
      <x:c r="I12" s="24" t="str">
        <x:v>Lateral lower sacrum and coccyx</x:v>
      </x:c>
      <x:c r="J12" s="24" t="str">
        <x:v>Anterior rami sacral nerves</x:v>
      </x:c>
      <x:c r="K12" s="24" t="str">
        <x:v>S4-S5</x:v>
      </x:c>
      <x:c r="L12" s="24" t="str">
        <x:v>Broad sacrococcygeal fibrous attachment</x:v>
      </x:c>
      <x:c r="M12" s="24" t="str">
        <x:v>Sacrospinous ligament directly blends with muscle</x:v>
      </x:c>
      <x:c r="N12" s="30" t="str">
        <x:v>Majority Type I (qualitative)</x:v>
      </x:c>
      <x:c r="O12" s="30" t="str">
        <x:v>Also contains Type II; % unestablished</x:v>
      </x:c>
      <x:c r="P12" s="30" t="str">
        <x:v>Type I-rich / tonic pelvic support</x:v>
      </x:c>
      <x:c r="Q12" s="24" t="str">
        <x:v>Pelvic floor overview reports type I predominance; does not validate a per-muscle percentage</x:v>
      </x:c>
      <x:c r="R12" s="32" t="str">
        <x:v>https://www.kenhub.com/en/library/anatomy/muscles-of-the-pelvic-floor</x:v>
      </x:c>
      <x:c r="S12" s="32" t="str">
        <x:v>https://www.kenhub.com/en/library/anatomy/muscles-of-the-pelvic-floor</x:v>
      </x:c>
    </x:row>
    <x:row r="13" ht="53" customHeight="1">
      <x:c r="A13" s="24" t="str">
        <x:v>External anal sphincter deep part</x:v>
      </x:c>
      <x:c r="B13" s="24" t="str">
        <x:v>Perineum anal triangle</x:v>
      </x:c>
      <x:c r="C13" s="24" t="str">
        <x:v>Stabilizer</x:v>
      </x:c>
      <x:c r="D13" s="28" t="str">
        <x:v>No</x:v>
      </x:c>
      <x:c r="E13" s="28" t="str">
        <x:v>No</x:v>
      </x:c>
      <x:c r="F13" s="28" t="str">
        <x:v>Yes</x:v>
      </x:c>
      <x:c r="G13" s="24" t="str">
        <x:v>Voluntary fecal continence</x:v>
      </x:c>
      <x:c r="H13" s="24" t="str">
        <x:v>Circumferential fibers integrated with puborectalis</x:v>
      </x:c>
      <x:c r="I13" s="24" t="str">
        <x:v>Ring around superior anal canal</x:v>
      </x:c>
      <x:c r="J13" s="24" t="str">
        <x:v>Inferior rectal nerves (pudendal); S4 contributions</x:v>
      </x:c>
      <x:c r="K13" s="24" t="str">
        <x:v>S2-S4</x:v>
      </x:c>
      <x:c r="L13" s="24" t="str">
        <x:v>Circular fibers without long tendons</x:v>
      </x:c>
      <x:c r="M13" s="24" t="str">
        <x:v>Adjacent puborectalis sling, not ligament</x:v>
      </x:c>
      <x:c r="N13" s="30" t="str">
        <x:v>Not established</x:v>
      </x:c>
      <x:c r="O13" s="30" t="str">
        <x:v>Not established</x:v>
      </x:c>
      <x:c r="P13" s="30" t="str">
        <x:v>Mixed Type I and Type II; ratio unverified</x:v>
      </x:c>
      <x:c r="Q13" s="24" t="str">
        <x:v>Published biopsies insufficient to state a reliable per-muscle percentage; no inference from function</x:v>
      </x:c>
      <x:c r="R13" s="32" t="str">
        <x:v>https://www.kenhub.com/en/library/anatomy/muscles-of-the-pelvic-floor</x:v>
      </x:c>
      <x:c r="S13" s="32" t="str">
        <x:v>https://pubmed.ncbi.nlm.nih.gov/39359186/</x:v>
      </x:c>
    </x:row>
    <x:row r="14" ht="53" customHeight="1">
      <x:c r="A14" s="24" t="str">
        <x:v>External anal sphincter subcutaneous part</x:v>
      </x:c>
      <x:c r="B14" s="24" t="str">
        <x:v>Perineum anal triangle</x:v>
      </x:c>
      <x:c r="C14" s="24" t="str">
        <x:v>Stabilizer</x:v>
      </x:c>
      <x:c r="D14" s="28" t="str">
        <x:v>No</x:v>
      </x:c>
      <x:c r="E14" s="28" t="str">
        <x:v>No</x:v>
      </x:c>
      <x:c r="F14" s="28" t="str">
        <x:v>Yes</x:v>
      </x:c>
      <x:c r="G14" s="24" t="str">
        <x:v>Voluntary anal closure</x:v>
      </x:c>
      <x:c r="H14" s="24" t="str">
        <x:v>Ring of tissue around anal canal</x:v>
      </x:c>
      <x:c r="I14" s="24" t="str">
        <x:v>Circular fibers around anal canal</x:v>
      </x:c>
      <x:c r="J14" s="24" t="str">
        <x:v>Inferior rectal nerves (pudendal)</x:v>
      </x:c>
      <x:c r="K14" s="24" t="str">
        <x:v>S2-S4</x:v>
      </x:c>
      <x:c r="L14" s="24" t="str">
        <x:v>Fibrous subcutaneous ring</x:v>
      </x:c>
      <x:c r="M14" s="24" t="str">
        <x:v>Perineal body nearby</x:v>
      </x:c>
      <x:c r="N14" s="30" t="str">
        <x:v>Not established</x:v>
      </x:c>
      <x:c r="O14" s="30" t="str">
        <x:v>Not established</x:v>
      </x:c>
      <x:c r="P14" s="30" t="str">
        <x:v>Mixed Type I and Type II; ratio unverified</x:v>
      </x:c>
      <x:c r="Q14" s="24" t="str">
        <x:v>Published biopsies insufficient to state a reliable per-muscle percentage; no inference from function</x:v>
      </x:c>
      <x:c r="R14" s="32" t="str">
        <x:v>https://www.kenhub.com/en/library/anatomy/muscles-of-the-pelvic-floor</x:v>
      </x:c>
      <x:c r="S14" s="32" t="str">
        <x:v>https://pubmed.ncbi.nlm.nih.gov/39359186/</x:v>
      </x:c>
    </x:row>
    <x:row r="15" ht="53" customHeight="1">
      <x:c r="A15" s="24" t="str">
        <x:v>External anal sphincter superficial part</x:v>
      </x:c>
      <x:c r="B15" s="24" t="str">
        <x:v>Perineum anal triangle</x:v>
      </x:c>
      <x:c r="C15" s="24" t="str">
        <x:v>Stabilizer</x:v>
      </x:c>
      <x:c r="D15" s="28" t="str">
        <x:v>No</x:v>
      </x:c>
      <x:c r="E15" s="28" t="str">
        <x:v>No</x:v>
      </x:c>
      <x:c r="F15" s="28" t="str">
        <x:v>Yes</x:v>
      </x:c>
      <x:c r="G15" s="24" t="str">
        <x:v>Closes anus; continence</x:v>
      </x:c>
      <x:c r="H15" s="24" t="str">
        <x:v>Perineal body</x:v>
      </x:c>
      <x:c r="I15" s="24" t="str">
        <x:v>Anococcygeal ligament/body posteriorly</x:v>
      </x:c>
      <x:c r="J15" s="24" t="str">
        <x:v>Inferior rectal nerves (pudendal)</x:v>
      </x:c>
      <x:c r="K15" s="24" t="str">
        <x:v>S2-S4</x:v>
      </x:c>
      <x:c r="L15" s="24" t="str">
        <x:v>Anterior/posterior fibrous attachments</x:v>
      </x:c>
      <x:c r="M15" s="24" t="str">
        <x:v>Anococcygeal ligament direct posterior attachment</x:v>
      </x:c>
      <x:c r="N15" s="30" t="str">
        <x:v>Not established</x:v>
      </x:c>
      <x:c r="O15" s="30" t="str">
        <x:v>Not established</x:v>
      </x:c>
      <x:c r="P15" s="30" t="str">
        <x:v>Mixed Type I and Type II; ratio unverified</x:v>
      </x:c>
      <x:c r="Q15" s="24" t="str">
        <x:v>Published biopsies insufficient to state a reliable per-muscle percentage; no inference from function</x:v>
      </x:c>
      <x:c r="R15" s="32" t="str">
        <x:v>https://www.kenhub.com/en/library/anatomy/muscles-of-the-pelvic-floor</x:v>
      </x:c>
      <x:c r="S15" s="32" t="str">
        <x:v>https://pubmed.ncbi.nlm.nih.gov/39359186/</x:v>
      </x:c>
    </x:row>
    <x:row r="16" ht="53" customHeight="1">
      <x:c r="A16" s="24" t="str">
        <x:v>External urethral sphincter (rhabdosphincter)</x:v>
      </x:c>
      <x:c r="B16" s="24" t="str">
        <x:v>Perineum urogenital triangle</x:v>
      </x:c>
      <x:c r="C16" s="24" t="str">
        <x:v>Stabilizer</x:v>
      </x:c>
      <x:c r="D16" s="28" t="str">
        <x:v>No</x:v>
      </x:c>
      <x:c r="E16" s="28" t="str">
        <x:v>No</x:v>
      </x:c>
      <x:c r="F16" s="28" t="str">
        <x:v>Yes</x:v>
      </x:c>
      <x:c r="G16" s="24" t="str">
        <x:v>Voluntary urethral closure</x:v>
      </x:c>
      <x:c r="H16" s="24" t="str">
        <x:v>Perineal membrane / surrounding pubic attachments</x:v>
      </x:c>
      <x:c r="I16" s="24" t="str">
        <x:v>Encircles membranous urethra</x:v>
      </x:c>
      <x:c r="J16" s="24" t="str">
        <x:v>Deep perineal branch pudendal nerve</x:v>
      </x:c>
      <x:c r="K16" s="24" t="str">
        <x:v>S2-S4</x:v>
      </x:c>
      <x:c r="L16" s="24" t="str">
        <x:v>Circumferential fibers</x:v>
      </x:c>
      <x:c r="M16" s="24" t="str">
        <x:v>Perineal membrane associated</x:v>
      </x:c>
      <x:c r="N16" s="30" t="str">
        <x:v>Not established</x:v>
      </x:c>
      <x:c r="O16" s="30" t="str">
        <x:v>Not established</x:v>
      </x:c>
      <x:c r="P16" s="30" t="str">
        <x:v>Mixed Type I and Type II; ratio unverified</x:v>
      </x:c>
      <x:c r="Q16" s="24" t="str">
        <x:v>Published biopsies insufficient to state a reliable per-muscle percentage; no inference from function</x:v>
      </x:c>
      <x:c r="R16" s="32" t="str">
        <x:v>https://www.kenhub.com/en/library/anatomy/muscles-of-the-pelvic-floor</x:v>
      </x:c>
      <x:c r="S16" s="32" t="str">
        <x:v>https://pubmed.ncbi.nlm.nih.gov/39359186/</x:v>
      </x:c>
    </x:row>
    <x:row r="17" ht="53" customHeight="1">
      <x:c r="A17" s="24" t="str">
        <x:v>Superficial transverse perineal muscle</x:v>
      </x:c>
      <x:c r="B17" s="24" t="str">
        <x:v>Superficial perineal pouch</x:v>
      </x:c>
      <x:c r="C17" s="24" t="str">
        <x:v>Stabilizer</x:v>
      </x:c>
      <x:c r="D17" s="28" t="str">
        <x:v>No</x:v>
      </x:c>
      <x:c r="E17" s="28" t="str">
        <x:v>No</x:v>
      </x:c>
      <x:c r="F17" s="28" t="str">
        <x:v>Yes</x:v>
      </x:c>
      <x:c r="G17" s="24" t="str">
        <x:v>Fixes perineal body; supports pelvic floor</x:v>
      </x:c>
      <x:c r="H17" s="24" t="str">
        <x:v>Ischial tuberosity/ramus</x:v>
      </x:c>
      <x:c r="I17" s="24" t="str">
        <x:v>Perineal body</x:v>
      </x:c>
      <x:c r="J17" s="24" t="str">
        <x:v>Perineal branch pudendal nerve</x:v>
      </x:c>
      <x:c r="K17" s="24" t="str">
        <x:v>S2-S4</x:v>
      </x:c>
      <x:c r="L17" s="24" t="str">
        <x:v>Short perineal body insertion tendon</x:v>
      </x:c>
      <x:c r="M17" s="24" t="str">
        <x:v>Perineal membrane nearby</x:v>
      </x:c>
      <x:c r="N17" s="30" t="str">
        <x:v>Not established</x:v>
      </x:c>
      <x:c r="O17" s="30" t="str">
        <x:v>Not established</x:v>
      </x:c>
      <x:c r="P17" s="30" t="str">
        <x:v>Mixed Type I and Type II; ratio unverified</x:v>
      </x:c>
      <x:c r="Q17" s="24" t="str">
        <x:v>Published biopsies insufficient to state a reliable per-muscle percentage; no inference from function</x:v>
      </x:c>
      <x:c r="R17" s="32" t="str">
        <x:v>https://www.kenhub.com/en/library/anatomy/muscles-of-the-pelvic-floor</x:v>
      </x:c>
      <x:c r="S17" s="32" t="str">
        <x:v>https://pubmed.ncbi.nlm.nih.gov/39359186/</x:v>
      </x:c>
    </x:row>
    <x:row r="18" ht="53" customHeight="1">
      <x:c r="A18" s="24" t="str">
        <x:v>Bulbospongiosus (female)</x:v>
      </x:c>
      <x:c r="B18" s="24" t="str">
        <x:v>Superficial perineal pouch female</x:v>
      </x:c>
      <x:c r="C18" s="24" t="str">
        <x:v>Stabilizer</x:v>
      </x:c>
      <x:c r="D18" s="28" t="str">
        <x:v>No</x:v>
      </x:c>
      <x:c r="E18" s="28" t="str">
        <x:v>No</x:v>
      </x:c>
      <x:c r="F18" s="28" t="str">
        <x:v>Yes</x:v>
      </x:c>
      <x:c r="G18" s="24" t="str">
        <x:v>Constricts vaginal orifice; assists clitoral erection</x:v>
      </x:c>
      <x:c r="H18" s="24" t="str">
        <x:v>Perineal body</x:v>
      </x:c>
      <x:c r="I18" s="24" t="str">
        <x:v>Bulb of vestibule; clitoral fascia</x:v>
      </x:c>
      <x:c r="J18" s="24" t="str">
        <x:v>Perineal branch pudendal nerve</x:v>
      </x:c>
      <x:c r="K18" s="24" t="str">
        <x:v>S2-S4</x:v>
      </x:c>
      <x:c r="L18" s="24" t="str">
        <x:v>Clitoral fascial fibers</x:v>
      </x:c>
      <x:c r="M18" s="24" t="str">
        <x:v>Perineal membrane adjacent</x:v>
      </x:c>
      <x:c r="N18" s="30" t="str">
        <x:v>Not established</x:v>
      </x:c>
      <x:c r="O18" s="30" t="str">
        <x:v>Not established</x:v>
      </x:c>
      <x:c r="P18" s="30" t="str">
        <x:v>Mixed Type I and Type II; ratio unverified</x:v>
      </x:c>
      <x:c r="Q18" s="24" t="str">
        <x:v>Published biopsies insufficient to state a reliable per-muscle percentage; no inference from function</x:v>
      </x:c>
      <x:c r="R18" s="32" t="str">
        <x:v>https://www.kenhub.com/en/library/anatomy/muscles-of-the-pelvic-floor</x:v>
      </x:c>
      <x:c r="S18" s="32" t="str">
        <x:v>https://pubmed.ncbi.nlm.nih.gov/39359186/</x:v>
      </x:c>
    </x:row>
    <x:row r="19" ht="53" customHeight="1">
      <x:c r="A19" s="24" t="str">
        <x:v>Ischiocavernosus (female)</x:v>
      </x:c>
      <x:c r="B19" s="24" t="str">
        <x:v>Superficial perineal pouch female</x:v>
      </x:c>
      <x:c r="C19" s="24" t="str">
        <x:v>Stabilizer</x:v>
      </x:c>
      <x:c r="D19" s="28" t="str">
        <x:v>No</x:v>
      </x:c>
      <x:c r="E19" s="28" t="str">
        <x:v>No</x:v>
      </x:c>
      <x:c r="F19" s="28" t="str">
        <x:v>Yes</x:v>
      </x:c>
      <x:c r="G19" s="24" t="str">
        <x:v>Compresses crus clitoris; assists erection</x:v>
      </x:c>
      <x:c r="H19" s="24" t="str">
        <x:v>Ischial tuberosity and ischiopubic ramus</x:v>
      </x:c>
      <x:c r="I19" s="24" t="str">
        <x:v>Crus clitoris and tunica albuginea</x:v>
      </x:c>
      <x:c r="J19" s="24" t="str">
        <x:v>Perineal branch pudendal nerve</x:v>
      </x:c>
      <x:c r="K19" s="24" t="str">
        <x:v>S2-S4</x:v>
      </x:c>
      <x:c r="L19" s="24" t="str">
        <x:v>Crural insertion</x:v>
      </x:c>
      <x:c r="M19" s="24" t="str">
        <x:v>Suspensory ligament of clitoris nearby</x:v>
      </x:c>
      <x:c r="N19" s="30" t="str">
        <x:v>Not established</x:v>
      </x:c>
      <x:c r="O19" s="30" t="str">
        <x:v>Not established</x:v>
      </x:c>
      <x:c r="P19" s="30" t="str">
        <x:v>Mixed Type I and Type II; ratio unverified</x:v>
      </x:c>
      <x:c r="Q19" s="24" t="str">
        <x:v>Published biopsies insufficient to state a reliable per-muscle percentage; no inference from function</x:v>
      </x:c>
      <x:c r="R19" s="32" t="str">
        <x:v>https://www.kenhub.com/en/library/anatomy/muscles-of-the-pelvic-floor</x:v>
      </x:c>
      <x:c r="S19" s="32" t="str">
        <x:v>https://pubmed.ncbi.nlm.nih.gov/39359186/</x:v>
      </x:c>
    </x:row>
    <x:row r="20" ht="53" customHeight="1">
      <x:c r="A20" s="24" t="str">
        <x:v>Bulbospongiosus (male)</x:v>
      </x:c>
      <x:c r="B20" s="24" t="str">
        <x:v>Superficial perineal pouch male</x:v>
      </x:c>
      <x:c r="C20" s="24" t="str">
        <x:v>Stabilizer</x:v>
      </x:c>
      <x:c r="D20" s="28" t="str">
        <x:v>No</x:v>
      </x:c>
      <x:c r="E20" s="28" t="str">
        <x:v>No</x:v>
      </x:c>
      <x:c r="F20" s="28" t="str">
        <x:v>Yes</x:v>
      </x:c>
      <x:c r="G20" s="24" t="str">
        <x:v>Expels last urine/semen; assists erection</x:v>
      </x:c>
      <x:c r="H20" s="24" t="str">
        <x:v>Perineal body and midline penile raphe</x:v>
      </x:c>
      <x:c r="I20" s="24" t="str">
        <x:v>Perineal membrane; bulb of penis; dorsal penile fascia</x:v>
      </x:c>
      <x:c r="J20" s="24" t="str">
        <x:v>Perineal branch pudendal nerve</x:v>
      </x:c>
      <x:c r="K20" s="24" t="str">
        <x:v>S2-S4</x:v>
      </x:c>
      <x:c r="L20" s="24" t="str">
        <x:v>Fibrous penile/perineal fascial insertion</x:v>
      </x:c>
      <x:c r="M20" s="24" t="str">
        <x:v>Perineal membrane attachment</x:v>
      </x:c>
      <x:c r="N20" s="30" t="str">
        <x:v>Not established</x:v>
      </x:c>
      <x:c r="O20" s="30" t="str">
        <x:v>Not established</x:v>
      </x:c>
      <x:c r="P20" s="30" t="str">
        <x:v>Mixed Type I and Type II; ratio unverified</x:v>
      </x:c>
      <x:c r="Q20" s="24" t="str">
        <x:v>Published biopsies insufficient to state a reliable per-muscle percentage; no inference from function</x:v>
      </x:c>
      <x:c r="R20" s="32" t="str">
        <x:v>https://www.kenhub.com/en/library/anatomy/muscles-of-the-pelvic-floor</x:v>
      </x:c>
      <x:c r="S20" s="32" t="str">
        <x:v>https://pubmed.ncbi.nlm.nih.gov/39359186/</x:v>
      </x:c>
    </x:row>
    <x:row r="21" ht="53" customHeight="1">
      <x:c r="A21" s="24" t="str">
        <x:v>Ischiocavernosus (male)</x:v>
      </x:c>
      <x:c r="B21" s="24" t="str">
        <x:v>Superficial perineal pouch male</x:v>
      </x:c>
      <x:c r="C21" s="24" t="str">
        <x:v>Stabilizer</x:v>
      </x:c>
      <x:c r="D21" s="28" t="str">
        <x:v>No</x:v>
      </x:c>
      <x:c r="E21" s="28" t="str">
        <x:v>No</x:v>
      </x:c>
      <x:c r="F21" s="28" t="str">
        <x:v>Yes</x:v>
      </x:c>
      <x:c r="G21" s="24" t="str">
        <x:v>Compresses crus; maintains erection</x:v>
      </x:c>
      <x:c r="H21" s="24" t="str">
        <x:v>Ischial tuberosity and ischiopubic ramus</x:v>
      </x:c>
      <x:c r="I21" s="24" t="str">
        <x:v>Crus penis and tunica albuginea</x:v>
      </x:c>
      <x:c r="J21" s="24" t="str">
        <x:v>Perineal branch pudendal nerve</x:v>
      </x:c>
      <x:c r="K21" s="24" t="str">
        <x:v>S2-S4</x:v>
      </x:c>
      <x:c r="L21" s="24" t="str">
        <x:v>Crural fibrous insertion</x:v>
      </x:c>
      <x:c r="M21" s="24" t="str">
        <x:v>Suspensory ligament of penis nearby, not direct insertion</x:v>
      </x:c>
      <x:c r="N21" s="30" t="str">
        <x:v>Not established</x:v>
      </x:c>
      <x:c r="O21" s="30" t="str">
        <x:v>Not established</x:v>
      </x:c>
      <x:c r="P21" s="30" t="str">
        <x:v>Mixed Type I and Type II; ratio unverified</x:v>
      </x:c>
      <x:c r="Q21" s="24" t="str">
        <x:v>Published biopsies insufficient to state a reliable per-muscle percentage; no inference from function</x:v>
      </x:c>
      <x:c r="R21" s="32" t="str">
        <x:v>https://www.kenhub.com/en/library/anatomy/muscles-of-the-pelvic-floor</x:v>
      </x:c>
      <x:c r="S21" s="32" t="str">
        <x:v>https://pubmed.ncbi.nlm.nih.gov/39359186/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73f788e99bca408b"/>
  </x:tableParts>
</x:worksheet>
</file>